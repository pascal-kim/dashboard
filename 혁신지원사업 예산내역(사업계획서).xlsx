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ST2\"/>
    </mc:Choice>
  </mc:AlternateContent>
  <xr:revisionPtr revIDLastSave="0" documentId="13_ncr:1_{ED6B9A19-7946-4572-8700-A80019FE1015}" xr6:coauthVersionLast="47" xr6:coauthVersionMax="47" xr10:uidLastSave="{00000000-0000-0000-0000-000000000000}"/>
  <bookViews>
    <workbookView xWindow="28740" yWindow="-60" windowWidth="28920" windowHeight="15720" xr2:uid="{D95A60B9-7FB9-4D5A-9B34-5F65A2B50CD4}"/>
  </bookViews>
  <sheets>
    <sheet name="예산내역(사업계획서)" sheetId="3" r:id="rId1"/>
    <sheet name="Sheet1 (2)" sheetId="2" r:id="rId2"/>
    <sheet name="유니올시스템업로드" sheetId="10" r:id="rId3"/>
    <sheet name="Sheet3" sheetId="11" r:id="rId4"/>
    <sheet name="예산내역(11차배정후)" sheetId="4" r:id="rId5"/>
    <sheet name="인건비계획" sheetId="5" r:id="rId6"/>
    <sheet name="코드" sheetId="6" r:id="rId7"/>
    <sheet name="추경자료" sheetId="7" r:id="rId8"/>
    <sheet name="성과관리위자료" sheetId="8" r:id="rId9"/>
  </sheets>
  <externalReferences>
    <externalReference r:id="rId10"/>
    <externalReference r:id="rId11"/>
  </externalReferences>
  <definedNames>
    <definedName name="_xlnm._FilterDatabase" localSheetId="4" hidden="1">'예산내역(11차배정후)'!$B$2:$V$475</definedName>
    <definedName name="_xlnm._FilterDatabase" localSheetId="0" hidden="1">'예산내역(사업계획서)'!$B$2:$W$455</definedName>
  </definedNames>
  <calcPr calcId="18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9" i="3" l="1"/>
  <c r="D449" i="3"/>
  <c r="E448" i="3"/>
  <c r="D448" i="3"/>
  <c r="C26" i="10"/>
  <c r="B26" i="10"/>
  <c r="H26" i="10"/>
  <c r="D24" i="10"/>
  <c r="D25" i="10"/>
  <c r="B22" i="10"/>
  <c r="AF461" i="3"/>
  <c r="AF462" i="3"/>
  <c r="AF463" i="3"/>
  <c r="AF464" i="3"/>
  <c r="AF465" i="3"/>
  <c r="AF466" i="3"/>
  <c r="AF460" i="3"/>
  <c r="AC460" i="3"/>
  <c r="Y460" i="3"/>
  <c r="D22" i="10"/>
  <c r="C22" i="10"/>
  <c r="E22" i="10"/>
  <c r="F22" i="10"/>
  <c r="G22" i="10"/>
  <c r="C23" i="10"/>
  <c r="D23" i="10"/>
  <c r="E23" i="10"/>
  <c r="F23" i="10"/>
  <c r="G23" i="10"/>
  <c r="C24" i="10"/>
  <c r="E24" i="10"/>
  <c r="F24" i="10"/>
  <c r="G24" i="10"/>
  <c r="C25" i="10"/>
  <c r="E25" i="10"/>
  <c r="F25" i="10"/>
  <c r="G25" i="10"/>
  <c r="B23" i="10"/>
  <c r="B24" i="10"/>
  <c r="B25" i="10"/>
  <c r="H22" i="10"/>
  <c r="C18" i="10"/>
  <c r="D18" i="10"/>
  <c r="D26" i="10" s="1"/>
  <c r="E18" i="10"/>
  <c r="E26" i="10" s="1"/>
  <c r="F18" i="10"/>
  <c r="F26" i="10" s="1"/>
  <c r="G18" i="10"/>
  <c r="G26" i="10" s="1"/>
  <c r="B18" i="10"/>
  <c r="H15" i="10"/>
  <c r="H23" i="10" s="1"/>
  <c r="H16" i="10"/>
  <c r="H17" i="10"/>
  <c r="H8" i="10"/>
  <c r="H9" i="10"/>
  <c r="H10" i="10"/>
  <c r="H6" i="10"/>
  <c r="H14" i="10"/>
  <c r="F146" i="8"/>
  <c r="G4" i="7"/>
  <c r="G5" i="7"/>
  <c r="K5" i="7"/>
  <c r="L5" i="7" s="1"/>
  <c r="G6" i="7"/>
  <c r="K6" i="7"/>
  <c r="L6" i="7"/>
  <c r="G7" i="7"/>
  <c r="L7" i="7"/>
  <c r="G8" i="7"/>
  <c r="L8" i="7"/>
  <c r="G9" i="7"/>
  <c r="L9" i="7"/>
  <c r="G10" i="7"/>
  <c r="L10" i="7"/>
  <c r="G11" i="7"/>
  <c r="L11" i="7"/>
  <c r="G12" i="7"/>
  <c r="L12" i="7"/>
  <c r="G13" i="7"/>
  <c r="L13" i="7"/>
  <c r="G14" i="7"/>
  <c r="L14" i="7"/>
  <c r="G15" i="7"/>
  <c r="L15" i="7"/>
  <c r="G16" i="7"/>
  <c r="L16" i="7"/>
  <c r="G17" i="7"/>
  <c r="L17" i="7"/>
  <c r="G18" i="7"/>
  <c r="L18" i="7"/>
  <c r="G19" i="7"/>
  <c r="K19" i="7"/>
  <c r="L19" i="7"/>
  <c r="G20" i="7"/>
  <c r="L20" i="7"/>
  <c r="G21" i="7"/>
  <c r="L21" i="7"/>
  <c r="G22" i="7"/>
  <c r="L22" i="7"/>
  <c r="G23" i="7"/>
  <c r="L23" i="7"/>
  <c r="G24" i="7"/>
  <c r="L24" i="7"/>
  <c r="G25" i="7"/>
  <c r="L25" i="7"/>
  <c r="F26" i="7"/>
  <c r="G26" i="7"/>
  <c r="L26" i="7"/>
  <c r="L27" i="7"/>
  <c r="L28" i="7"/>
  <c r="K29" i="7"/>
  <c r="L29" i="7" s="1"/>
  <c r="K30" i="7"/>
  <c r="L30" i="7"/>
  <c r="J31" i="7"/>
  <c r="K31" i="7"/>
  <c r="L31" i="7"/>
  <c r="G37" i="7" s="1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22" i="5"/>
  <c r="C25" i="5"/>
  <c r="C27" i="5" s="1"/>
  <c r="C26" i="5"/>
  <c r="G26" i="5"/>
  <c r="F29" i="5"/>
  <c r="D3" i="4"/>
  <c r="L3" i="4"/>
  <c r="R3" i="4"/>
  <c r="R1" i="4" s="1"/>
  <c r="Y3" i="4"/>
  <c r="D4" i="4"/>
  <c r="L4" i="4"/>
  <c r="R4" i="4"/>
  <c r="V4" i="4"/>
  <c r="D5" i="4"/>
  <c r="L5" i="4"/>
  <c r="R5" i="4"/>
  <c r="V5" i="4" s="1"/>
  <c r="D6" i="4"/>
  <c r="L6" i="4"/>
  <c r="R6" i="4"/>
  <c r="V6" i="4" s="1"/>
  <c r="D7" i="4"/>
  <c r="L7" i="4"/>
  <c r="R7" i="4"/>
  <c r="V7" i="4" s="1"/>
  <c r="D8" i="4"/>
  <c r="L8" i="4"/>
  <c r="R8" i="4"/>
  <c r="V8" i="4" s="1"/>
  <c r="D9" i="4"/>
  <c r="L9" i="4"/>
  <c r="R9" i="4"/>
  <c r="V9" i="4" s="1"/>
  <c r="D10" i="4"/>
  <c r="L10" i="4"/>
  <c r="R10" i="4"/>
  <c r="V10" i="4"/>
  <c r="D11" i="4"/>
  <c r="L11" i="4"/>
  <c r="R11" i="4"/>
  <c r="V11" i="4" s="1"/>
  <c r="D12" i="4"/>
  <c r="L12" i="4"/>
  <c r="R12" i="4"/>
  <c r="V12" i="4"/>
  <c r="D13" i="4"/>
  <c r="L13" i="4"/>
  <c r="R13" i="4"/>
  <c r="V13" i="4" s="1"/>
  <c r="D14" i="4"/>
  <c r="L14" i="4"/>
  <c r="R14" i="4"/>
  <c r="V14" i="4" s="1"/>
  <c r="D15" i="4"/>
  <c r="L15" i="4"/>
  <c r="R15" i="4"/>
  <c r="V15" i="4" s="1"/>
  <c r="D16" i="4"/>
  <c r="L16" i="4"/>
  <c r="R16" i="4"/>
  <c r="V16" i="4"/>
  <c r="D17" i="4"/>
  <c r="L17" i="4"/>
  <c r="R17" i="4"/>
  <c r="V17" i="4" s="1"/>
  <c r="D19" i="4"/>
  <c r="L19" i="4"/>
  <c r="R19" i="4"/>
  <c r="V19" i="4"/>
  <c r="D20" i="4"/>
  <c r="L20" i="4"/>
  <c r="R20" i="4"/>
  <c r="V20" i="4" s="1"/>
  <c r="D21" i="4"/>
  <c r="L21" i="4"/>
  <c r="R21" i="4"/>
  <c r="V21" i="4" s="1"/>
  <c r="D22" i="4"/>
  <c r="L22" i="4"/>
  <c r="R22" i="4"/>
  <c r="V22" i="4" s="1"/>
  <c r="D23" i="4"/>
  <c r="L23" i="4"/>
  <c r="R23" i="4"/>
  <c r="V23" i="4"/>
  <c r="D24" i="4"/>
  <c r="L24" i="4"/>
  <c r="R24" i="4"/>
  <c r="V24" i="4" s="1"/>
  <c r="D25" i="4"/>
  <c r="L25" i="4"/>
  <c r="R25" i="4"/>
  <c r="V25" i="4"/>
  <c r="D26" i="4"/>
  <c r="L26" i="4"/>
  <c r="R26" i="4"/>
  <c r="V26" i="4" s="1"/>
  <c r="D27" i="4"/>
  <c r="L27" i="4"/>
  <c r="R27" i="4"/>
  <c r="V27" i="4" s="1"/>
  <c r="D28" i="4"/>
  <c r="L28" i="4"/>
  <c r="R28" i="4"/>
  <c r="V28" i="4" s="1"/>
  <c r="D30" i="4"/>
  <c r="L30" i="4"/>
  <c r="R30" i="4"/>
  <c r="V30" i="4"/>
  <c r="D31" i="4"/>
  <c r="L31" i="4"/>
  <c r="V31" i="4"/>
  <c r="D32" i="4"/>
  <c r="L32" i="4"/>
  <c r="V32" i="4"/>
  <c r="D33" i="4"/>
  <c r="L33" i="4"/>
  <c r="V33" i="4"/>
  <c r="D34" i="4"/>
  <c r="L34" i="4"/>
  <c r="V34" i="4"/>
  <c r="D35" i="4"/>
  <c r="L35" i="4"/>
  <c r="V35" i="4"/>
  <c r="D36" i="4"/>
  <c r="L36" i="4"/>
  <c r="V36" i="4"/>
  <c r="D37" i="4"/>
  <c r="L37" i="4"/>
  <c r="V37" i="4"/>
  <c r="D39" i="4"/>
  <c r="L39" i="4"/>
  <c r="V39" i="4"/>
  <c r="D40" i="4"/>
  <c r="L40" i="4"/>
  <c r="R40" i="4"/>
  <c r="V40" i="4" s="1"/>
  <c r="D41" i="4"/>
  <c r="L41" i="4"/>
  <c r="R41" i="4"/>
  <c r="V41" i="4" s="1"/>
  <c r="D42" i="4"/>
  <c r="L42" i="4"/>
  <c r="R42" i="4"/>
  <c r="V42" i="4" s="1"/>
  <c r="D43" i="4"/>
  <c r="L43" i="4"/>
  <c r="R43" i="4"/>
  <c r="V43" i="4"/>
  <c r="D44" i="4"/>
  <c r="L44" i="4"/>
  <c r="R44" i="4"/>
  <c r="V44" i="4" s="1"/>
  <c r="D45" i="4"/>
  <c r="L45" i="4"/>
  <c r="R45" i="4"/>
  <c r="V45" i="4"/>
  <c r="D46" i="4"/>
  <c r="L46" i="4"/>
  <c r="R46" i="4"/>
  <c r="V46" i="4" s="1"/>
  <c r="D47" i="4"/>
  <c r="L47" i="4"/>
  <c r="R47" i="4"/>
  <c r="V47" i="4" s="1"/>
  <c r="D48" i="4"/>
  <c r="L48" i="4"/>
  <c r="R48" i="4"/>
  <c r="V48" i="4" s="1"/>
  <c r="D49" i="4"/>
  <c r="L49" i="4"/>
  <c r="R49" i="4"/>
  <c r="V49" i="4"/>
  <c r="D50" i="4"/>
  <c r="L50" i="4"/>
  <c r="V50" i="4"/>
  <c r="D51" i="4"/>
  <c r="L51" i="4"/>
  <c r="R51" i="4"/>
  <c r="V51" i="4" s="1"/>
  <c r="D52" i="4"/>
  <c r="L52" i="4"/>
  <c r="R52" i="4"/>
  <c r="V52" i="4" s="1"/>
  <c r="D54" i="4"/>
  <c r="L54" i="4"/>
  <c r="V54" i="4"/>
  <c r="D55" i="4"/>
  <c r="L55" i="4"/>
  <c r="V55" i="4"/>
  <c r="D56" i="4"/>
  <c r="L56" i="4"/>
  <c r="V56" i="4"/>
  <c r="D57" i="4"/>
  <c r="L57" i="4"/>
  <c r="V57" i="4"/>
  <c r="D58" i="4"/>
  <c r="L58" i="4"/>
  <c r="V58" i="4"/>
  <c r="D59" i="4"/>
  <c r="L59" i="4"/>
  <c r="V59" i="4"/>
  <c r="D60" i="4"/>
  <c r="L60" i="4"/>
  <c r="V60" i="4"/>
  <c r="D61" i="4"/>
  <c r="L61" i="4"/>
  <c r="V61" i="4"/>
  <c r="D63" i="4"/>
  <c r="L63" i="4"/>
  <c r="V63" i="4"/>
  <c r="D64" i="4"/>
  <c r="L64" i="4"/>
  <c r="V64" i="4"/>
  <c r="D65" i="4"/>
  <c r="L65" i="4"/>
  <c r="V65" i="4"/>
  <c r="D66" i="4"/>
  <c r="L66" i="4"/>
  <c r="V66" i="4"/>
  <c r="D67" i="4"/>
  <c r="L67" i="4"/>
  <c r="V67" i="4"/>
  <c r="D68" i="4"/>
  <c r="L68" i="4"/>
  <c r="V68" i="4"/>
  <c r="D69" i="4"/>
  <c r="L69" i="4"/>
  <c r="V69" i="4"/>
  <c r="D70" i="4"/>
  <c r="L70" i="4"/>
  <c r="V70" i="4"/>
  <c r="D71" i="4"/>
  <c r="L71" i="4"/>
  <c r="V71" i="4"/>
  <c r="D72" i="4"/>
  <c r="L72" i="4"/>
  <c r="V72" i="4"/>
  <c r="D73" i="4"/>
  <c r="L73" i="4"/>
  <c r="V73" i="4"/>
  <c r="D74" i="4"/>
  <c r="L74" i="4"/>
  <c r="V74" i="4"/>
  <c r="D75" i="4"/>
  <c r="L75" i="4"/>
  <c r="V75" i="4"/>
  <c r="D76" i="4"/>
  <c r="L76" i="4"/>
  <c r="V76" i="4"/>
  <c r="D77" i="4"/>
  <c r="L77" i="4"/>
  <c r="V77" i="4"/>
  <c r="D78" i="4"/>
  <c r="L78" i="4"/>
  <c r="V78" i="4"/>
  <c r="D79" i="4"/>
  <c r="L79" i="4"/>
  <c r="V79" i="4"/>
  <c r="D80" i="4"/>
  <c r="L80" i="4"/>
  <c r="V80" i="4"/>
  <c r="D81" i="4"/>
  <c r="L81" i="4"/>
  <c r="V81" i="4"/>
  <c r="D82" i="4"/>
  <c r="L82" i="4"/>
  <c r="V82" i="4"/>
  <c r="D83" i="4"/>
  <c r="L83" i="4"/>
  <c r="V83" i="4"/>
  <c r="D84" i="4"/>
  <c r="L84" i="4"/>
  <c r="V84" i="4"/>
  <c r="D85" i="4"/>
  <c r="L85" i="4"/>
  <c r="V85" i="4"/>
  <c r="D86" i="4"/>
  <c r="L86" i="4"/>
  <c r="V86" i="4"/>
  <c r="D87" i="4"/>
  <c r="L87" i="4"/>
  <c r="V87" i="4"/>
  <c r="D88" i="4"/>
  <c r="L88" i="4"/>
  <c r="V88" i="4"/>
  <c r="D89" i="4"/>
  <c r="L89" i="4"/>
  <c r="V89" i="4"/>
  <c r="D90" i="4"/>
  <c r="L90" i="4"/>
  <c r="V90" i="4"/>
  <c r="D91" i="4"/>
  <c r="L91" i="4"/>
  <c r="V91" i="4"/>
  <c r="D92" i="4"/>
  <c r="L92" i="4"/>
  <c r="V92" i="4"/>
  <c r="D93" i="4"/>
  <c r="L93" i="4"/>
  <c r="V93" i="4"/>
  <c r="D94" i="4"/>
  <c r="L94" i="4"/>
  <c r="V94" i="4"/>
  <c r="D95" i="4"/>
  <c r="L95" i="4"/>
  <c r="V95" i="4"/>
  <c r="D96" i="4"/>
  <c r="L96" i="4"/>
  <c r="V96" i="4"/>
  <c r="D97" i="4"/>
  <c r="L97" i="4"/>
  <c r="V97" i="4"/>
  <c r="D98" i="4"/>
  <c r="L98" i="4"/>
  <c r="V98" i="4"/>
  <c r="D99" i="4"/>
  <c r="L99" i="4"/>
  <c r="V99" i="4"/>
  <c r="D100" i="4"/>
  <c r="L100" i="4"/>
  <c r="V100" i="4"/>
  <c r="D101" i="4"/>
  <c r="L101" i="4"/>
  <c r="V101" i="4"/>
  <c r="D102" i="4"/>
  <c r="L102" i="4"/>
  <c r="V102" i="4"/>
  <c r="D103" i="4"/>
  <c r="L103" i="4"/>
  <c r="V103" i="4"/>
  <c r="D104" i="4"/>
  <c r="L104" i="4"/>
  <c r="V104" i="4"/>
  <c r="D105" i="4"/>
  <c r="L105" i="4"/>
  <c r="V105" i="4"/>
  <c r="D106" i="4"/>
  <c r="L106" i="4"/>
  <c r="V106" i="4"/>
  <c r="D107" i="4"/>
  <c r="L107" i="4"/>
  <c r="V107" i="4"/>
  <c r="D108" i="4"/>
  <c r="L108" i="4"/>
  <c r="V108" i="4"/>
  <c r="D109" i="4"/>
  <c r="L109" i="4"/>
  <c r="V109" i="4"/>
  <c r="D110" i="4"/>
  <c r="L110" i="4"/>
  <c r="R110" i="4"/>
  <c r="V110" i="4"/>
  <c r="L111" i="4"/>
  <c r="D112" i="4"/>
  <c r="L112" i="4"/>
  <c r="V112" i="4"/>
  <c r="D113" i="4"/>
  <c r="L113" i="4"/>
  <c r="R113" i="4"/>
  <c r="V113" i="4" s="1"/>
  <c r="D114" i="4"/>
  <c r="L114" i="4"/>
  <c r="R114" i="4"/>
  <c r="V114" i="4"/>
  <c r="D115" i="4"/>
  <c r="L115" i="4"/>
  <c r="R115" i="4"/>
  <c r="V115" i="4" s="1"/>
  <c r="D116" i="4"/>
  <c r="L116" i="4"/>
  <c r="R116" i="4"/>
  <c r="V116" i="4"/>
  <c r="D117" i="4"/>
  <c r="L117" i="4"/>
  <c r="R117" i="4"/>
  <c r="V117" i="4"/>
  <c r="D118" i="4"/>
  <c r="L118" i="4"/>
  <c r="R118" i="4"/>
  <c r="V118" i="4" s="1"/>
  <c r="D119" i="4"/>
  <c r="L119" i="4"/>
  <c r="R119" i="4"/>
  <c r="V119" i="4" s="1"/>
  <c r="D120" i="4"/>
  <c r="L120" i="4"/>
  <c r="R120" i="4"/>
  <c r="V120" i="4"/>
  <c r="D121" i="4"/>
  <c r="L121" i="4"/>
  <c r="R121" i="4"/>
  <c r="V121" i="4" s="1"/>
  <c r="D122" i="4"/>
  <c r="L122" i="4"/>
  <c r="R122" i="4"/>
  <c r="V122" i="4"/>
  <c r="D123" i="4"/>
  <c r="L123" i="4"/>
  <c r="R123" i="4"/>
  <c r="V123" i="4"/>
  <c r="D124" i="4"/>
  <c r="L124" i="4"/>
  <c r="R124" i="4"/>
  <c r="V124" i="4" s="1"/>
  <c r="D125" i="4"/>
  <c r="L125" i="4"/>
  <c r="R125" i="4"/>
  <c r="V125" i="4" s="1"/>
  <c r="D126" i="4"/>
  <c r="L126" i="4"/>
  <c r="R126" i="4"/>
  <c r="V126" i="4"/>
  <c r="D127" i="4"/>
  <c r="L127" i="4"/>
  <c r="R127" i="4"/>
  <c r="V127" i="4" s="1"/>
  <c r="D128" i="4"/>
  <c r="L128" i="4"/>
  <c r="R128" i="4"/>
  <c r="V128" i="4"/>
  <c r="D129" i="4"/>
  <c r="L129" i="4"/>
  <c r="R129" i="4"/>
  <c r="V129" i="4"/>
  <c r="D130" i="4"/>
  <c r="L130" i="4"/>
  <c r="R130" i="4"/>
  <c r="V130" i="4" s="1"/>
  <c r="D131" i="4"/>
  <c r="L131" i="4"/>
  <c r="R131" i="4"/>
  <c r="V131" i="4" s="1"/>
  <c r="D132" i="4"/>
  <c r="L132" i="4"/>
  <c r="R132" i="4"/>
  <c r="V132" i="4"/>
  <c r="D133" i="4"/>
  <c r="L133" i="4"/>
  <c r="R133" i="4"/>
  <c r="V133" i="4" s="1"/>
  <c r="D134" i="4"/>
  <c r="L134" i="4"/>
  <c r="R134" i="4"/>
  <c r="V134" i="4"/>
  <c r="D135" i="4"/>
  <c r="L135" i="4"/>
  <c r="R135" i="4"/>
  <c r="V135" i="4"/>
  <c r="D136" i="4"/>
  <c r="L136" i="4"/>
  <c r="R136" i="4"/>
  <c r="V136" i="4" s="1"/>
  <c r="D137" i="4"/>
  <c r="L137" i="4"/>
  <c r="R137" i="4"/>
  <c r="V137" i="4" s="1"/>
  <c r="D138" i="4"/>
  <c r="L138" i="4"/>
  <c r="R138" i="4"/>
  <c r="V138" i="4"/>
  <c r="D139" i="4"/>
  <c r="L139" i="4"/>
  <c r="R139" i="4"/>
  <c r="V139" i="4" s="1"/>
  <c r="D140" i="4"/>
  <c r="L140" i="4"/>
  <c r="R140" i="4"/>
  <c r="V140" i="4"/>
  <c r="D141" i="4"/>
  <c r="L141" i="4"/>
  <c r="R141" i="4"/>
  <c r="V141" i="4"/>
  <c r="D142" i="4"/>
  <c r="L142" i="4"/>
  <c r="R142" i="4"/>
  <c r="V142" i="4" s="1"/>
  <c r="D143" i="4"/>
  <c r="L143" i="4"/>
  <c r="R143" i="4"/>
  <c r="V143" i="4" s="1"/>
  <c r="D144" i="4"/>
  <c r="L144" i="4"/>
  <c r="R144" i="4"/>
  <c r="V144" i="4"/>
  <c r="D145" i="4"/>
  <c r="L145" i="4"/>
  <c r="R145" i="4"/>
  <c r="V145" i="4" s="1"/>
  <c r="D146" i="4"/>
  <c r="L146" i="4"/>
  <c r="R146" i="4"/>
  <c r="V146" i="4"/>
  <c r="D147" i="4"/>
  <c r="L147" i="4"/>
  <c r="R147" i="4"/>
  <c r="V147" i="4"/>
  <c r="D148" i="4"/>
  <c r="L148" i="4"/>
  <c r="R148" i="4"/>
  <c r="V148" i="4" s="1"/>
  <c r="D149" i="4"/>
  <c r="L149" i="4"/>
  <c r="R149" i="4"/>
  <c r="V149" i="4" s="1"/>
  <c r="D150" i="4"/>
  <c r="L150" i="4"/>
  <c r="R150" i="4"/>
  <c r="V150" i="4"/>
  <c r="D151" i="4"/>
  <c r="L151" i="4"/>
  <c r="R151" i="4"/>
  <c r="V151" i="4" s="1"/>
  <c r="D152" i="4"/>
  <c r="L152" i="4"/>
  <c r="R152" i="4"/>
  <c r="V152" i="4"/>
  <c r="D153" i="4"/>
  <c r="L153" i="4"/>
  <c r="R153" i="4"/>
  <c r="V153" i="4"/>
  <c r="D154" i="4"/>
  <c r="L154" i="4"/>
  <c r="R154" i="4"/>
  <c r="V154" i="4" s="1"/>
  <c r="D155" i="4"/>
  <c r="L155" i="4"/>
  <c r="R155" i="4"/>
  <c r="V155" i="4" s="1"/>
  <c r="D156" i="4"/>
  <c r="L156" i="4"/>
  <c r="R156" i="4"/>
  <c r="V156" i="4"/>
  <c r="D157" i="4"/>
  <c r="L157" i="4"/>
  <c r="R157" i="4"/>
  <c r="V157" i="4" s="1"/>
  <c r="D158" i="4"/>
  <c r="L158" i="4"/>
  <c r="R158" i="4"/>
  <c r="V158" i="4"/>
  <c r="D159" i="4"/>
  <c r="L159" i="4"/>
  <c r="R159" i="4"/>
  <c r="V159" i="4"/>
  <c r="D160" i="4"/>
  <c r="L160" i="4"/>
  <c r="R160" i="4"/>
  <c r="V160" i="4" s="1"/>
  <c r="D161" i="4"/>
  <c r="L161" i="4"/>
  <c r="R161" i="4"/>
  <c r="V161" i="4" s="1"/>
  <c r="D162" i="4"/>
  <c r="L162" i="4"/>
  <c r="R162" i="4"/>
  <c r="V162" i="4"/>
  <c r="D163" i="4"/>
  <c r="L163" i="4"/>
  <c r="R163" i="4"/>
  <c r="V163" i="4" s="1"/>
  <c r="D164" i="4"/>
  <c r="L164" i="4"/>
  <c r="R164" i="4"/>
  <c r="V164" i="4"/>
  <c r="D165" i="4"/>
  <c r="L165" i="4"/>
  <c r="R165" i="4"/>
  <c r="V165" i="4"/>
  <c r="D166" i="4"/>
  <c r="L166" i="4"/>
  <c r="R166" i="4"/>
  <c r="V166" i="4" s="1"/>
  <c r="D167" i="4"/>
  <c r="L167" i="4"/>
  <c r="R167" i="4"/>
  <c r="V167" i="4" s="1"/>
  <c r="D168" i="4"/>
  <c r="L168" i="4"/>
  <c r="R168" i="4"/>
  <c r="V168" i="4"/>
  <c r="D169" i="4"/>
  <c r="L169" i="4"/>
  <c r="R169" i="4"/>
  <c r="V169" i="4" s="1"/>
  <c r="D170" i="4"/>
  <c r="L170" i="4"/>
  <c r="R170" i="4"/>
  <c r="V170" i="4"/>
  <c r="D171" i="4"/>
  <c r="L171" i="4"/>
  <c r="R171" i="4"/>
  <c r="V171" i="4"/>
  <c r="D172" i="4"/>
  <c r="L172" i="4"/>
  <c r="R172" i="4"/>
  <c r="V172" i="4" s="1"/>
  <c r="D173" i="4"/>
  <c r="L173" i="4"/>
  <c r="R173" i="4"/>
  <c r="V173" i="4" s="1"/>
  <c r="D174" i="4"/>
  <c r="L174" i="4"/>
  <c r="R174" i="4"/>
  <c r="V174" i="4"/>
  <c r="D175" i="4"/>
  <c r="L175" i="4"/>
  <c r="R175" i="4"/>
  <c r="V175" i="4" s="1"/>
  <c r="D176" i="4"/>
  <c r="L176" i="4"/>
  <c r="R176" i="4"/>
  <c r="V176" i="4"/>
  <c r="D177" i="4"/>
  <c r="L177" i="4"/>
  <c r="R177" i="4"/>
  <c r="V177" i="4"/>
  <c r="D178" i="4"/>
  <c r="L178" i="4"/>
  <c r="V178" i="4"/>
  <c r="D179" i="4"/>
  <c r="L179" i="4"/>
  <c r="R179" i="4"/>
  <c r="V179" i="4" s="1"/>
  <c r="D180" i="4"/>
  <c r="L180" i="4"/>
  <c r="R180" i="4"/>
  <c r="V180" i="4" s="1"/>
  <c r="D181" i="4"/>
  <c r="L181" i="4"/>
  <c r="R181" i="4"/>
  <c r="V181" i="4"/>
  <c r="D182" i="4"/>
  <c r="L182" i="4"/>
  <c r="R182" i="4"/>
  <c r="V182" i="4" s="1"/>
  <c r="D183" i="4"/>
  <c r="L183" i="4"/>
  <c r="R183" i="4"/>
  <c r="V183" i="4" s="1"/>
  <c r="D184" i="4"/>
  <c r="L184" i="4"/>
  <c r="R184" i="4"/>
  <c r="V184" i="4"/>
  <c r="D185" i="4"/>
  <c r="L185" i="4"/>
  <c r="R185" i="4"/>
  <c r="V185" i="4" s="1"/>
  <c r="D186" i="4"/>
  <c r="L186" i="4"/>
  <c r="D187" i="4"/>
  <c r="L187" i="4"/>
  <c r="V187" i="4"/>
  <c r="D188" i="4"/>
  <c r="L188" i="4"/>
  <c r="V188" i="4"/>
  <c r="D189" i="4"/>
  <c r="L189" i="4"/>
  <c r="V189" i="4"/>
  <c r="D190" i="4"/>
  <c r="L190" i="4"/>
  <c r="R190" i="4"/>
  <c r="V190" i="4" s="1"/>
  <c r="D191" i="4"/>
  <c r="L191" i="4"/>
  <c r="R191" i="4"/>
  <c r="V191" i="4" s="1"/>
  <c r="D192" i="4"/>
  <c r="L192" i="4"/>
  <c r="R192" i="4"/>
  <c r="V192" i="4" s="1"/>
  <c r="D193" i="4"/>
  <c r="L193" i="4"/>
  <c r="R193" i="4"/>
  <c r="V193" i="4" s="1"/>
  <c r="D194" i="4"/>
  <c r="L194" i="4"/>
  <c r="R194" i="4"/>
  <c r="V194" i="4" s="1"/>
  <c r="D195" i="4"/>
  <c r="L195" i="4"/>
  <c r="R195" i="4"/>
  <c r="V195" i="4" s="1"/>
  <c r="D196" i="4"/>
  <c r="L196" i="4"/>
  <c r="V196" i="4"/>
  <c r="D197" i="4"/>
  <c r="L197" i="4"/>
  <c r="V197" i="4"/>
  <c r="D198" i="4"/>
  <c r="L198" i="4"/>
  <c r="V198" i="4"/>
  <c r="D199" i="4"/>
  <c r="L199" i="4"/>
  <c r="V199" i="4"/>
  <c r="D200" i="4"/>
  <c r="L200" i="4"/>
  <c r="V200" i="4"/>
  <c r="D201" i="4"/>
  <c r="L201" i="4"/>
  <c r="D202" i="4"/>
  <c r="L202" i="4"/>
  <c r="V202" i="4"/>
  <c r="D203" i="4"/>
  <c r="L203" i="4"/>
  <c r="R203" i="4"/>
  <c r="V203" i="4" s="1"/>
  <c r="D204" i="4"/>
  <c r="L204" i="4"/>
  <c r="V204" i="4"/>
  <c r="D205" i="4"/>
  <c r="L205" i="4"/>
  <c r="V205" i="4"/>
  <c r="D206" i="4"/>
  <c r="L206" i="4"/>
  <c r="R206" i="4"/>
  <c r="V206" i="4" s="1"/>
  <c r="D207" i="4"/>
  <c r="L207" i="4"/>
  <c r="T207" i="4"/>
  <c r="T1" i="4" s="1"/>
  <c r="D208" i="4"/>
  <c r="L208" i="4"/>
  <c r="V208" i="4"/>
  <c r="D209" i="4"/>
  <c r="L209" i="4"/>
  <c r="V209" i="4"/>
  <c r="D210" i="4"/>
  <c r="L210" i="4"/>
  <c r="V210" i="4"/>
  <c r="D211" i="4"/>
  <c r="L211" i="4"/>
  <c r="R211" i="4"/>
  <c r="V211" i="4"/>
  <c r="D212" i="4"/>
  <c r="L212" i="4"/>
  <c r="R212" i="4"/>
  <c r="V212" i="4"/>
  <c r="D213" i="4"/>
  <c r="L213" i="4"/>
  <c r="R213" i="4"/>
  <c r="V213" i="4"/>
  <c r="D214" i="4"/>
  <c r="L214" i="4"/>
  <c r="R214" i="4"/>
  <c r="V214" i="4"/>
  <c r="D215" i="4"/>
  <c r="L215" i="4"/>
  <c r="R215" i="4"/>
  <c r="V215" i="4"/>
  <c r="D216" i="4"/>
  <c r="L216" i="4"/>
  <c r="R216" i="4"/>
  <c r="V216" i="4"/>
  <c r="D217" i="4"/>
  <c r="L217" i="4"/>
  <c r="R217" i="4"/>
  <c r="V217" i="4"/>
  <c r="D218" i="4"/>
  <c r="L218" i="4"/>
  <c r="R218" i="4"/>
  <c r="V218" i="4"/>
  <c r="D219" i="4"/>
  <c r="L219" i="4"/>
  <c r="R219" i="4"/>
  <c r="V219" i="4"/>
  <c r="D221" i="4"/>
  <c r="L221" i="4"/>
  <c r="R221" i="4"/>
  <c r="V221" i="4"/>
  <c r="D222" i="4"/>
  <c r="L222" i="4"/>
  <c r="V222" i="4"/>
  <c r="D223" i="4"/>
  <c r="L223" i="4"/>
  <c r="R223" i="4"/>
  <c r="V223" i="4" s="1"/>
  <c r="D224" i="4"/>
  <c r="L224" i="4"/>
  <c r="V224" i="4"/>
  <c r="D225" i="4"/>
  <c r="L225" i="4"/>
  <c r="R225" i="4"/>
  <c r="V225" i="4" s="1"/>
  <c r="D226" i="4"/>
  <c r="L226" i="4"/>
  <c r="R226" i="4"/>
  <c r="V226" i="4"/>
  <c r="D227" i="4"/>
  <c r="L227" i="4"/>
  <c r="V227" i="4"/>
  <c r="D228" i="4"/>
  <c r="L228" i="4"/>
  <c r="V228" i="4"/>
  <c r="D229" i="4"/>
  <c r="L229" i="4"/>
  <c r="R229" i="4"/>
  <c r="V229" i="4"/>
  <c r="D230" i="4"/>
  <c r="L230" i="4"/>
  <c r="R230" i="4"/>
  <c r="V230" i="4"/>
  <c r="D231" i="4"/>
  <c r="L231" i="4"/>
  <c r="T231" i="4"/>
  <c r="V231" i="4"/>
  <c r="D232" i="4"/>
  <c r="L232" i="4"/>
  <c r="V232" i="4"/>
  <c r="D233" i="4"/>
  <c r="L233" i="4"/>
  <c r="V233" i="4"/>
  <c r="D234" i="4"/>
  <c r="L234" i="4"/>
  <c r="R234" i="4"/>
  <c r="V234" i="4" s="1"/>
  <c r="D235" i="4"/>
  <c r="L235" i="4"/>
  <c r="R235" i="4"/>
  <c r="V235" i="4" s="1"/>
  <c r="D236" i="4"/>
  <c r="L236" i="4"/>
  <c r="R236" i="4"/>
  <c r="V236" i="4"/>
  <c r="D237" i="4"/>
  <c r="L237" i="4"/>
  <c r="V237" i="4"/>
  <c r="D238" i="4"/>
  <c r="L238" i="4"/>
  <c r="R238" i="4"/>
  <c r="V238" i="4" s="1"/>
  <c r="D239" i="4"/>
  <c r="L239" i="4"/>
  <c r="V239" i="4"/>
  <c r="D240" i="4"/>
  <c r="L240" i="4"/>
  <c r="V240" i="4"/>
  <c r="D241" i="4"/>
  <c r="L241" i="4"/>
  <c r="V241" i="4"/>
  <c r="D242" i="4"/>
  <c r="L242" i="4"/>
  <c r="V242" i="4"/>
  <c r="D243" i="4"/>
  <c r="L243" i="4"/>
  <c r="V243" i="4"/>
  <c r="D244" i="4"/>
  <c r="L244" i="4"/>
  <c r="V244" i="4"/>
  <c r="D245" i="4"/>
  <c r="L245" i="4"/>
  <c r="R245" i="4"/>
  <c r="V245" i="4"/>
  <c r="D246" i="4"/>
  <c r="L246" i="4"/>
  <c r="V246" i="4"/>
  <c r="D247" i="4"/>
  <c r="L247" i="4"/>
  <c r="V247" i="4"/>
  <c r="D248" i="4"/>
  <c r="L248" i="4"/>
  <c r="R248" i="4"/>
  <c r="V248" i="4" s="1"/>
  <c r="D249" i="4"/>
  <c r="L249" i="4"/>
  <c r="V249" i="4"/>
  <c r="D250" i="4"/>
  <c r="L250" i="4"/>
  <c r="V250" i="4"/>
  <c r="D251" i="4"/>
  <c r="L251" i="4"/>
  <c r="V251" i="4"/>
  <c r="D252" i="4"/>
  <c r="L252" i="4"/>
  <c r="V252" i="4"/>
  <c r="D253" i="4"/>
  <c r="L253" i="4"/>
  <c r="R253" i="4"/>
  <c r="V253" i="4" s="1"/>
  <c r="D254" i="4"/>
  <c r="L254" i="4"/>
  <c r="R254" i="4"/>
  <c r="V254" i="4" s="1"/>
  <c r="D255" i="4"/>
  <c r="L255" i="4"/>
  <c r="R255" i="4"/>
  <c r="V255" i="4" s="1"/>
  <c r="D256" i="4"/>
  <c r="L256" i="4"/>
  <c r="R256" i="4"/>
  <c r="V256" i="4" s="1"/>
  <c r="D257" i="4"/>
  <c r="L257" i="4"/>
  <c r="V257" i="4"/>
  <c r="D258" i="4"/>
  <c r="L258" i="4"/>
  <c r="R258" i="4"/>
  <c r="V258" i="4"/>
  <c r="D259" i="4"/>
  <c r="L259" i="4"/>
  <c r="R259" i="4"/>
  <c r="V259" i="4"/>
  <c r="D260" i="4"/>
  <c r="L260" i="4"/>
  <c r="D261" i="4"/>
  <c r="L261" i="4"/>
  <c r="R261" i="4"/>
  <c r="V261" i="4"/>
  <c r="D262" i="4"/>
  <c r="L262" i="4"/>
  <c r="R262" i="4"/>
  <c r="V262" i="4" s="1"/>
  <c r="D263" i="4"/>
  <c r="L263" i="4"/>
  <c r="R263" i="4"/>
  <c r="V263" i="4"/>
  <c r="D264" i="4"/>
  <c r="L264" i="4"/>
  <c r="R264" i="4"/>
  <c r="V264" i="4"/>
  <c r="D265" i="4"/>
  <c r="L265" i="4"/>
  <c r="R265" i="4"/>
  <c r="V265" i="4" s="1"/>
  <c r="D266" i="4"/>
  <c r="L266" i="4"/>
  <c r="V266" i="4"/>
  <c r="D267" i="4"/>
  <c r="L267" i="4"/>
  <c r="V267" i="4"/>
  <c r="D268" i="4"/>
  <c r="L268" i="4"/>
  <c r="V268" i="4"/>
  <c r="D269" i="4"/>
  <c r="L269" i="4"/>
  <c r="V269" i="4"/>
  <c r="D270" i="4"/>
  <c r="L270" i="4"/>
  <c r="R270" i="4"/>
  <c r="T270" i="4"/>
  <c r="V270" i="4" s="1"/>
  <c r="D271" i="4"/>
  <c r="L271" i="4"/>
  <c r="V271" i="4"/>
  <c r="D272" i="4"/>
  <c r="L272" i="4"/>
  <c r="V272" i="4"/>
  <c r="D273" i="4"/>
  <c r="L273" i="4"/>
  <c r="V273" i="4"/>
  <c r="D274" i="4"/>
  <c r="L274" i="4"/>
  <c r="V274" i="4"/>
  <c r="D275" i="4"/>
  <c r="L275" i="4"/>
  <c r="V275" i="4"/>
  <c r="D276" i="4"/>
  <c r="L276" i="4"/>
  <c r="R276" i="4"/>
  <c r="V276" i="4" s="1"/>
  <c r="D277" i="4"/>
  <c r="L277" i="4"/>
  <c r="R277" i="4"/>
  <c r="V277" i="4"/>
  <c r="D278" i="4"/>
  <c r="L278" i="4"/>
  <c r="D279" i="4"/>
  <c r="L279" i="4"/>
  <c r="V279" i="4"/>
  <c r="D280" i="4"/>
  <c r="L280" i="4"/>
  <c r="V280" i="4"/>
  <c r="D281" i="4"/>
  <c r="L281" i="4"/>
  <c r="V281" i="4"/>
  <c r="D282" i="4"/>
  <c r="L282" i="4"/>
  <c r="V282" i="4"/>
  <c r="D283" i="4"/>
  <c r="L283" i="4"/>
  <c r="V283" i="4"/>
  <c r="D284" i="4"/>
  <c r="L284" i="4"/>
  <c r="V284" i="4"/>
  <c r="D285" i="4"/>
  <c r="L285" i="4"/>
  <c r="V285" i="4"/>
  <c r="D286" i="4"/>
  <c r="L286" i="4"/>
  <c r="V286" i="4"/>
  <c r="D287" i="4"/>
  <c r="L287" i="4"/>
  <c r="V287" i="4"/>
  <c r="D288" i="4"/>
  <c r="V288" i="4"/>
  <c r="D289" i="4"/>
  <c r="L289" i="4"/>
  <c r="V289" i="4"/>
  <c r="D290" i="4"/>
  <c r="L290" i="4"/>
  <c r="V290" i="4"/>
  <c r="D291" i="4"/>
  <c r="L291" i="4"/>
  <c r="V291" i="4"/>
  <c r="D292" i="4"/>
  <c r="L292" i="4"/>
  <c r="V292" i="4"/>
  <c r="D293" i="4"/>
  <c r="L293" i="4"/>
  <c r="V293" i="4"/>
  <c r="D294" i="4"/>
  <c r="L294" i="4"/>
  <c r="V294" i="4"/>
  <c r="D295" i="4"/>
  <c r="L295" i="4"/>
  <c r="V295" i="4"/>
  <c r="D296" i="4"/>
  <c r="L296" i="4"/>
  <c r="V296" i="4"/>
  <c r="D297" i="4"/>
  <c r="L297" i="4"/>
  <c r="V297" i="4"/>
  <c r="D298" i="4"/>
  <c r="L298" i="4"/>
  <c r="V298" i="4"/>
  <c r="D299" i="4"/>
  <c r="L299" i="4"/>
  <c r="V299" i="4"/>
  <c r="D300" i="4"/>
  <c r="L300" i="4"/>
  <c r="V300" i="4"/>
  <c r="D301" i="4"/>
  <c r="L301" i="4"/>
  <c r="V301" i="4"/>
  <c r="D302" i="4"/>
  <c r="L302" i="4"/>
  <c r="V302" i="4"/>
  <c r="D303" i="4"/>
  <c r="L303" i="4"/>
  <c r="V303" i="4"/>
  <c r="D304" i="4"/>
  <c r="L304" i="4"/>
  <c r="V304" i="4"/>
  <c r="D305" i="4"/>
  <c r="L305" i="4"/>
  <c r="V305" i="4"/>
  <c r="D306" i="4"/>
  <c r="L306" i="4"/>
  <c r="V306" i="4"/>
  <c r="D307" i="4"/>
  <c r="L307" i="4"/>
  <c r="V307" i="4"/>
  <c r="D308" i="4"/>
  <c r="L308" i="4"/>
  <c r="V308" i="4"/>
  <c r="D309" i="4"/>
  <c r="L309" i="4"/>
  <c r="V309" i="4"/>
  <c r="D310" i="4"/>
  <c r="L310" i="4"/>
  <c r="V310" i="4"/>
  <c r="D311" i="4"/>
  <c r="L311" i="4"/>
  <c r="V311" i="4"/>
  <c r="D312" i="4"/>
  <c r="L312" i="4"/>
  <c r="V312" i="4"/>
  <c r="D313" i="4"/>
  <c r="L313" i="4"/>
  <c r="V313" i="4"/>
  <c r="D314" i="4"/>
  <c r="L314" i="4"/>
  <c r="V314" i="4"/>
  <c r="D315" i="4"/>
  <c r="L315" i="4"/>
  <c r="V315" i="4"/>
  <c r="D316" i="4"/>
  <c r="L316" i="4"/>
  <c r="V316" i="4"/>
  <c r="D317" i="4"/>
  <c r="L317" i="4"/>
  <c r="V317" i="4"/>
  <c r="D318" i="4"/>
  <c r="L318" i="4"/>
  <c r="V318" i="4"/>
  <c r="D319" i="4"/>
  <c r="L319" i="4"/>
  <c r="D320" i="4"/>
  <c r="L320" i="4"/>
  <c r="V320" i="4"/>
  <c r="D321" i="4"/>
  <c r="L321" i="4"/>
  <c r="V321" i="4"/>
  <c r="D322" i="4"/>
  <c r="L322" i="4"/>
  <c r="V322" i="4"/>
  <c r="D323" i="4"/>
  <c r="L323" i="4"/>
  <c r="V323" i="4"/>
  <c r="D324" i="4"/>
  <c r="L324" i="4"/>
  <c r="V324" i="4"/>
  <c r="D325" i="4"/>
  <c r="L325" i="4"/>
  <c r="O325" i="4"/>
  <c r="P325" i="4"/>
  <c r="Q325" i="4"/>
  <c r="V325" i="4"/>
  <c r="D326" i="4"/>
  <c r="L326" i="4"/>
  <c r="V326" i="4"/>
  <c r="D327" i="4"/>
  <c r="L327" i="4"/>
  <c r="V327" i="4"/>
  <c r="D328" i="4"/>
  <c r="L328" i="4"/>
  <c r="V328" i="4"/>
  <c r="D329" i="4"/>
  <c r="L329" i="4"/>
  <c r="V329" i="4"/>
  <c r="D330" i="4"/>
  <c r="L330" i="4"/>
  <c r="V330" i="4"/>
  <c r="D331" i="4"/>
  <c r="L331" i="4"/>
  <c r="V331" i="4"/>
  <c r="D332" i="4"/>
  <c r="L332" i="4"/>
  <c r="V332" i="4"/>
  <c r="D333" i="4"/>
  <c r="L333" i="4"/>
  <c r="V333" i="4"/>
  <c r="D334" i="4"/>
  <c r="L334" i="4"/>
  <c r="V334" i="4"/>
  <c r="D335" i="4"/>
  <c r="L335" i="4"/>
  <c r="V335" i="4"/>
  <c r="D336" i="4"/>
  <c r="L336" i="4"/>
  <c r="V336" i="4"/>
  <c r="D337" i="4"/>
  <c r="L337" i="4"/>
  <c r="V337" i="4"/>
  <c r="D338" i="4"/>
  <c r="L338" i="4"/>
  <c r="V338" i="4"/>
  <c r="D339" i="4"/>
  <c r="L339" i="4"/>
  <c r="V339" i="4"/>
  <c r="D340" i="4"/>
  <c r="L340" i="4"/>
  <c r="V340" i="4"/>
  <c r="D341" i="4"/>
  <c r="L341" i="4"/>
  <c r="V341" i="4"/>
  <c r="D342" i="4"/>
  <c r="L342" i="4"/>
  <c r="V342" i="4"/>
  <c r="D343" i="4"/>
  <c r="D344" i="4"/>
  <c r="L344" i="4"/>
  <c r="V344" i="4"/>
  <c r="D345" i="4"/>
  <c r="L345" i="4"/>
  <c r="D346" i="4"/>
  <c r="L346" i="4"/>
  <c r="V346" i="4"/>
  <c r="D347" i="4"/>
  <c r="L347" i="4"/>
  <c r="V347" i="4"/>
  <c r="D348" i="4"/>
  <c r="L348" i="4"/>
  <c r="V348" i="4"/>
  <c r="D349" i="4"/>
  <c r="L349" i="4"/>
  <c r="V349" i="4"/>
  <c r="D350" i="4"/>
  <c r="L350" i="4"/>
  <c r="V350" i="4"/>
  <c r="D351" i="4"/>
  <c r="L351" i="4"/>
  <c r="V351" i="4"/>
  <c r="D352" i="4"/>
  <c r="L352" i="4"/>
  <c r="V352" i="4"/>
  <c r="D353" i="4"/>
  <c r="L353" i="4"/>
  <c r="V353" i="4"/>
  <c r="D354" i="4"/>
  <c r="L354" i="4"/>
  <c r="V354" i="4"/>
  <c r="D355" i="4"/>
  <c r="L355" i="4"/>
  <c r="V355" i="4"/>
  <c r="D356" i="4"/>
  <c r="L356" i="4"/>
  <c r="V356" i="4"/>
  <c r="D357" i="4"/>
  <c r="L357" i="4"/>
  <c r="V357" i="4"/>
  <c r="D358" i="4"/>
  <c r="L358" i="4"/>
  <c r="V358" i="4"/>
  <c r="D359" i="4"/>
  <c r="L359" i="4"/>
  <c r="V359" i="4"/>
  <c r="D360" i="4"/>
  <c r="L360" i="4"/>
  <c r="V360" i="4"/>
  <c r="D361" i="4"/>
  <c r="L361" i="4"/>
  <c r="V361" i="4"/>
  <c r="D362" i="4"/>
  <c r="L362" i="4"/>
  <c r="V362" i="4"/>
  <c r="D363" i="4"/>
  <c r="L363" i="4"/>
  <c r="V363" i="4"/>
  <c r="D364" i="4"/>
  <c r="L364" i="4"/>
  <c r="V364" i="4"/>
  <c r="D365" i="4"/>
  <c r="L365" i="4"/>
  <c r="V365" i="4"/>
  <c r="D366" i="4"/>
  <c r="L366" i="4"/>
  <c r="V366" i="4"/>
  <c r="D367" i="4"/>
  <c r="L367" i="4"/>
  <c r="V367" i="4"/>
  <c r="D368" i="4"/>
  <c r="L368" i="4"/>
  <c r="V368" i="4"/>
  <c r="D369" i="4"/>
  <c r="L369" i="4"/>
  <c r="V369" i="4"/>
  <c r="D370" i="4"/>
  <c r="L370" i="4"/>
  <c r="V370" i="4"/>
  <c r="D371" i="4"/>
  <c r="L371" i="4"/>
  <c r="V371" i="4"/>
  <c r="D372" i="4"/>
  <c r="L372" i="4"/>
  <c r="V372" i="4"/>
  <c r="D373" i="4"/>
  <c r="L373" i="4"/>
  <c r="V373" i="4"/>
  <c r="D374" i="4"/>
  <c r="L374" i="4"/>
  <c r="V374" i="4"/>
  <c r="D375" i="4"/>
  <c r="L375" i="4"/>
  <c r="V375" i="4"/>
  <c r="D376" i="4"/>
  <c r="L376" i="4"/>
  <c r="V376" i="4"/>
  <c r="D377" i="4"/>
  <c r="L377" i="4"/>
  <c r="D378" i="4"/>
  <c r="L378" i="4"/>
  <c r="V378" i="4"/>
  <c r="D379" i="4"/>
  <c r="L379" i="4"/>
  <c r="V379" i="4"/>
  <c r="D380" i="4"/>
  <c r="L380" i="4"/>
  <c r="D381" i="4"/>
  <c r="V381" i="4"/>
  <c r="D382" i="4"/>
  <c r="L382" i="4"/>
  <c r="R382" i="4"/>
  <c r="V382" i="4"/>
  <c r="D383" i="4"/>
  <c r="L383" i="4"/>
  <c r="R383" i="4"/>
  <c r="V383" i="4"/>
  <c r="D384" i="4"/>
  <c r="L384" i="4"/>
  <c r="R384" i="4"/>
  <c r="V384" i="4"/>
  <c r="D385" i="4"/>
  <c r="R385" i="4"/>
  <c r="T385" i="4" s="1"/>
  <c r="V385" i="4" s="1"/>
  <c r="D386" i="4"/>
  <c r="R386" i="4"/>
  <c r="T386" i="4"/>
  <c r="V386" i="4"/>
  <c r="D387" i="4"/>
  <c r="R387" i="4"/>
  <c r="T387" i="4"/>
  <c r="V387" i="4"/>
  <c r="V388" i="4"/>
  <c r="D389" i="4"/>
  <c r="L389" i="4"/>
  <c r="R389" i="4"/>
  <c r="V389" i="4" s="1"/>
  <c r="D390" i="4"/>
  <c r="L390" i="4"/>
  <c r="V390" i="4"/>
  <c r="D391" i="4"/>
  <c r="L391" i="4"/>
  <c r="D392" i="4"/>
  <c r="L392" i="4"/>
  <c r="V392" i="4"/>
  <c r="D393" i="4"/>
  <c r="L393" i="4"/>
  <c r="V393" i="4"/>
  <c r="D394" i="4"/>
  <c r="L394" i="4"/>
  <c r="V394" i="4"/>
  <c r="D395" i="4"/>
  <c r="L395" i="4"/>
  <c r="V395" i="4"/>
  <c r="D396" i="4"/>
  <c r="L396" i="4"/>
  <c r="V396" i="4"/>
  <c r="D397" i="4"/>
  <c r="L397" i="4"/>
  <c r="V397" i="4"/>
  <c r="D398" i="4"/>
  <c r="L398" i="4"/>
  <c r="V398" i="4"/>
  <c r="D399" i="4"/>
  <c r="L399" i="4"/>
  <c r="V399" i="4"/>
  <c r="D400" i="4"/>
  <c r="L400" i="4"/>
  <c r="V400" i="4"/>
  <c r="D401" i="4"/>
  <c r="V401" i="4"/>
  <c r="D402" i="4"/>
  <c r="L402" i="4"/>
  <c r="V402" i="4"/>
  <c r="D403" i="4"/>
  <c r="L403" i="4"/>
  <c r="D404" i="4"/>
  <c r="L404" i="4"/>
  <c r="V404" i="4"/>
  <c r="D405" i="4"/>
  <c r="L405" i="4"/>
  <c r="V405" i="4"/>
  <c r="D406" i="4"/>
  <c r="L406" i="4"/>
  <c r="R406" i="4"/>
  <c r="V406" i="4"/>
  <c r="D407" i="4"/>
  <c r="L407" i="4"/>
  <c r="D408" i="4"/>
  <c r="L408" i="4"/>
  <c r="V408" i="4"/>
  <c r="D409" i="4"/>
  <c r="L409" i="4"/>
  <c r="V409" i="4"/>
  <c r="D410" i="4"/>
  <c r="L410" i="4"/>
  <c r="V410" i="4"/>
  <c r="D411" i="4"/>
  <c r="L411" i="4"/>
  <c r="V411" i="4"/>
  <c r="D412" i="4"/>
  <c r="L412" i="4"/>
  <c r="V412" i="4"/>
  <c r="D413" i="4"/>
  <c r="L413" i="4"/>
  <c r="V413" i="4"/>
  <c r="D414" i="4"/>
  <c r="L414" i="4"/>
  <c r="R414" i="4"/>
  <c r="V414" i="4"/>
  <c r="D415" i="4"/>
  <c r="L415" i="4"/>
  <c r="R415" i="4"/>
  <c r="V415" i="4"/>
  <c r="D416" i="4"/>
  <c r="L416" i="4"/>
  <c r="R416" i="4"/>
  <c r="V416" i="4" s="1"/>
  <c r="D417" i="4"/>
  <c r="L417" i="4"/>
  <c r="D418" i="4"/>
  <c r="L418" i="4"/>
  <c r="R418" i="4"/>
  <c r="V418" i="4"/>
  <c r="D419" i="4"/>
  <c r="L419" i="4"/>
  <c r="R419" i="4"/>
  <c r="V419" i="4" s="1"/>
  <c r="D420" i="4"/>
  <c r="L420" i="4"/>
  <c r="R420" i="4"/>
  <c r="V420" i="4"/>
  <c r="D421" i="4"/>
  <c r="L421" i="4"/>
  <c r="R421" i="4"/>
  <c r="V421" i="4"/>
  <c r="D422" i="4"/>
  <c r="L422" i="4"/>
  <c r="R422" i="4"/>
  <c r="V422" i="4"/>
  <c r="D423" i="4"/>
  <c r="L423" i="4"/>
  <c r="R423" i="4"/>
  <c r="V423" i="4"/>
  <c r="D424" i="4"/>
  <c r="L424" i="4"/>
  <c r="R424" i="4"/>
  <c r="V424" i="4"/>
  <c r="D425" i="4"/>
  <c r="L425" i="4"/>
  <c r="R425" i="4"/>
  <c r="V425" i="4" s="1"/>
  <c r="D426" i="4"/>
  <c r="L426" i="4"/>
  <c r="R426" i="4"/>
  <c r="V426" i="4"/>
  <c r="D427" i="4"/>
  <c r="L427" i="4"/>
  <c r="R427" i="4"/>
  <c r="V427" i="4"/>
  <c r="D428" i="4"/>
  <c r="L428" i="4"/>
  <c r="R428" i="4"/>
  <c r="V428" i="4"/>
  <c r="D429" i="4"/>
  <c r="L429" i="4"/>
  <c r="R429" i="4"/>
  <c r="V429" i="4"/>
  <c r="D430" i="4"/>
  <c r="L430" i="4"/>
  <c r="R430" i="4"/>
  <c r="V430" i="4"/>
  <c r="D431" i="4"/>
  <c r="L431" i="4"/>
  <c r="R431" i="4"/>
  <c r="V431" i="4" s="1"/>
  <c r="D432" i="4"/>
  <c r="L432" i="4"/>
  <c r="R432" i="4"/>
  <c r="V432" i="4"/>
  <c r="D433" i="4"/>
  <c r="L433" i="4"/>
  <c r="V433" i="4"/>
  <c r="D434" i="4"/>
  <c r="L434" i="4"/>
  <c r="R434" i="4"/>
  <c r="V434" i="4" s="1"/>
  <c r="D435" i="4"/>
  <c r="L435" i="4"/>
  <c r="V435" i="4"/>
  <c r="D436" i="4"/>
  <c r="L436" i="4"/>
  <c r="V436" i="4"/>
  <c r="D437" i="4"/>
  <c r="L437" i="4"/>
  <c r="V437" i="4"/>
  <c r="D438" i="4"/>
  <c r="L438" i="4"/>
  <c r="V438" i="4"/>
  <c r="D439" i="4"/>
  <c r="L439" i="4"/>
  <c r="V439" i="4"/>
  <c r="D440" i="4"/>
  <c r="L440" i="4"/>
  <c r="V440" i="4"/>
  <c r="D442" i="4"/>
  <c r="L442" i="4"/>
  <c r="V442" i="4"/>
  <c r="D443" i="4"/>
  <c r="L443" i="4"/>
  <c r="V443" i="4"/>
  <c r="D444" i="4"/>
  <c r="V444" i="4"/>
  <c r="D445" i="4"/>
  <c r="L445" i="4"/>
  <c r="V445" i="4"/>
  <c r="D446" i="4"/>
  <c r="L446" i="4"/>
  <c r="V446" i="4"/>
  <c r="D447" i="4"/>
  <c r="L447" i="4"/>
  <c r="R447" i="4"/>
  <c r="V447" i="4"/>
  <c r="D448" i="4"/>
  <c r="L448" i="4"/>
  <c r="R448" i="4"/>
  <c r="V448" i="4" s="1"/>
  <c r="D449" i="4"/>
  <c r="L449" i="4"/>
  <c r="V449" i="4"/>
  <c r="D451" i="4"/>
  <c r="L451" i="4"/>
  <c r="R451" i="4"/>
  <c r="V451" i="4"/>
  <c r="D452" i="4"/>
  <c r="L452" i="4"/>
  <c r="R452" i="4"/>
  <c r="V452" i="4" s="1"/>
  <c r="D453" i="4"/>
  <c r="L453" i="4"/>
  <c r="V453" i="4"/>
  <c r="D454" i="4"/>
  <c r="L454" i="4"/>
  <c r="R454" i="4"/>
  <c r="V454" i="4" s="1"/>
  <c r="D455" i="4"/>
  <c r="L455" i="4"/>
  <c r="R455" i="4"/>
  <c r="V455" i="4" s="1"/>
  <c r="D456" i="4"/>
  <c r="L456" i="4"/>
  <c r="V456" i="4"/>
  <c r="D457" i="4"/>
  <c r="L457" i="4"/>
  <c r="R457" i="4"/>
  <c r="V457" i="4"/>
  <c r="D458" i="4"/>
  <c r="L458" i="4"/>
  <c r="R458" i="4"/>
  <c r="V458" i="4"/>
  <c r="D459" i="4"/>
  <c r="L459" i="4"/>
  <c r="V459" i="4"/>
  <c r="D460" i="4"/>
  <c r="L460" i="4"/>
  <c r="V460" i="4"/>
  <c r="D461" i="4"/>
  <c r="L461" i="4"/>
  <c r="R461" i="4"/>
  <c r="V461" i="4"/>
  <c r="D462" i="4"/>
  <c r="L462" i="4"/>
  <c r="R462" i="4"/>
  <c r="V462" i="4" s="1"/>
  <c r="D463" i="4"/>
  <c r="L463" i="4"/>
  <c r="R463" i="4"/>
  <c r="V463" i="4"/>
  <c r="D464" i="4"/>
  <c r="L464" i="4"/>
  <c r="V464" i="4"/>
  <c r="D465" i="4"/>
  <c r="L465" i="4"/>
  <c r="V465" i="4"/>
  <c r="D466" i="4"/>
  <c r="L466" i="4"/>
  <c r="R466" i="4"/>
  <c r="V466" i="4"/>
  <c r="D467" i="4"/>
  <c r="L467" i="4"/>
  <c r="R467" i="4"/>
  <c r="V467" i="4"/>
  <c r="D468" i="4"/>
  <c r="L468" i="4"/>
  <c r="V468" i="4"/>
  <c r="D469" i="4"/>
  <c r="L469" i="4"/>
  <c r="V469" i="4"/>
  <c r="D470" i="4"/>
  <c r="V470" i="4"/>
  <c r="D471" i="4"/>
  <c r="L471" i="4"/>
  <c r="V471" i="4"/>
  <c r="D472" i="4"/>
  <c r="L472" i="4"/>
  <c r="D474" i="4"/>
  <c r="L474" i="4"/>
  <c r="R474" i="4"/>
  <c r="V474" i="4"/>
  <c r="D475" i="4"/>
  <c r="L475" i="4"/>
  <c r="R475" i="4"/>
  <c r="V475" i="4" s="1"/>
  <c r="X480" i="4"/>
  <c r="X486" i="4" s="1"/>
  <c r="X481" i="4"/>
  <c r="X482" i="4"/>
  <c r="X483" i="4"/>
  <c r="X484" i="4"/>
  <c r="X485" i="4"/>
  <c r="Z489" i="4"/>
  <c r="Z490" i="4"/>
  <c r="Z491" i="4"/>
  <c r="Z492" i="4"/>
  <c r="Z493" i="4"/>
  <c r="Z494" i="4"/>
  <c r="X495" i="4"/>
  <c r="Y495" i="4"/>
  <c r="Z495" i="4"/>
  <c r="X500" i="4"/>
  <c r="Y500" i="4"/>
  <c r="Z500" i="4" s="1"/>
  <c r="Z504" i="4" s="1"/>
  <c r="AB500" i="4"/>
  <c r="AB504" i="4" s="1"/>
  <c r="X501" i="4"/>
  <c r="Y501" i="4"/>
  <c r="AB501" i="4"/>
  <c r="X502" i="4"/>
  <c r="Y502" i="4"/>
  <c r="AB502" i="4"/>
  <c r="Y503" i="4"/>
  <c r="X504" i="4"/>
  <c r="Y504" i="4"/>
  <c r="Z501" i="4" s="1"/>
  <c r="AC501" i="4" s="1"/>
  <c r="X505" i="4"/>
  <c r="Y505" i="4"/>
  <c r="X506" i="4"/>
  <c r="Y506" i="4"/>
  <c r="X507" i="4"/>
  <c r="Y507" i="4"/>
  <c r="X508" i="4"/>
  <c r="Y508" i="4"/>
  <c r="X509" i="4"/>
  <c r="Y509" i="4"/>
  <c r="X510" i="4"/>
  <c r="Y510" i="4"/>
  <c r="X511" i="4"/>
  <c r="Y511" i="4"/>
  <c r="X512" i="4"/>
  <c r="Y512" i="4"/>
  <c r="Y513" i="4"/>
  <c r="X514" i="4"/>
  <c r="Y514" i="4"/>
  <c r="X515" i="4"/>
  <c r="Y515" i="4"/>
  <c r="Z502" i="4" s="1"/>
  <c r="X516" i="4"/>
  <c r="Y516" i="4"/>
  <c r="X517" i="4"/>
  <c r="Y517" i="4"/>
  <c r="Y518" i="4"/>
  <c r="X519" i="4"/>
  <c r="Y519" i="4"/>
  <c r="Z503" i="4" s="1"/>
  <c r="AC503" i="4" s="1"/>
  <c r="S1" i="3"/>
  <c r="X2" i="3" s="1"/>
  <c r="D3" i="3"/>
  <c r="E3" i="3"/>
  <c r="M3" i="3"/>
  <c r="W3" i="3"/>
  <c r="Z3" i="3"/>
  <c r="D4" i="3"/>
  <c r="E4" i="3"/>
  <c r="M4" i="3"/>
  <c r="W4" i="3"/>
  <c r="D5" i="3"/>
  <c r="E5" i="3"/>
  <c r="M5" i="3"/>
  <c r="W5" i="3"/>
  <c r="D6" i="3"/>
  <c r="E6" i="3"/>
  <c r="M6" i="3"/>
  <c r="W6" i="3"/>
  <c r="D7" i="3"/>
  <c r="E7" i="3"/>
  <c r="M7" i="3"/>
  <c r="W7" i="3"/>
  <c r="D8" i="3"/>
  <c r="E8" i="3"/>
  <c r="M8" i="3"/>
  <c r="W8" i="3"/>
  <c r="D9" i="3"/>
  <c r="E9" i="3"/>
  <c r="M9" i="3"/>
  <c r="W9" i="3"/>
  <c r="D10" i="3"/>
  <c r="E10" i="3"/>
  <c r="M10" i="3"/>
  <c r="W10" i="3"/>
  <c r="D11" i="3"/>
  <c r="E11" i="3"/>
  <c r="M11" i="3"/>
  <c r="W11" i="3"/>
  <c r="D12" i="3"/>
  <c r="E12" i="3"/>
  <c r="M12" i="3"/>
  <c r="W12" i="3"/>
  <c r="D13" i="3"/>
  <c r="E13" i="3"/>
  <c r="M13" i="3"/>
  <c r="W13" i="3"/>
  <c r="D14" i="3"/>
  <c r="E14" i="3"/>
  <c r="M14" i="3"/>
  <c r="W14" i="3"/>
  <c r="D15" i="3"/>
  <c r="E15" i="3"/>
  <c r="M15" i="3"/>
  <c r="W15" i="3"/>
  <c r="D16" i="3"/>
  <c r="E16" i="3"/>
  <c r="M16" i="3"/>
  <c r="W16" i="3"/>
  <c r="D17" i="3"/>
  <c r="E17" i="3"/>
  <c r="M17" i="3"/>
  <c r="W17" i="3"/>
  <c r="D18" i="3"/>
  <c r="E18" i="3"/>
  <c r="M18" i="3"/>
  <c r="W18" i="3"/>
  <c r="D19" i="3"/>
  <c r="E19" i="3"/>
  <c r="M19" i="3"/>
  <c r="W19" i="3"/>
  <c r="D20" i="3"/>
  <c r="E20" i="3"/>
  <c r="M20" i="3"/>
  <c r="W20" i="3"/>
  <c r="D21" i="3"/>
  <c r="E21" i="3"/>
  <c r="M21" i="3"/>
  <c r="W21" i="3"/>
  <c r="D22" i="3"/>
  <c r="E22" i="3"/>
  <c r="M22" i="3"/>
  <c r="W22" i="3"/>
  <c r="D23" i="3"/>
  <c r="E23" i="3"/>
  <c r="M23" i="3"/>
  <c r="W23" i="3"/>
  <c r="D24" i="3"/>
  <c r="E24" i="3"/>
  <c r="M24" i="3"/>
  <c r="W24" i="3"/>
  <c r="D25" i="3"/>
  <c r="E25" i="3"/>
  <c r="M25" i="3"/>
  <c r="W25" i="3"/>
  <c r="D26" i="3"/>
  <c r="E26" i="3"/>
  <c r="M26" i="3"/>
  <c r="W26" i="3"/>
  <c r="AD26" i="3"/>
  <c r="D27" i="3"/>
  <c r="E27" i="3"/>
  <c r="M27" i="3"/>
  <c r="W27" i="3"/>
  <c r="D28" i="3"/>
  <c r="E28" i="3"/>
  <c r="M28" i="3"/>
  <c r="W28" i="3"/>
  <c r="D29" i="3"/>
  <c r="E29" i="3"/>
  <c r="M29" i="3"/>
  <c r="W29" i="3"/>
  <c r="D30" i="3"/>
  <c r="E30" i="3"/>
  <c r="M30" i="3"/>
  <c r="W30" i="3"/>
  <c r="D31" i="3"/>
  <c r="E31" i="3"/>
  <c r="M31" i="3"/>
  <c r="W31" i="3"/>
  <c r="D32" i="3"/>
  <c r="E32" i="3"/>
  <c r="M32" i="3"/>
  <c r="W32" i="3"/>
  <c r="D33" i="3"/>
  <c r="E33" i="3"/>
  <c r="M33" i="3"/>
  <c r="W33" i="3"/>
  <c r="D34" i="3"/>
  <c r="E34" i="3"/>
  <c r="M34" i="3"/>
  <c r="W34" i="3"/>
  <c r="D35" i="3"/>
  <c r="E35" i="3"/>
  <c r="M35" i="3"/>
  <c r="W35" i="3"/>
  <c r="D36" i="3"/>
  <c r="E36" i="3"/>
  <c r="M36" i="3"/>
  <c r="W36" i="3"/>
  <c r="D37" i="3"/>
  <c r="E37" i="3"/>
  <c r="M37" i="3"/>
  <c r="W37" i="3"/>
  <c r="D38" i="3"/>
  <c r="E38" i="3"/>
  <c r="M38" i="3"/>
  <c r="W38" i="3"/>
  <c r="D39" i="3"/>
  <c r="E39" i="3"/>
  <c r="M39" i="3"/>
  <c r="W39" i="3"/>
  <c r="D40" i="3"/>
  <c r="E40" i="3"/>
  <c r="M40" i="3"/>
  <c r="W40" i="3"/>
  <c r="D41" i="3"/>
  <c r="E41" i="3"/>
  <c r="M41" i="3"/>
  <c r="W41" i="3"/>
  <c r="D42" i="3"/>
  <c r="E42" i="3"/>
  <c r="M42" i="3"/>
  <c r="W42" i="3"/>
  <c r="D43" i="3"/>
  <c r="E43" i="3"/>
  <c r="M43" i="3"/>
  <c r="W43" i="3"/>
  <c r="D44" i="3"/>
  <c r="E44" i="3"/>
  <c r="M44" i="3"/>
  <c r="W44" i="3"/>
  <c r="D45" i="3"/>
  <c r="E45" i="3"/>
  <c r="M45" i="3"/>
  <c r="W45" i="3"/>
  <c r="D46" i="3"/>
  <c r="E46" i="3"/>
  <c r="M46" i="3"/>
  <c r="W46" i="3"/>
  <c r="D47" i="3"/>
  <c r="E47" i="3"/>
  <c r="M47" i="3"/>
  <c r="W47" i="3"/>
  <c r="D48" i="3"/>
  <c r="E48" i="3"/>
  <c r="M48" i="3"/>
  <c r="W48" i="3"/>
  <c r="D49" i="3"/>
  <c r="E49" i="3"/>
  <c r="M49" i="3"/>
  <c r="W49" i="3"/>
  <c r="D50" i="3"/>
  <c r="E50" i="3"/>
  <c r="M50" i="3"/>
  <c r="W50" i="3"/>
  <c r="D51" i="3"/>
  <c r="E51" i="3"/>
  <c r="M51" i="3"/>
  <c r="W51" i="3"/>
  <c r="D52" i="3"/>
  <c r="E52" i="3"/>
  <c r="M52" i="3"/>
  <c r="W52" i="3"/>
  <c r="D53" i="3"/>
  <c r="E53" i="3"/>
  <c r="M53" i="3"/>
  <c r="W53" i="3"/>
  <c r="D54" i="3"/>
  <c r="E54" i="3"/>
  <c r="M54" i="3"/>
  <c r="W54" i="3"/>
  <c r="D55" i="3"/>
  <c r="E55" i="3"/>
  <c r="M55" i="3"/>
  <c r="W55" i="3"/>
  <c r="D56" i="3"/>
  <c r="E56" i="3"/>
  <c r="M56" i="3"/>
  <c r="U56" i="3"/>
  <c r="W56" i="3" s="1"/>
  <c r="D57" i="3"/>
  <c r="E57" i="3"/>
  <c r="M57" i="3"/>
  <c r="U57" i="3"/>
  <c r="W57" i="3"/>
  <c r="E58" i="3"/>
  <c r="D59" i="3"/>
  <c r="E59" i="3"/>
  <c r="M59" i="3"/>
  <c r="W59" i="3"/>
  <c r="D60" i="3"/>
  <c r="E60" i="3"/>
  <c r="M60" i="3"/>
  <c r="W60" i="3"/>
  <c r="D61" i="3"/>
  <c r="E61" i="3"/>
  <c r="M61" i="3"/>
  <c r="W61" i="3"/>
  <c r="D62" i="3"/>
  <c r="E62" i="3"/>
  <c r="M62" i="3"/>
  <c r="W62" i="3"/>
  <c r="D63" i="3"/>
  <c r="E63" i="3"/>
  <c r="M63" i="3"/>
  <c r="U63" i="3"/>
  <c r="W63" i="3" s="1"/>
  <c r="D64" i="3"/>
  <c r="E64" i="3"/>
  <c r="M64" i="3"/>
  <c r="U64" i="3"/>
  <c r="W64" i="3" s="1"/>
  <c r="D65" i="3"/>
  <c r="E65" i="3"/>
  <c r="M65" i="3"/>
  <c r="U65" i="3"/>
  <c r="W65" i="3" s="1"/>
  <c r="D66" i="3"/>
  <c r="E66" i="3"/>
  <c r="M66" i="3"/>
  <c r="U66" i="3"/>
  <c r="W66" i="3" s="1"/>
  <c r="D67" i="3"/>
  <c r="E67" i="3"/>
  <c r="M67" i="3"/>
  <c r="W67" i="3"/>
  <c r="D68" i="3"/>
  <c r="E68" i="3"/>
  <c r="M68" i="3"/>
  <c r="W68" i="3"/>
  <c r="D69" i="3"/>
  <c r="E69" i="3"/>
  <c r="M69" i="3"/>
  <c r="W69" i="3"/>
  <c r="D70" i="3"/>
  <c r="E70" i="3"/>
  <c r="M70" i="3"/>
  <c r="W70" i="3"/>
  <c r="D71" i="3"/>
  <c r="E71" i="3"/>
  <c r="M71" i="3"/>
  <c r="W71" i="3"/>
  <c r="D72" i="3"/>
  <c r="E72" i="3"/>
  <c r="M72" i="3"/>
  <c r="U72" i="3"/>
  <c r="W72" i="3" s="1"/>
  <c r="D73" i="3"/>
  <c r="E73" i="3"/>
  <c r="M73" i="3"/>
  <c r="W73" i="3"/>
  <c r="D74" i="3"/>
  <c r="E74" i="3"/>
  <c r="M74" i="3"/>
  <c r="U74" i="3"/>
  <c r="W74" i="3"/>
  <c r="D75" i="3"/>
  <c r="E75" i="3"/>
  <c r="M75" i="3"/>
  <c r="W75" i="3"/>
  <c r="D76" i="3"/>
  <c r="E76" i="3"/>
  <c r="M76" i="3"/>
  <c r="W76" i="3"/>
  <c r="D77" i="3"/>
  <c r="E77" i="3"/>
  <c r="M77" i="3"/>
  <c r="W77" i="3"/>
  <c r="D78" i="3"/>
  <c r="E78" i="3"/>
  <c r="M78" i="3"/>
  <c r="W78" i="3"/>
  <c r="D79" i="3"/>
  <c r="E79" i="3"/>
  <c r="M79" i="3"/>
  <c r="W79" i="3"/>
  <c r="D80" i="3"/>
  <c r="E80" i="3"/>
  <c r="M80" i="3"/>
  <c r="W80" i="3"/>
  <c r="D81" i="3"/>
  <c r="E81" i="3"/>
  <c r="M81" i="3"/>
  <c r="U81" i="3"/>
  <c r="W81" i="3"/>
  <c r="D82" i="3"/>
  <c r="E82" i="3"/>
  <c r="M82" i="3"/>
  <c r="U82" i="3"/>
  <c r="W82" i="3" s="1"/>
  <c r="D83" i="3"/>
  <c r="E83" i="3"/>
  <c r="M83" i="3"/>
  <c r="W83" i="3"/>
  <c r="D84" i="3"/>
  <c r="E84" i="3"/>
  <c r="M84" i="3"/>
  <c r="W84" i="3"/>
  <c r="D85" i="3"/>
  <c r="E85" i="3"/>
  <c r="M85" i="3"/>
  <c r="W85" i="3"/>
  <c r="D86" i="3"/>
  <c r="E86" i="3"/>
  <c r="M86" i="3"/>
  <c r="W86" i="3"/>
  <c r="D87" i="3"/>
  <c r="E87" i="3"/>
  <c r="M87" i="3"/>
  <c r="U87" i="3"/>
  <c r="W87" i="3" s="1"/>
  <c r="D88" i="3"/>
  <c r="E88" i="3"/>
  <c r="M88" i="3"/>
  <c r="W88" i="3"/>
  <c r="D89" i="3"/>
  <c r="E89" i="3"/>
  <c r="M89" i="3"/>
  <c r="W89" i="3"/>
  <c r="D90" i="3"/>
  <c r="E90" i="3"/>
  <c r="M90" i="3"/>
  <c r="U90" i="3"/>
  <c r="W90" i="3"/>
  <c r="D91" i="3"/>
  <c r="E91" i="3"/>
  <c r="M91" i="3"/>
  <c r="U91" i="3"/>
  <c r="W91" i="3" s="1"/>
  <c r="D92" i="3"/>
  <c r="E92" i="3"/>
  <c r="M92" i="3"/>
  <c r="W92" i="3"/>
  <c r="D93" i="3"/>
  <c r="E93" i="3"/>
  <c r="M93" i="3"/>
  <c r="W93" i="3"/>
  <c r="D94" i="3"/>
  <c r="E94" i="3"/>
  <c r="M94" i="3"/>
  <c r="W94" i="3"/>
  <c r="D95" i="3"/>
  <c r="E95" i="3"/>
  <c r="M95" i="3"/>
  <c r="U95" i="3"/>
  <c r="W95" i="3" s="1"/>
  <c r="D96" i="3"/>
  <c r="E96" i="3"/>
  <c r="M96" i="3"/>
  <c r="W96" i="3"/>
  <c r="D97" i="3"/>
  <c r="E97" i="3"/>
  <c r="M97" i="3"/>
  <c r="U97" i="3"/>
  <c r="W97" i="3" s="1"/>
  <c r="D98" i="3"/>
  <c r="E98" i="3"/>
  <c r="M98" i="3"/>
  <c r="U98" i="3"/>
  <c r="W98" i="3" s="1"/>
  <c r="D99" i="3"/>
  <c r="E99" i="3"/>
  <c r="M99" i="3"/>
  <c r="W99" i="3"/>
  <c r="D100" i="3"/>
  <c r="E100" i="3"/>
  <c r="M100" i="3"/>
  <c r="W100" i="3"/>
  <c r="D101" i="3"/>
  <c r="E101" i="3"/>
  <c r="M101" i="3"/>
  <c r="U101" i="3"/>
  <c r="W101" i="3"/>
  <c r="D102" i="3"/>
  <c r="E102" i="3"/>
  <c r="M102" i="3"/>
  <c r="W102" i="3"/>
  <c r="D103" i="3"/>
  <c r="E103" i="3"/>
  <c r="M103" i="3"/>
  <c r="W103" i="3"/>
  <c r="D104" i="3"/>
  <c r="E104" i="3"/>
  <c r="M104" i="3"/>
  <c r="W104" i="3"/>
  <c r="D105" i="3"/>
  <c r="E105" i="3"/>
  <c r="M105" i="3"/>
  <c r="W105" i="3"/>
  <c r="D106" i="3"/>
  <c r="E106" i="3"/>
  <c r="M106" i="3"/>
  <c r="W106" i="3"/>
  <c r="D107" i="3"/>
  <c r="E107" i="3"/>
  <c r="M107" i="3"/>
  <c r="W107" i="3"/>
  <c r="D108" i="3"/>
  <c r="E108" i="3"/>
  <c r="M108" i="3"/>
  <c r="W108" i="3"/>
  <c r="D109" i="3"/>
  <c r="E109" i="3"/>
  <c r="M109" i="3"/>
  <c r="W109" i="3"/>
  <c r="D110" i="3"/>
  <c r="E110" i="3"/>
  <c r="M110" i="3"/>
  <c r="W110" i="3"/>
  <c r="D111" i="3"/>
  <c r="E111" i="3"/>
  <c r="M111" i="3"/>
  <c r="W111" i="3"/>
  <c r="D112" i="3"/>
  <c r="E112" i="3"/>
  <c r="M112" i="3"/>
  <c r="W112" i="3"/>
  <c r="D113" i="3"/>
  <c r="E113" i="3"/>
  <c r="M113" i="3"/>
  <c r="W113" i="3"/>
  <c r="D114" i="3"/>
  <c r="E114" i="3"/>
  <c r="M114" i="3"/>
  <c r="W114" i="3"/>
  <c r="D115" i="3"/>
  <c r="E115" i="3"/>
  <c r="M115" i="3"/>
  <c r="U115" i="3"/>
  <c r="W115" i="3"/>
  <c r="D116" i="3"/>
  <c r="E116" i="3"/>
  <c r="M116" i="3"/>
  <c r="U116" i="3"/>
  <c r="W116" i="3" s="1"/>
  <c r="D117" i="3"/>
  <c r="E117" i="3"/>
  <c r="M117" i="3"/>
  <c r="U117" i="3"/>
  <c r="W117" i="3" s="1"/>
  <c r="D118" i="3"/>
  <c r="E118" i="3"/>
  <c r="M118" i="3"/>
  <c r="U118" i="3"/>
  <c r="W118" i="3" s="1"/>
  <c r="D119" i="3"/>
  <c r="E119" i="3"/>
  <c r="M119" i="3"/>
  <c r="U119" i="3"/>
  <c r="W119" i="3"/>
  <c r="D120" i="3"/>
  <c r="E120" i="3"/>
  <c r="M120" i="3"/>
  <c r="U120" i="3"/>
  <c r="W120" i="3"/>
  <c r="D121" i="3"/>
  <c r="E121" i="3"/>
  <c r="M121" i="3"/>
  <c r="U121" i="3"/>
  <c r="W121" i="3"/>
  <c r="D122" i="3"/>
  <c r="E122" i="3"/>
  <c r="M122" i="3"/>
  <c r="U122" i="3"/>
  <c r="W122" i="3" s="1"/>
  <c r="D123" i="3"/>
  <c r="E123" i="3"/>
  <c r="M123" i="3"/>
  <c r="U123" i="3"/>
  <c r="W123" i="3"/>
  <c r="D124" i="3"/>
  <c r="E124" i="3"/>
  <c r="M124" i="3"/>
  <c r="U124" i="3"/>
  <c r="W124" i="3" s="1"/>
  <c r="D125" i="3"/>
  <c r="E125" i="3"/>
  <c r="M125" i="3"/>
  <c r="U125" i="3"/>
  <c r="W125" i="3" s="1"/>
  <c r="D126" i="3"/>
  <c r="E126" i="3"/>
  <c r="M126" i="3"/>
  <c r="W126" i="3"/>
  <c r="D127" i="3"/>
  <c r="E127" i="3"/>
  <c r="M127" i="3"/>
  <c r="U127" i="3"/>
  <c r="W127" i="3"/>
  <c r="D128" i="3"/>
  <c r="E128" i="3"/>
  <c r="M128" i="3"/>
  <c r="U128" i="3"/>
  <c r="W128" i="3" s="1"/>
  <c r="D129" i="3"/>
  <c r="E129" i="3"/>
  <c r="M129" i="3"/>
  <c r="W129" i="3"/>
  <c r="D130" i="3"/>
  <c r="E130" i="3"/>
  <c r="M130" i="3"/>
  <c r="W130" i="3"/>
  <c r="D131" i="3"/>
  <c r="E131" i="3"/>
  <c r="M131" i="3"/>
  <c r="W131" i="3"/>
  <c r="D132" i="3"/>
  <c r="E132" i="3"/>
  <c r="M132" i="3"/>
  <c r="W132" i="3"/>
  <c r="D133" i="3"/>
  <c r="E133" i="3"/>
  <c r="M133" i="3"/>
  <c r="W133" i="3"/>
  <c r="D134" i="3"/>
  <c r="E134" i="3"/>
  <c r="M134" i="3"/>
  <c r="W134" i="3"/>
  <c r="D135" i="3"/>
  <c r="E135" i="3"/>
  <c r="M135" i="3"/>
  <c r="W135" i="3"/>
  <c r="D136" i="3"/>
  <c r="E136" i="3"/>
  <c r="M136" i="3"/>
  <c r="W136" i="3"/>
  <c r="D137" i="3"/>
  <c r="E137" i="3"/>
  <c r="M137" i="3"/>
  <c r="W137" i="3"/>
  <c r="D138" i="3"/>
  <c r="E138" i="3"/>
  <c r="M138" i="3"/>
  <c r="W138" i="3"/>
  <c r="D139" i="3"/>
  <c r="E139" i="3"/>
  <c r="M139" i="3"/>
  <c r="W139" i="3"/>
  <c r="D140" i="3"/>
  <c r="E140" i="3"/>
  <c r="M140" i="3"/>
  <c r="W140" i="3"/>
  <c r="D141" i="3"/>
  <c r="E141" i="3"/>
  <c r="M141" i="3"/>
  <c r="W141" i="3"/>
  <c r="D142" i="3"/>
  <c r="E142" i="3"/>
  <c r="M142" i="3"/>
  <c r="W142" i="3"/>
  <c r="D143" i="3"/>
  <c r="E143" i="3"/>
  <c r="M143" i="3"/>
  <c r="W143" i="3"/>
  <c r="D144" i="3"/>
  <c r="E144" i="3"/>
  <c r="M144" i="3"/>
  <c r="U144" i="3"/>
  <c r="W144" i="3"/>
  <c r="D145" i="3"/>
  <c r="E145" i="3"/>
  <c r="M145" i="3"/>
  <c r="U145" i="3"/>
  <c r="W145" i="3" s="1"/>
  <c r="D146" i="3"/>
  <c r="E146" i="3"/>
  <c r="M146" i="3"/>
  <c r="U146" i="3"/>
  <c r="W146" i="3" s="1"/>
  <c r="D147" i="3"/>
  <c r="E147" i="3"/>
  <c r="M147" i="3"/>
  <c r="U147" i="3"/>
  <c r="W147" i="3" s="1"/>
  <c r="D148" i="3"/>
  <c r="E148" i="3"/>
  <c r="M148" i="3"/>
  <c r="U148" i="3"/>
  <c r="W148" i="3" s="1"/>
  <c r="D149" i="3"/>
  <c r="E149" i="3"/>
  <c r="M149" i="3"/>
  <c r="U149" i="3"/>
  <c r="W149" i="3"/>
  <c r="D150" i="3"/>
  <c r="E150" i="3"/>
  <c r="M150" i="3"/>
  <c r="U150" i="3"/>
  <c r="W150" i="3" s="1"/>
  <c r="D151" i="3"/>
  <c r="E151" i="3"/>
  <c r="M151" i="3"/>
  <c r="U151" i="3"/>
  <c r="W151" i="3" s="1"/>
  <c r="D152" i="3"/>
  <c r="E152" i="3"/>
  <c r="M152" i="3"/>
  <c r="U152" i="3"/>
  <c r="W152" i="3" s="1"/>
  <c r="D153" i="3"/>
  <c r="E153" i="3"/>
  <c r="M153" i="3"/>
  <c r="W153" i="3"/>
  <c r="D154" i="3"/>
  <c r="E154" i="3"/>
  <c r="M154" i="3"/>
  <c r="W154" i="3"/>
  <c r="D155" i="3"/>
  <c r="E155" i="3"/>
  <c r="M155" i="3"/>
  <c r="W155" i="3"/>
  <c r="D156" i="3"/>
  <c r="E156" i="3"/>
  <c r="M156" i="3"/>
  <c r="W156" i="3"/>
  <c r="D157" i="3"/>
  <c r="E157" i="3"/>
  <c r="M157" i="3"/>
  <c r="W157" i="3"/>
  <c r="D158" i="3"/>
  <c r="E158" i="3"/>
  <c r="M158" i="3"/>
  <c r="W158" i="3"/>
  <c r="D159" i="3"/>
  <c r="E159" i="3"/>
  <c r="M159" i="3"/>
  <c r="W159" i="3"/>
  <c r="D160" i="3"/>
  <c r="E160" i="3"/>
  <c r="M160" i="3"/>
  <c r="W160" i="3"/>
  <c r="D161" i="3"/>
  <c r="E161" i="3"/>
  <c r="M161" i="3"/>
  <c r="W161" i="3"/>
  <c r="D162" i="3"/>
  <c r="E162" i="3"/>
  <c r="M162" i="3"/>
  <c r="W162" i="3"/>
  <c r="D163" i="3"/>
  <c r="E163" i="3"/>
  <c r="M163" i="3"/>
  <c r="W163" i="3"/>
  <c r="D164" i="3"/>
  <c r="E164" i="3"/>
  <c r="M164" i="3"/>
  <c r="W164" i="3"/>
  <c r="D165" i="3"/>
  <c r="E165" i="3"/>
  <c r="M165" i="3"/>
  <c r="W165" i="3"/>
  <c r="D166" i="3"/>
  <c r="E166" i="3"/>
  <c r="M166" i="3"/>
  <c r="W166" i="3"/>
  <c r="D167" i="3"/>
  <c r="E167" i="3"/>
  <c r="M167" i="3"/>
  <c r="W167" i="3"/>
  <c r="D168" i="3"/>
  <c r="E168" i="3"/>
  <c r="M168" i="3"/>
  <c r="W168" i="3"/>
  <c r="D169" i="3"/>
  <c r="E169" i="3"/>
  <c r="M169" i="3"/>
  <c r="U169" i="3"/>
  <c r="W169" i="3" s="1"/>
  <c r="D170" i="3"/>
  <c r="E170" i="3"/>
  <c r="M170" i="3"/>
  <c r="U170" i="3"/>
  <c r="W170" i="3" s="1"/>
  <c r="D171" i="3"/>
  <c r="E171" i="3"/>
  <c r="M171" i="3"/>
  <c r="U171" i="3"/>
  <c r="W171" i="3" s="1"/>
  <c r="D172" i="3"/>
  <c r="E172" i="3"/>
  <c r="M172" i="3"/>
  <c r="U172" i="3"/>
  <c r="W172" i="3" s="1"/>
  <c r="D173" i="3"/>
  <c r="E173" i="3"/>
  <c r="M173" i="3"/>
  <c r="U173" i="3"/>
  <c r="W173" i="3" s="1"/>
  <c r="D174" i="3"/>
  <c r="E174" i="3"/>
  <c r="M174" i="3"/>
  <c r="U174" i="3"/>
  <c r="W174" i="3" s="1"/>
  <c r="D175" i="3"/>
  <c r="E175" i="3"/>
  <c r="M175" i="3"/>
  <c r="U175" i="3"/>
  <c r="W175" i="3"/>
  <c r="D176" i="3"/>
  <c r="E176" i="3"/>
  <c r="M176" i="3"/>
  <c r="U176" i="3"/>
  <c r="W176" i="3" s="1"/>
  <c r="D177" i="3"/>
  <c r="E177" i="3"/>
  <c r="M177" i="3"/>
  <c r="W177" i="3"/>
  <c r="D178" i="3"/>
  <c r="E178" i="3"/>
  <c r="M178" i="3"/>
  <c r="W178" i="3"/>
  <c r="D179" i="3"/>
  <c r="E179" i="3"/>
  <c r="M179" i="3"/>
  <c r="W179" i="3"/>
  <c r="D180" i="3"/>
  <c r="E180" i="3"/>
  <c r="M180" i="3"/>
  <c r="W180" i="3"/>
  <c r="D181" i="3"/>
  <c r="E181" i="3"/>
  <c r="M181" i="3"/>
  <c r="W181" i="3"/>
  <c r="D182" i="3"/>
  <c r="E182" i="3"/>
  <c r="M182" i="3"/>
  <c r="W182" i="3"/>
  <c r="D183" i="3"/>
  <c r="E183" i="3"/>
  <c r="M183" i="3"/>
  <c r="W183" i="3"/>
  <c r="D184" i="3"/>
  <c r="E184" i="3"/>
  <c r="M184" i="3"/>
  <c r="U184" i="3"/>
  <c r="W184" i="3" s="1"/>
  <c r="D185" i="3"/>
  <c r="E185" i="3"/>
  <c r="M185" i="3"/>
  <c r="W185" i="3"/>
  <c r="D186" i="3"/>
  <c r="E186" i="3"/>
  <c r="M186" i="3"/>
  <c r="W186" i="3"/>
  <c r="D187" i="3"/>
  <c r="E187" i="3"/>
  <c r="M187" i="3"/>
  <c r="W187" i="3"/>
  <c r="D188" i="3"/>
  <c r="E188" i="3"/>
  <c r="M188" i="3"/>
  <c r="W188" i="3"/>
  <c r="D189" i="3"/>
  <c r="E189" i="3"/>
  <c r="M189" i="3"/>
  <c r="W189" i="3"/>
  <c r="D190" i="3"/>
  <c r="E190" i="3"/>
  <c r="M190" i="3"/>
  <c r="D191" i="3"/>
  <c r="E191" i="3"/>
  <c r="M191" i="3"/>
  <c r="W191" i="3"/>
  <c r="D192" i="3"/>
  <c r="E192" i="3"/>
  <c r="M192" i="3"/>
  <c r="W192" i="3"/>
  <c r="D193" i="3"/>
  <c r="E193" i="3"/>
  <c r="M193" i="3"/>
  <c r="U193" i="3"/>
  <c r="W193" i="3"/>
  <c r="D194" i="3"/>
  <c r="E194" i="3"/>
  <c r="M194" i="3"/>
  <c r="W194" i="3"/>
  <c r="D195" i="3"/>
  <c r="E195" i="3"/>
  <c r="M195" i="3"/>
  <c r="W195" i="3"/>
  <c r="D196" i="3"/>
  <c r="E196" i="3"/>
  <c r="M196" i="3"/>
  <c r="W196" i="3"/>
  <c r="D197" i="3"/>
  <c r="E197" i="3"/>
  <c r="M197" i="3"/>
  <c r="W197" i="3"/>
  <c r="D198" i="3"/>
  <c r="E198" i="3"/>
  <c r="M198" i="3"/>
  <c r="W198" i="3"/>
  <c r="D199" i="3"/>
  <c r="E199" i="3"/>
  <c r="M199" i="3"/>
  <c r="W199" i="3"/>
  <c r="D200" i="3"/>
  <c r="E200" i="3"/>
  <c r="M200" i="3"/>
  <c r="U200" i="3"/>
  <c r="W200" i="3"/>
  <c r="D201" i="3"/>
  <c r="E201" i="3"/>
  <c r="M201" i="3"/>
  <c r="U201" i="3"/>
  <c r="W201" i="3"/>
  <c r="D202" i="3"/>
  <c r="E202" i="3"/>
  <c r="M202" i="3"/>
  <c r="W202" i="3"/>
  <c r="D203" i="3"/>
  <c r="E203" i="3"/>
  <c r="M203" i="3"/>
  <c r="U203" i="3"/>
  <c r="W203" i="3" s="1"/>
  <c r="D204" i="3"/>
  <c r="E204" i="3"/>
  <c r="M204" i="3"/>
  <c r="U204" i="3"/>
  <c r="W204" i="3"/>
  <c r="D205" i="3"/>
  <c r="E205" i="3"/>
  <c r="M205" i="3"/>
  <c r="U205" i="3"/>
  <c r="W205" i="3"/>
  <c r="D206" i="3"/>
  <c r="E206" i="3"/>
  <c r="M206" i="3"/>
  <c r="U206" i="3"/>
  <c r="W206" i="3"/>
  <c r="D207" i="3"/>
  <c r="E207" i="3"/>
  <c r="M207" i="3"/>
  <c r="U207" i="3"/>
  <c r="W207" i="3" s="1"/>
  <c r="D208" i="3"/>
  <c r="E208" i="3"/>
  <c r="M208" i="3"/>
  <c r="U208" i="3"/>
  <c r="W208" i="3" s="1"/>
  <c r="D209" i="3"/>
  <c r="E209" i="3"/>
  <c r="M209" i="3"/>
  <c r="W209" i="3"/>
  <c r="D210" i="3"/>
  <c r="E210" i="3"/>
  <c r="M210" i="3"/>
  <c r="W210" i="3"/>
  <c r="D211" i="3"/>
  <c r="E211" i="3"/>
  <c r="M211" i="3"/>
  <c r="U211" i="3"/>
  <c r="W211" i="3"/>
  <c r="D212" i="3"/>
  <c r="E212" i="3"/>
  <c r="M212" i="3"/>
  <c r="U212" i="3"/>
  <c r="W212" i="3" s="1"/>
  <c r="D213" i="3"/>
  <c r="E213" i="3"/>
  <c r="M213" i="3"/>
  <c r="U213" i="3"/>
  <c r="W213" i="3"/>
  <c r="D214" i="3"/>
  <c r="E214" i="3"/>
  <c r="M214" i="3"/>
  <c r="U214" i="3"/>
  <c r="W214" i="3" s="1"/>
  <c r="D215" i="3"/>
  <c r="E215" i="3"/>
  <c r="M215" i="3"/>
  <c r="W215" i="3"/>
  <c r="D216" i="3"/>
  <c r="E216" i="3"/>
  <c r="M216" i="3"/>
  <c r="W216" i="3"/>
  <c r="D217" i="3"/>
  <c r="E217" i="3"/>
  <c r="M217" i="3"/>
  <c r="U217" i="3"/>
  <c r="W217" i="3" s="1"/>
  <c r="D218" i="3"/>
  <c r="E218" i="3"/>
  <c r="M218" i="3"/>
  <c r="W218" i="3"/>
  <c r="D219" i="3"/>
  <c r="E219" i="3"/>
  <c r="M219" i="3"/>
  <c r="W219" i="3"/>
  <c r="D220" i="3"/>
  <c r="E220" i="3"/>
  <c r="M220" i="3"/>
  <c r="W220" i="3"/>
  <c r="D221" i="3"/>
  <c r="E221" i="3"/>
  <c r="M221" i="3"/>
  <c r="W221" i="3"/>
  <c r="D222" i="3"/>
  <c r="E222" i="3"/>
  <c r="M222" i="3"/>
  <c r="W222" i="3"/>
  <c r="D223" i="3"/>
  <c r="E223" i="3"/>
  <c r="M223" i="3"/>
  <c r="U223" i="3"/>
  <c r="W223" i="3" s="1"/>
  <c r="D224" i="3"/>
  <c r="E224" i="3"/>
  <c r="M224" i="3"/>
  <c r="U224" i="3"/>
  <c r="W224" i="3" s="1"/>
  <c r="D225" i="3"/>
  <c r="E225" i="3"/>
  <c r="M225" i="3"/>
  <c r="U225" i="3"/>
  <c r="W225" i="3" s="1"/>
  <c r="D226" i="3"/>
  <c r="E226" i="3"/>
  <c r="M226" i="3"/>
  <c r="W226" i="3"/>
  <c r="D227" i="3"/>
  <c r="E227" i="3"/>
  <c r="M227" i="3"/>
  <c r="U227" i="3"/>
  <c r="W227" i="3" s="1"/>
  <c r="D228" i="3"/>
  <c r="E228" i="3"/>
  <c r="M228" i="3"/>
  <c r="U228" i="3"/>
  <c r="W228" i="3" s="1"/>
  <c r="D229" i="3"/>
  <c r="E229" i="3"/>
  <c r="M229" i="3"/>
  <c r="U229" i="3"/>
  <c r="W229" i="3"/>
  <c r="D230" i="3"/>
  <c r="E230" i="3"/>
  <c r="M230" i="3"/>
  <c r="U230" i="3"/>
  <c r="W230" i="3" s="1"/>
  <c r="D231" i="3"/>
  <c r="E231" i="3"/>
  <c r="M231" i="3"/>
  <c r="W231" i="3"/>
  <c r="D232" i="3"/>
  <c r="E232" i="3"/>
  <c r="M232" i="3"/>
  <c r="U232" i="3"/>
  <c r="W232" i="3"/>
  <c r="D233" i="3"/>
  <c r="E233" i="3"/>
  <c r="M233" i="3"/>
  <c r="U233" i="3"/>
  <c r="W233" i="3" s="1"/>
  <c r="D234" i="3"/>
  <c r="E234" i="3"/>
  <c r="M234" i="3"/>
  <c r="U234" i="3"/>
  <c r="W234" i="3"/>
  <c r="D235" i="3"/>
  <c r="E235" i="3"/>
  <c r="M235" i="3"/>
  <c r="U235" i="3"/>
  <c r="W235" i="3" s="1"/>
  <c r="D236" i="3"/>
  <c r="E236" i="3"/>
  <c r="M236" i="3"/>
  <c r="W236" i="3"/>
  <c r="D237" i="3"/>
  <c r="E237" i="3"/>
  <c r="M237" i="3"/>
  <c r="U237" i="3"/>
  <c r="W237" i="3"/>
  <c r="D238" i="3"/>
  <c r="E238" i="3"/>
  <c r="M238" i="3"/>
  <c r="U238" i="3"/>
  <c r="W238" i="3" s="1"/>
  <c r="D239" i="3"/>
  <c r="E239" i="3"/>
  <c r="M239" i="3"/>
  <c r="U239" i="3"/>
  <c r="W239" i="3" s="1"/>
  <c r="D240" i="3"/>
  <c r="E240" i="3"/>
  <c r="M240" i="3"/>
  <c r="W240" i="3"/>
  <c r="D241" i="3"/>
  <c r="E241" i="3"/>
  <c r="M241" i="3"/>
  <c r="U241" i="3"/>
  <c r="W241" i="3"/>
  <c r="D242" i="3"/>
  <c r="E242" i="3"/>
  <c r="M242" i="3"/>
  <c r="U242" i="3"/>
  <c r="W242" i="3" s="1"/>
  <c r="D243" i="3"/>
  <c r="E243" i="3"/>
  <c r="M243" i="3"/>
  <c r="U243" i="3"/>
  <c r="W243" i="3" s="1"/>
  <c r="D244" i="3"/>
  <c r="E244" i="3"/>
  <c r="M244" i="3"/>
  <c r="U244" i="3"/>
  <c r="W244" i="3"/>
  <c r="D245" i="3"/>
  <c r="E245" i="3"/>
  <c r="M245" i="3"/>
  <c r="W245" i="3"/>
  <c r="D246" i="3"/>
  <c r="E246" i="3"/>
  <c r="M246" i="3"/>
  <c r="W246" i="3"/>
  <c r="D247" i="3"/>
  <c r="E247" i="3"/>
  <c r="M247" i="3"/>
  <c r="W247" i="3"/>
  <c r="D248" i="3"/>
  <c r="E248" i="3"/>
  <c r="M248" i="3"/>
  <c r="W248" i="3"/>
  <c r="D249" i="3"/>
  <c r="E249" i="3"/>
  <c r="M249" i="3"/>
  <c r="W249" i="3"/>
  <c r="D250" i="3"/>
  <c r="E250" i="3"/>
  <c r="M250" i="3"/>
  <c r="W250" i="3"/>
  <c r="D251" i="3"/>
  <c r="E251" i="3"/>
  <c r="M251" i="3"/>
  <c r="W251" i="3"/>
  <c r="D252" i="3"/>
  <c r="E252" i="3"/>
  <c r="M252" i="3"/>
  <c r="W252" i="3"/>
  <c r="D253" i="3"/>
  <c r="E253" i="3"/>
  <c r="M253" i="3"/>
  <c r="W253" i="3"/>
  <c r="D254" i="3"/>
  <c r="E254" i="3"/>
  <c r="M254" i="3"/>
  <c r="W254" i="3"/>
  <c r="D255" i="3"/>
  <c r="E255" i="3"/>
  <c r="M255" i="3"/>
  <c r="W255" i="3"/>
  <c r="D256" i="3"/>
  <c r="E256" i="3"/>
  <c r="M256" i="3"/>
  <c r="W256" i="3"/>
  <c r="D257" i="3"/>
  <c r="E257" i="3"/>
  <c r="M257" i="3"/>
  <c r="U257" i="3"/>
  <c r="W257" i="3" s="1"/>
  <c r="D258" i="3"/>
  <c r="E258" i="3"/>
  <c r="M258" i="3"/>
  <c r="W258" i="3"/>
  <c r="D259" i="3"/>
  <c r="E259" i="3"/>
  <c r="M259" i="3"/>
  <c r="W259" i="3"/>
  <c r="D260" i="3"/>
  <c r="E260" i="3"/>
  <c r="M260" i="3"/>
  <c r="W260" i="3"/>
  <c r="D261" i="3"/>
  <c r="E261" i="3"/>
  <c r="M261" i="3"/>
  <c r="U261" i="3"/>
  <c r="W261" i="3"/>
  <c r="D262" i="3"/>
  <c r="E262" i="3"/>
  <c r="M262" i="3"/>
  <c r="W262" i="3"/>
  <c r="D263" i="3"/>
  <c r="E263" i="3"/>
  <c r="M263" i="3"/>
  <c r="D264" i="3"/>
  <c r="E264" i="3"/>
  <c r="M264" i="3"/>
  <c r="U264" i="3"/>
  <c r="W264" i="3"/>
  <c r="D265" i="3"/>
  <c r="E265" i="3"/>
  <c r="M265" i="3"/>
  <c r="U265" i="3"/>
  <c r="W265" i="3" s="1"/>
  <c r="D266" i="3"/>
  <c r="E266" i="3"/>
  <c r="M266" i="3"/>
  <c r="U266" i="3"/>
  <c r="W266" i="3" s="1"/>
  <c r="D267" i="3"/>
  <c r="E267" i="3"/>
  <c r="M267" i="3"/>
  <c r="U267" i="3"/>
  <c r="W267" i="3" s="1"/>
  <c r="D268" i="3"/>
  <c r="E268" i="3"/>
  <c r="M268" i="3"/>
  <c r="U268" i="3"/>
  <c r="W268" i="3" s="1"/>
  <c r="D269" i="3"/>
  <c r="E269" i="3"/>
  <c r="M269" i="3"/>
  <c r="W269" i="3"/>
  <c r="D270" i="3"/>
  <c r="E270" i="3"/>
  <c r="M270" i="3"/>
  <c r="U270" i="3"/>
  <c r="W270" i="3" s="1"/>
  <c r="D271" i="3"/>
  <c r="E271" i="3"/>
  <c r="M271" i="3"/>
  <c r="W271" i="3"/>
  <c r="D272" i="3"/>
  <c r="E272" i="3"/>
  <c r="M272" i="3"/>
  <c r="U272" i="3"/>
  <c r="W272" i="3" s="1"/>
  <c r="D273" i="3"/>
  <c r="E273" i="3"/>
  <c r="M273" i="3"/>
  <c r="W273" i="3"/>
  <c r="D274" i="3"/>
  <c r="E274" i="3"/>
  <c r="M274" i="3"/>
  <c r="W274" i="3"/>
  <c r="D275" i="3"/>
  <c r="E275" i="3"/>
  <c r="M275" i="3"/>
  <c r="W275" i="3"/>
  <c r="D276" i="3"/>
  <c r="E276" i="3"/>
  <c r="M276" i="3"/>
  <c r="U276" i="3"/>
  <c r="W276" i="3" s="1"/>
  <c r="D277" i="3"/>
  <c r="E277" i="3"/>
  <c r="M277" i="3"/>
  <c r="U277" i="3"/>
  <c r="W277" i="3" s="1"/>
  <c r="D278" i="3"/>
  <c r="E278" i="3"/>
  <c r="M278" i="3"/>
  <c r="U278" i="3"/>
  <c r="W278" i="3" s="1"/>
  <c r="D279" i="3"/>
  <c r="E279" i="3"/>
  <c r="W279" i="3"/>
  <c r="D280" i="3"/>
  <c r="E280" i="3"/>
  <c r="M280" i="3"/>
  <c r="U280" i="3"/>
  <c r="W280" i="3"/>
  <c r="D281" i="3"/>
  <c r="E281" i="3"/>
  <c r="M281" i="3"/>
  <c r="W281" i="3"/>
  <c r="D282" i="3"/>
  <c r="E282" i="3"/>
  <c r="M282" i="3"/>
  <c r="W282" i="3"/>
  <c r="D283" i="3"/>
  <c r="E283" i="3"/>
  <c r="M283" i="3"/>
  <c r="U283" i="3"/>
  <c r="W283" i="3" s="1"/>
  <c r="D284" i="3"/>
  <c r="E284" i="3"/>
  <c r="M284" i="3"/>
  <c r="U284" i="3"/>
  <c r="W284" i="3" s="1"/>
  <c r="D285" i="3"/>
  <c r="E285" i="3"/>
  <c r="M285" i="3"/>
  <c r="W285" i="3"/>
  <c r="D286" i="3"/>
  <c r="E286" i="3"/>
  <c r="M286" i="3"/>
  <c r="W286" i="3"/>
  <c r="D287" i="3"/>
  <c r="E287" i="3"/>
  <c r="M287" i="3"/>
  <c r="W287" i="3"/>
  <c r="D288" i="3"/>
  <c r="E288" i="3"/>
  <c r="M288" i="3"/>
  <c r="W288" i="3"/>
  <c r="D289" i="3"/>
  <c r="E289" i="3"/>
  <c r="M289" i="3"/>
  <c r="U289" i="3"/>
  <c r="W289" i="3"/>
  <c r="D290" i="3"/>
  <c r="E290" i="3"/>
  <c r="M290" i="3"/>
  <c r="W290" i="3"/>
  <c r="D291" i="3"/>
  <c r="E291" i="3"/>
  <c r="M291" i="3"/>
  <c r="U291" i="3"/>
  <c r="W291" i="3"/>
  <c r="D292" i="3"/>
  <c r="E292" i="3"/>
  <c r="M292" i="3"/>
  <c r="W292" i="3"/>
  <c r="D293" i="3"/>
  <c r="E293" i="3"/>
  <c r="M293" i="3"/>
  <c r="W293" i="3"/>
  <c r="D294" i="3"/>
  <c r="E294" i="3"/>
  <c r="M294" i="3"/>
  <c r="U294" i="3"/>
  <c r="W294" i="3" s="1"/>
  <c r="D295" i="3"/>
  <c r="E295" i="3"/>
  <c r="M295" i="3"/>
  <c r="U295" i="3"/>
  <c r="W295" i="3" s="1"/>
  <c r="D296" i="3"/>
  <c r="E296" i="3"/>
  <c r="M296" i="3"/>
  <c r="U296" i="3"/>
  <c r="W296" i="3" s="1"/>
  <c r="D297" i="3"/>
  <c r="E297" i="3"/>
  <c r="M297" i="3"/>
  <c r="W297" i="3"/>
  <c r="D298" i="3"/>
  <c r="E298" i="3"/>
  <c r="M298" i="3"/>
  <c r="U298" i="3"/>
  <c r="W298" i="3"/>
  <c r="D299" i="3"/>
  <c r="E299" i="3"/>
  <c r="M299" i="3"/>
  <c r="U299" i="3"/>
  <c r="W299" i="3" s="1"/>
  <c r="D300" i="3"/>
  <c r="E300" i="3"/>
  <c r="M300" i="3"/>
  <c r="U300" i="3"/>
  <c r="W300" i="3" s="1"/>
  <c r="D301" i="3"/>
  <c r="E301" i="3"/>
  <c r="M301" i="3"/>
  <c r="W301" i="3"/>
  <c r="D302" i="3"/>
  <c r="E302" i="3"/>
  <c r="M302" i="3"/>
  <c r="W302" i="3"/>
  <c r="D303" i="3"/>
  <c r="E303" i="3"/>
  <c r="M303" i="3"/>
  <c r="W303" i="3"/>
  <c r="D304" i="3"/>
  <c r="E304" i="3"/>
  <c r="M304" i="3"/>
  <c r="W304" i="3"/>
  <c r="D305" i="3"/>
  <c r="E305" i="3"/>
  <c r="M305" i="3"/>
  <c r="U305" i="3"/>
  <c r="W305" i="3" s="1"/>
  <c r="D306" i="3"/>
  <c r="E306" i="3"/>
  <c r="M306" i="3"/>
  <c r="U306" i="3"/>
  <c r="W306" i="3" s="1"/>
  <c r="D307" i="3"/>
  <c r="E307" i="3"/>
  <c r="M307" i="3"/>
  <c r="U307" i="3"/>
  <c r="W307" i="3" s="1"/>
  <c r="D308" i="3"/>
  <c r="E308" i="3"/>
  <c r="M308" i="3"/>
  <c r="U308" i="3"/>
  <c r="W308" i="3" s="1"/>
  <c r="D309" i="3"/>
  <c r="E309" i="3"/>
  <c r="M309" i="3"/>
  <c r="W309" i="3"/>
  <c r="D310" i="3"/>
  <c r="E310" i="3"/>
  <c r="M310" i="3"/>
  <c r="W310" i="3"/>
  <c r="D311" i="3"/>
  <c r="E311" i="3"/>
  <c r="M311" i="3"/>
  <c r="W311" i="3"/>
  <c r="D312" i="3"/>
  <c r="E312" i="3"/>
  <c r="M312" i="3"/>
  <c r="W312" i="3"/>
  <c r="D313" i="3"/>
  <c r="E313" i="3"/>
  <c r="M313" i="3"/>
  <c r="U313" i="3"/>
  <c r="W313" i="3"/>
  <c r="D314" i="3"/>
  <c r="E314" i="3"/>
  <c r="M314" i="3"/>
  <c r="U314" i="3"/>
  <c r="W314" i="3"/>
  <c r="D315" i="3"/>
  <c r="E315" i="3"/>
  <c r="M315" i="3"/>
  <c r="P315" i="3"/>
  <c r="Q315" i="3"/>
  <c r="R315" i="3"/>
  <c r="W315" i="3"/>
  <c r="D316" i="3"/>
  <c r="E316" i="3"/>
  <c r="M316" i="3"/>
  <c r="W316" i="3"/>
  <c r="D317" i="3"/>
  <c r="E317" i="3"/>
  <c r="M317" i="3"/>
  <c r="W317" i="3"/>
  <c r="D318" i="3"/>
  <c r="E318" i="3"/>
  <c r="M318" i="3"/>
  <c r="W318" i="3"/>
  <c r="D319" i="3"/>
  <c r="E319" i="3"/>
  <c r="M319" i="3"/>
  <c r="U319" i="3"/>
  <c r="W319" i="3"/>
  <c r="D320" i="3"/>
  <c r="E320" i="3"/>
  <c r="M320" i="3"/>
  <c r="U320" i="3"/>
  <c r="W320" i="3" s="1"/>
  <c r="D321" i="3"/>
  <c r="E321" i="3"/>
  <c r="M321" i="3"/>
  <c r="W321" i="3"/>
  <c r="D322" i="3"/>
  <c r="E322" i="3"/>
  <c r="M322" i="3"/>
  <c r="U322" i="3"/>
  <c r="W322" i="3"/>
  <c r="D323" i="3"/>
  <c r="E323" i="3"/>
  <c r="M323" i="3"/>
  <c r="W323" i="3"/>
  <c r="D324" i="3"/>
  <c r="E324" i="3"/>
  <c r="M324" i="3"/>
  <c r="U324" i="3"/>
  <c r="W324" i="3" s="1"/>
  <c r="D325" i="3"/>
  <c r="E325" i="3"/>
  <c r="M325" i="3"/>
  <c r="U325" i="3"/>
  <c r="W325" i="3" s="1"/>
  <c r="D326" i="3"/>
  <c r="E326" i="3"/>
  <c r="M326" i="3"/>
  <c r="U326" i="3"/>
  <c r="W326" i="3" s="1"/>
  <c r="D327" i="3"/>
  <c r="E327" i="3"/>
  <c r="M327" i="3"/>
  <c r="U327" i="3"/>
  <c r="W327" i="3" s="1"/>
  <c r="D328" i="3"/>
  <c r="E328" i="3"/>
  <c r="M328" i="3"/>
  <c r="U328" i="3"/>
  <c r="W328" i="3"/>
  <c r="D329" i="3"/>
  <c r="E329" i="3"/>
  <c r="M329" i="3"/>
  <c r="U329" i="3"/>
  <c r="W329" i="3" s="1"/>
  <c r="D330" i="3"/>
  <c r="E330" i="3"/>
  <c r="M330" i="3"/>
  <c r="U330" i="3"/>
  <c r="W330" i="3" s="1"/>
  <c r="D331" i="3"/>
  <c r="E331" i="3"/>
  <c r="M331" i="3"/>
  <c r="U331" i="3"/>
  <c r="W331" i="3"/>
  <c r="D332" i="3"/>
  <c r="E332" i="3"/>
  <c r="D333" i="3"/>
  <c r="E333" i="3"/>
  <c r="M333" i="3"/>
  <c r="U333" i="3"/>
  <c r="W333" i="3" s="1"/>
  <c r="D334" i="3"/>
  <c r="E334" i="3"/>
  <c r="M334" i="3"/>
  <c r="W334" i="3"/>
  <c r="D335" i="3"/>
  <c r="E335" i="3"/>
  <c r="M335" i="3"/>
  <c r="W335" i="3"/>
  <c r="D336" i="3"/>
  <c r="E336" i="3"/>
  <c r="M336" i="3"/>
  <c r="W336" i="3"/>
  <c r="D337" i="3"/>
  <c r="E337" i="3"/>
  <c r="M337" i="3"/>
  <c r="U337" i="3"/>
  <c r="W337" i="3" s="1"/>
  <c r="D338" i="3"/>
  <c r="E338" i="3"/>
  <c r="M338" i="3"/>
  <c r="U338" i="3"/>
  <c r="W338" i="3" s="1"/>
  <c r="D339" i="3"/>
  <c r="E339" i="3"/>
  <c r="M339" i="3"/>
  <c r="W339" i="3"/>
  <c r="D340" i="3"/>
  <c r="E340" i="3"/>
  <c r="M340" i="3"/>
  <c r="U340" i="3"/>
  <c r="W340" i="3" s="1"/>
  <c r="D341" i="3"/>
  <c r="E341" i="3"/>
  <c r="M341" i="3"/>
  <c r="U341" i="3"/>
  <c r="W341" i="3"/>
  <c r="D342" i="3"/>
  <c r="E342" i="3"/>
  <c r="M342" i="3"/>
  <c r="U342" i="3"/>
  <c r="W342" i="3" s="1"/>
  <c r="D343" i="3"/>
  <c r="E343" i="3"/>
  <c r="M343" i="3"/>
  <c r="W343" i="3"/>
  <c r="D344" i="3"/>
  <c r="E344" i="3"/>
  <c r="M344" i="3"/>
  <c r="W344" i="3"/>
  <c r="D345" i="3"/>
  <c r="E345" i="3"/>
  <c r="M345" i="3"/>
  <c r="W345" i="3"/>
  <c r="D346" i="3"/>
  <c r="E346" i="3"/>
  <c r="M346" i="3"/>
  <c r="W346" i="3"/>
  <c r="D347" i="3"/>
  <c r="E347" i="3"/>
  <c r="M347" i="3"/>
  <c r="W347" i="3"/>
  <c r="D348" i="3"/>
  <c r="E348" i="3"/>
  <c r="M348" i="3"/>
  <c r="W348" i="3"/>
  <c r="D349" i="3"/>
  <c r="E349" i="3"/>
  <c r="M349" i="3"/>
  <c r="W349" i="3"/>
  <c r="D350" i="3"/>
  <c r="E350" i="3"/>
  <c r="M350" i="3"/>
  <c r="W350" i="3"/>
  <c r="D351" i="3"/>
  <c r="E351" i="3"/>
  <c r="M351" i="3"/>
  <c r="W351" i="3"/>
  <c r="D352" i="3"/>
  <c r="E352" i="3"/>
  <c r="M352" i="3"/>
  <c r="W352" i="3"/>
  <c r="D353" i="3"/>
  <c r="E353" i="3"/>
  <c r="M353" i="3"/>
  <c r="W353" i="3"/>
  <c r="D354" i="3"/>
  <c r="E354" i="3"/>
  <c r="M354" i="3"/>
  <c r="W354" i="3"/>
  <c r="D355" i="3"/>
  <c r="E355" i="3"/>
  <c r="M355" i="3"/>
  <c r="W355" i="3"/>
  <c r="D356" i="3"/>
  <c r="E356" i="3"/>
  <c r="M356" i="3"/>
  <c r="W356" i="3"/>
  <c r="D357" i="3"/>
  <c r="E357" i="3"/>
  <c r="M357" i="3"/>
  <c r="W357" i="3"/>
  <c r="D358" i="3"/>
  <c r="E358" i="3"/>
  <c r="M358" i="3"/>
  <c r="W358" i="3"/>
  <c r="D359" i="3"/>
  <c r="E359" i="3"/>
  <c r="M359" i="3"/>
  <c r="W359" i="3"/>
  <c r="D360" i="3"/>
  <c r="E360" i="3"/>
  <c r="M360" i="3"/>
  <c r="W360" i="3"/>
  <c r="D361" i="3"/>
  <c r="E361" i="3"/>
  <c r="M361" i="3"/>
  <c r="W361" i="3"/>
  <c r="D362" i="3"/>
  <c r="E362" i="3"/>
  <c r="M362" i="3"/>
  <c r="W362" i="3"/>
  <c r="D363" i="3"/>
  <c r="E363" i="3"/>
  <c r="M363" i="3"/>
  <c r="W363" i="3"/>
  <c r="D364" i="3"/>
  <c r="E364" i="3"/>
  <c r="M364" i="3"/>
  <c r="W364" i="3"/>
  <c r="D365" i="3"/>
  <c r="E365" i="3"/>
  <c r="M365" i="3"/>
  <c r="U365" i="3"/>
  <c r="W365" i="3"/>
  <c r="D366" i="3"/>
  <c r="E366" i="3"/>
  <c r="M366" i="3"/>
  <c r="W366" i="3"/>
  <c r="D367" i="3"/>
  <c r="E367" i="3"/>
  <c r="W367" i="3"/>
  <c r="D368" i="3"/>
  <c r="E368" i="3"/>
  <c r="M368" i="3"/>
  <c r="U368" i="3"/>
  <c r="W368" i="3"/>
  <c r="D369" i="3"/>
  <c r="E369" i="3"/>
  <c r="M369" i="3"/>
  <c r="W369" i="3"/>
  <c r="D370" i="3"/>
  <c r="E370" i="3"/>
  <c r="M370" i="3"/>
  <c r="W370" i="3"/>
  <c r="D371" i="3"/>
  <c r="E371" i="3"/>
  <c r="U371" i="3"/>
  <c r="W371" i="3"/>
  <c r="D372" i="3"/>
  <c r="E372" i="3"/>
  <c r="U372" i="3"/>
  <c r="W372" i="3" s="1"/>
  <c r="D373" i="3"/>
  <c r="E373" i="3"/>
  <c r="U373" i="3"/>
  <c r="W373" i="3"/>
  <c r="E374" i="3"/>
  <c r="U374" i="3"/>
  <c r="W374" i="3"/>
  <c r="D375" i="3"/>
  <c r="E375" i="3"/>
  <c r="M375" i="3"/>
  <c r="U375" i="3"/>
  <c r="W375" i="3" s="1"/>
  <c r="D376" i="3"/>
  <c r="E376" i="3"/>
  <c r="M376" i="3"/>
  <c r="U376" i="3"/>
  <c r="W376" i="3" s="1"/>
  <c r="D377" i="3"/>
  <c r="E377" i="3"/>
  <c r="W377" i="3"/>
  <c r="D378" i="3"/>
  <c r="E378" i="3"/>
  <c r="M378" i="3"/>
  <c r="W378" i="3"/>
  <c r="D379" i="3"/>
  <c r="E379" i="3"/>
  <c r="M379" i="3"/>
  <c r="W379" i="3"/>
  <c r="D380" i="3"/>
  <c r="E380" i="3"/>
  <c r="M380" i="3"/>
  <c r="U380" i="3"/>
  <c r="W380" i="3" s="1"/>
  <c r="D381" i="3"/>
  <c r="E381" i="3"/>
  <c r="M381" i="3"/>
  <c r="U381" i="3"/>
  <c r="W381" i="3" s="1"/>
  <c r="D382" i="3"/>
  <c r="E382" i="3"/>
  <c r="M382" i="3"/>
  <c r="U382" i="3"/>
  <c r="W382" i="3" s="1"/>
  <c r="D383" i="3"/>
  <c r="E383" i="3"/>
  <c r="M383" i="3"/>
  <c r="U383" i="3"/>
  <c r="W383" i="3" s="1"/>
  <c r="D384" i="3"/>
  <c r="E384" i="3"/>
  <c r="M384" i="3"/>
  <c r="U384" i="3"/>
  <c r="W384" i="3" s="1"/>
  <c r="D385" i="3"/>
  <c r="E385" i="3"/>
  <c r="M385" i="3"/>
  <c r="U385" i="3"/>
  <c r="W385" i="3" s="1"/>
  <c r="D386" i="3"/>
  <c r="E386" i="3"/>
  <c r="M386" i="3"/>
  <c r="U386" i="3"/>
  <c r="W386" i="3" s="1"/>
  <c r="D387" i="3"/>
  <c r="E387" i="3"/>
  <c r="M387" i="3"/>
  <c r="U387" i="3"/>
  <c r="W387" i="3" s="1"/>
  <c r="D388" i="3"/>
  <c r="E388" i="3"/>
  <c r="W388" i="3"/>
  <c r="D389" i="3"/>
  <c r="E389" i="3"/>
  <c r="M389" i="3"/>
  <c r="W389" i="3"/>
  <c r="D390" i="3"/>
  <c r="E390" i="3"/>
  <c r="M390" i="3"/>
  <c r="W390" i="3"/>
  <c r="D391" i="3"/>
  <c r="E391" i="3"/>
  <c r="M391" i="3"/>
  <c r="W391" i="3"/>
  <c r="D392" i="3"/>
  <c r="E392" i="3"/>
  <c r="M392" i="3"/>
  <c r="U392" i="3"/>
  <c r="W392" i="3"/>
  <c r="D393" i="3"/>
  <c r="E393" i="3"/>
  <c r="M393" i="3"/>
  <c r="U393" i="3"/>
  <c r="W393" i="3" s="1"/>
  <c r="D394" i="3"/>
  <c r="E394" i="3"/>
  <c r="M394" i="3"/>
  <c r="U394" i="3"/>
  <c r="W394" i="3" s="1"/>
  <c r="D395" i="3"/>
  <c r="E395" i="3"/>
  <c r="M395" i="3"/>
  <c r="U395" i="3"/>
  <c r="W395" i="3"/>
  <c r="D396" i="3"/>
  <c r="E396" i="3"/>
  <c r="M396" i="3"/>
  <c r="U396" i="3"/>
  <c r="W396" i="3" s="1"/>
  <c r="D397" i="3"/>
  <c r="E397" i="3"/>
  <c r="M397" i="3"/>
  <c r="U397" i="3"/>
  <c r="W397" i="3" s="1"/>
  <c r="D398" i="3"/>
  <c r="E398" i="3"/>
  <c r="M398" i="3"/>
  <c r="U398" i="3"/>
  <c r="W398" i="3" s="1"/>
  <c r="D399" i="3"/>
  <c r="E399" i="3"/>
  <c r="M399" i="3"/>
  <c r="W399" i="3"/>
  <c r="D400" i="3"/>
  <c r="E400" i="3"/>
  <c r="M400" i="3"/>
  <c r="W400" i="3"/>
  <c r="D401" i="3"/>
  <c r="E401" i="3"/>
  <c r="M401" i="3"/>
  <c r="W401" i="3"/>
  <c r="D402" i="3"/>
  <c r="E402" i="3"/>
  <c r="M402" i="3"/>
  <c r="W402" i="3"/>
  <c r="D403" i="3"/>
  <c r="E403" i="3"/>
  <c r="M403" i="3"/>
  <c r="W403" i="3"/>
  <c r="D404" i="3"/>
  <c r="E404" i="3"/>
  <c r="M404" i="3"/>
  <c r="W404" i="3"/>
  <c r="D405" i="3"/>
  <c r="E405" i="3"/>
  <c r="M405" i="3"/>
  <c r="W405" i="3"/>
  <c r="D406" i="3"/>
  <c r="E406" i="3"/>
  <c r="M406" i="3"/>
  <c r="W406" i="3"/>
  <c r="D407" i="3"/>
  <c r="E407" i="3"/>
  <c r="M407" i="3"/>
  <c r="W407" i="3"/>
  <c r="D408" i="3"/>
  <c r="E408" i="3"/>
  <c r="M408" i="3"/>
  <c r="W408" i="3"/>
  <c r="D409" i="3"/>
  <c r="E409" i="3"/>
  <c r="M409" i="3"/>
  <c r="W409" i="3"/>
  <c r="D410" i="3"/>
  <c r="E410" i="3"/>
  <c r="M410" i="3"/>
  <c r="W410" i="3"/>
  <c r="D411" i="3"/>
  <c r="E411" i="3"/>
  <c r="M411" i="3"/>
  <c r="W411" i="3"/>
  <c r="D412" i="3"/>
  <c r="E412" i="3"/>
  <c r="M412" i="3"/>
  <c r="W412" i="3"/>
  <c r="D413" i="3"/>
  <c r="E413" i="3"/>
  <c r="M413" i="3"/>
  <c r="W413" i="3"/>
  <c r="D414" i="3"/>
  <c r="E414" i="3"/>
  <c r="M414" i="3"/>
  <c r="W414" i="3"/>
  <c r="D415" i="3"/>
  <c r="E415" i="3"/>
  <c r="M415" i="3"/>
  <c r="W415" i="3"/>
  <c r="D416" i="3"/>
  <c r="E416" i="3"/>
  <c r="M416" i="3"/>
  <c r="W416" i="3"/>
  <c r="D417" i="3"/>
  <c r="E417" i="3"/>
  <c r="M417" i="3"/>
  <c r="W417" i="3"/>
  <c r="D418" i="3"/>
  <c r="E418" i="3"/>
  <c r="M418" i="3"/>
  <c r="W418" i="3"/>
  <c r="D419" i="3"/>
  <c r="E419" i="3"/>
  <c r="M419" i="3"/>
  <c r="W419" i="3"/>
  <c r="D420" i="3"/>
  <c r="E420" i="3"/>
  <c r="M420" i="3"/>
  <c r="W420" i="3"/>
  <c r="D421" i="3"/>
  <c r="E421" i="3"/>
  <c r="M421" i="3"/>
  <c r="W421" i="3"/>
  <c r="D422" i="3"/>
  <c r="E422" i="3"/>
  <c r="M422" i="3"/>
  <c r="U422" i="3"/>
  <c r="W422" i="3" s="1"/>
  <c r="D423" i="3"/>
  <c r="E423" i="3"/>
  <c r="M423" i="3"/>
  <c r="U423" i="3"/>
  <c r="W423" i="3" s="1"/>
  <c r="D424" i="3"/>
  <c r="E424" i="3"/>
  <c r="M424" i="3"/>
  <c r="U424" i="3"/>
  <c r="W424" i="3" s="1"/>
  <c r="D425" i="3"/>
  <c r="E425" i="3"/>
  <c r="M425" i="3"/>
  <c r="U425" i="3"/>
  <c r="W425" i="3" s="1"/>
  <c r="D426" i="3"/>
  <c r="E426" i="3"/>
  <c r="M426" i="3"/>
  <c r="W426" i="3"/>
  <c r="D427" i="3"/>
  <c r="E427" i="3"/>
  <c r="D428" i="3"/>
  <c r="E428" i="3"/>
  <c r="M428" i="3"/>
  <c r="U428" i="3"/>
  <c r="W428" i="3" s="1"/>
  <c r="D429" i="3"/>
  <c r="E429" i="3"/>
  <c r="M429" i="3"/>
  <c r="W429" i="3"/>
  <c r="D430" i="3"/>
  <c r="E430" i="3"/>
  <c r="M430" i="3"/>
  <c r="W430" i="3"/>
  <c r="D431" i="3"/>
  <c r="E431" i="3"/>
  <c r="M431" i="3"/>
  <c r="W431" i="3"/>
  <c r="D432" i="3"/>
  <c r="E432" i="3"/>
  <c r="M432" i="3"/>
  <c r="W432" i="3"/>
  <c r="E433" i="3"/>
  <c r="D434" i="3"/>
  <c r="E434" i="3"/>
  <c r="M434" i="3"/>
  <c r="W434" i="3"/>
  <c r="D435" i="3"/>
  <c r="E435" i="3"/>
  <c r="M435" i="3"/>
  <c r="W435" i="3"/>
  <c r="D436" i="3"/>
  <c r="E436" i="3"/>
  <c r="M436" i="3"/>
  <c r="W436" i="3"/>
  <c r="D437" i="3"/>
  <c r="E437" i="3"/>
  <c r="M437" i="3"/>
  <c r="W437" i="3"/>
  <c r="D438" i="3"/>
  <c r="E438" i="3"/>
  <c r="M438" i="3"/>
  <c r="W438" i="3"/>
  <c r="D439" i="3"/>
  <c r="E439" i="3"/>
  <c r="M439" i="3"/>
  <c r="W439" i="3"/>
  <c r="D440" i="3"/>
  <c r="E440" i="3"/>
  <c r="M440" i="3"/>
  <c r="W440" i="3"/>
  <c r="D441" i="3"/>
  <c r="E441" i="3"/>
  <c r="M441" i="3"/>
  <c r="W441" i="3"/>
  <c r="D442" i="3"/>
  <c r="E442" i="3"/>
  <c r="M442" i="3"/>
  <c r="W442" i="3"/>
  <c r="D443" i="3"/>
  <c r="E443" i="3"/>
  <c r="M443" i="3"/>
  <c r="W443" i="3"/>
  <c r="D444" i="3"/>
  <c r="E444" i="3"/>
  <c r="M444" i="3"/>
  <c r="W444" i="3"/>
  <c r="D445" i="3"/>
  <c r="E445" i="3"/>
  <c r="M445" i="3"/>
  <c r="W445" i="3"/>
  <c r="D446" i="3"/>
  <c r="E446" i="3"/>
  <c r="M446" i="3"/>
  <c r="W446" i="3"/>
  <c r="D447" i="3"/>
  <c r="E447" i="3"/>
  <c r="M447" i="3"/>
  <c r="W447" i="3"/>
  <c r="D450" i="3"/>
  <c r="E450" i="3"/>
  <c r="M450" i="3"/>
  <c r="W450" i="3"/>
  <c r="D451" i="3"/>
  <c r="E451" i="3"/>
  <c r="M451" i="3"/>
  <c r="W451" i="3"/>
  <c r="D452" i="3"/>
  <c r="E452" i="3"/>
  <c r="M452" i="3"/>
  <c r="W452" i="3"/>
  <c r="D453" i="3"/>
  <c r="E453" i="3"/>
  <c r="M453" i="3"/>
  <c r="W453" i="3"/>
  <c r="D454" i="3"/>
  <c r="E454" i="3"/>
  <c r="M454" i="3"/>
  <c r="W454" i="3"/>
  <c r="D455" i="3"/>
  <c r="E455" i="3"/>
  <c r="M455" i="3"/>
  <c r="W455" i="3"/>
  <c r="Y461" i="3"/>
  <c r="AC461" i="3"/>
  <c r="AB461" i="3" s="1"/>
  <c r="Y462" i="3"/>
  <c r="AC462" i="3"/>
  <c r="AB462" i="3" s="1"/>
  <c r="Y463" i="3"/>
  <c r="AC463" i="3"/>
  <c r="AB463" i="3" s="1"/>
  <c r="Y464" i="3"/>
  <c r="AC464" i="3"/>
  <c r="AB464" i="3" s="1"/>
  <c r="Y465" i="3"/>
  <c r="AC465" i="3"/>
  <c r="AB465" i="3" s="1"/>
  <c r="AA466" i="3"/>
  <c r="Y475" i="3"/>
  <c r="Z475" i="3"/>
  <c r="Y480" i="3"/>
  <c r="Z480" i="3"/>
  <c r="AC480" i="3"/>
  <c r="Y481" i="3"/>
  <c r="Z481" i="3"/>
  <c r="AC481" i="3"/>
  <c r="Y482" i="3"/>
  <c r="Z482" i="3"/>
  <c r="AC482" i="3"/>
  <c r="Z483" i="3"/>
  <c r="Y484" i="3"/>
  <c r="Z484" i="3"/>
  <c r="Y485" i="3"/>
  <c r="Z485" i="3"/>
  <c r="Y486" i="3"/>
  <c r="Z486" i="3"/>
  <c r="Y487" i="3"/>
  <c r="Z487" i="3"/>
  <c r="Y488" i="3"/>
  <c r="Z488" i="3"/>
  <c r="Y489" i="3"/>
  <c r="Z489" i="3"/>
  <c r="Y490" i="3"/>
  <c r="Z490" i="3"/>
  <c r="Y491" i="3"/>
  <c r="Z491" i="3"/>
  <c r="Y492" i="3"/>
  <c r="Z492" i="3"/>
  <c r="Z493" i="3"/>
  <c r="Y494" i="3"/>
  <c r="Z494" i="3"/>
  <c r="Y495" i="3"/>
  <c r="Z495" i="3"/>
  <c r="Y496" i="3"/>
  <c r="Z496" i="3"/>
  <c r="Y497" i="3"/>
  <c r="Z497" i="3"/>
  <c r="Z498" i="3"/>
  <c r="Y499" i="3"/>
  <c r="Z499" i="3"/>
  <c r="AA483" i="3" s="1"/>
  <c r="AD483" i="3" s="1"/>
  <c r="H29" i="8"/>
  <c r="AC466" i="3" l="1"/>
  <c r="AA8" i="3"/>
  <c r="AD8" i="3" s="1"/>
  <c r="AC484" i="3"/>
  <c r="AA482" i="3"/>
  <c r="AA480" i="3"/>
  <c r="AD480" i="3" s="1"/>
  <c r="Z7" i="3"/>
  <c r="U1" i="3"/>
  <c r="AA1" i="3" s="1"/>
  <c r="Z10" i="3"/>
  <c r="AD482" i="3"/>
  <c r="AA481" i="3"/>
  <c r="AD481" i="3" s="1"/>
  <c r="H18" i="10"/>
  <c r="H25" i="10"/>
  <c r="Y466" i="3"/>
  <c r="H24" i="10"/>
  <c r="V1" i="4"/>
  <c r="Y4" i="4"/>
  <c r="AC502" i="4"/>
  <c r="Z1" i="4"/>
  <c r="W2" i="4"/>
  <c r="Y5" i="4"/>
  <c r="AC500" i="4"/>
  <c r="Y522" i="4"/>
  <c r="V3" i="4"/>
  <c r="V207" i="4"/>
  <c r="Z23" i="3"/>
  <c r="Z16" i="3"/>
  <c r="Z20" i="3"/>
  <c r="AA16" i="3"/>
  <c r="AA19" i="3"/>
  <c r="AD19" i="3" s="1"/>
  <c r="Z502" i="3"/>
  <c r="AB460" i="3"/>
  <c r="AB466" i="3" s="1"/>
  <c r="Z19" i="3"/>
  <c r="AA22" i="3"/>
  <c r="AD22" i="3" s="1"/>
  <c r="AA9" i="3"/>
  <c r="AD9" i="3" s="1"/>
  <c r="Z22" i="3"/>
  <c r="AA12" i="3"/>
  <c r="Z9" i="3"/>
  <c r="Z15" i="3"/>
  <c r="AA18" i="3"/>
  <c r="AD18" i="3" s="1"/>
  <c r="Z25" i="3"/>
  <c r="AA15" i="3"/>
  <c r="AD15" i="3" s="1"/>
  <c r="Z18" i="3"/>
  <c r="AA21" i="3"/>
  <c r="Z8" i="3"/>
  <c r="AA11" i="3"/>
  <c r="AA24" i="3"/>
  <c r="AD24" i="3" s="1"/>
  <c r="Z21" i="3"/>
  <c r="Z24" i="3"/>
  <c r="AA14" i="3"/>
  <c r="AD14" i="3" s="1"/>
  <c r="Z11" i="3"/>
  <c r="Z14" i="3"/>
  <c r="Z12" i="3"/>
  <c r="AA17" i="3"/>
  <c r="AD17" i="3" s="1"/>
  <c r="AA25" i="3"/>
  <c r="AD25" i="3" s="1"/>
  <c r="Z17" i="3"/>
  <c r="AA7" i="3"/>
  <c r="AD7" i="3" s="1"/>
  <c r="AA20" i="3"/>
  <c r="AD20" i="3" s="1"/>
  <c r="AA23" i="3"/>
  <c r="AA13" i="3"/>
  <c r="AD13" i="3" s="1"/>
  <c r="AA10" i="3"/>
  <c r="Z13" i="3"/>
  <c r="AA484" i="3" l="1"/>
  <c r="Z5" i="3"/>
  <c r="W1" i="3"/>
  <c r="Z4" i="3"/>
  <c r="Z26" i="3"/>
  <c r="AC16" i="3"/>
  <c r="AD16" i="3"/>
  <c r="AD23" i="3"/>
  <c r="AC23" i="3"/>
  <c r="AC11" i="3"/>
  <c r="AD11" i="3"/>
  <c r="AC10" i="3"/>
  <c r="AD10" i="3"/>
  <c r="AC21" i="3"/>
  <c r="AD21" i="3"/>
  <c r="AC12" i="3"/>
  <c r="AD12" i="3"/>
</calcChain>
</file>

<file path=xl/sharedStrings.xml><?xml version="1.0" encoding="utf-8"?>
<sst xmlns="http://schemas.openxmlformats.org/spreadsheetml/2006/main" count="13080" uniqueCount="1443">
  <si>
    <t>총합계</t>
  </si>
  <si>
    <t>(비어 있음)</t>
  </si>
  <si>
    <t>사업관리</t>
  </si>
  <si>
    <t>기타</t>
  </si>
  <si>
    <t>교육</t>
  </si>
  <si>
    <t>합계 : 최초예산</t>
  </si>
  <si>
    <t>행 레이블</t>
  </si>
  <si>
    <t>NDZ251631</t>
  </si>
  <si>
    <t>추경풀리면 보내주세요</t>
    <phoneticPr fontId="3" type="noConversion"/>
  </si>
  <si>
    <t>교외장학금</t>
    <phoneticPr fontId="3" type="noConversion"/>
  </si>
  <si>
    <t>NDZ251331</t>
  </si>
  <si>
    <t>교원기타수당</t>
    <phoneticPr fontId="3" type="noConversion"/>
  </si>
  <si>
    <t>NDZ251311</t>
  </si>
  <si>
    <t>기타운영비</t>
    <phoneticPr fontId="3" type="noConversion"/>
  </si>
  <si>
    <t>총계</t>
    <phoneticPr fontId="3" type="noConversion"/>
  </si>
  <si>
    <t>교외장학금</t>
  </si>
  <si>
    <t>소모품비:각부서</t>
  </si>
  <si>
    <t>기타운영비:부서별</t>
  </si>
  <si>
    <t>일반용역비:부서별</t>
  </si>
  <si>
    <t>전기수도료:전기료</t>
  </si>
  <si>
    <t>건축물관리비:기타</t>
  </si>
  <si>
    <t>임시직/수당</t>
  </si>
  <si>
    <t>비전임교원인건비</t>
    <phoneticPr fontId="3" type="noConversion"/>
  </si>
  <si>
    <t>임시직/급여:보험통합</t>
  </si>
  <si>
    <t>임시직수당:부서별</t>
  </si>
  <si>
    <t>임시직/급여</t>
  </si>
  <si>
    <t>행정사무직수당:부서</t>
  </si>
  <si>
    <t>행정사무직 수당</t>
  </si>
  <si>
    <t>특별강의료:특별강의료</t>
  </si>
  <si>
    <t>교원기타수당</t>
  </si>
  <si>
    <t>교원급여/본봉</t>
  </si>
  <si>
    <t>교육용비품구입지출</t>
  </si>
  <si>
    <t>업무용비품구입지출</t>
  </si>
  <si>
    <t>업무용기계기구구입지출</t>
  </si>
  <si>
    <t>교육용기계기구구입지출</t>
  </si>
  <si>
    <t>(ERP)</t>
    <phoneticPr fontId="3" type="noConversion"/>
  </si>
  <si>
    <t>관별</t>
    <phoneticPr fontId="3" type="noConversion"/>
  </si>
  <si>
    <t>예산</t>
    <phoneticPr fontId="3" type="noConversion"/>
  </si>
  <si>
    <t>코드</t>
    <phoneticPr fontId="3" type="noConversion"/>
  </si>
  <si>
    <t>교내계정과목
(드롭박스)</t>
  </si>
  <si>
    <t>그밖의사업운영경비</t>
    <phoneticPr fontId="3" type="noConversion"/>
  </si>
  <si>
    <t>실험실습장비및기자재구입비</t>
    <phoneticPr fontId="3" type="noConversion"/>
  </si>
  <si>
    <t>장학금</t>
    <phoneticPr fontId="3" type="noConversion"/>
  </si>
  <si>
    <t>인건비</t>
  </si>
  <si>
    <t>교육·연구 환경개선비</t>
  </si>
  <si>
    <t>교육·연구 프로그램 개발·운영비</t>
  </si>
  <si>
    <t xml:space="preserve">iR센터 9000회수해야함 </t>
    <phoneticPr fontId="3" type="noConversion"/>
  </si>
  <si>
    <t>본사업비(최초배정)</t>
    <phoneticPr fontId="3" type="noConversion"/>
  </si>
  <si>
    <t>이월금</t>
    <phoneticPr fontId="3" type="noConversion"/>
  </si>
  <si>
    <t>인사총무팀 사업계획서 변경 제출(33,000,000 -&gt; 22,000,000)</t>
    <phoneticPr fontId="3" type="noConversion"/>
  </si>
  <si>
    <t>경력개발팀AI프로그램 경진대회 열계획 - 교육비용을 교원기타수당 으로 일부변경해서 진행하고자함</t>
    <phoneticPr fontId="3" type="noConversion"/>
  </si>
  <si>
    <t>20206-09-18</t>
    <phoneticPr fontId="3" type="noConversion"/>
  </si>
  <si>
    <t>부총장님 벤치마킹 - D-2-다</t>
    <phoneticPr fontId="3" type="noConversion"/>
  </si>
  <si>
    <t>그 밖의 사업운영 경비</t>
    <phoneticPr fontId="3" type="noConversion"/>
  </si>
  <si>
    <t>학사지원팀 1100만원 요청-20260915-임복규대리님</t>
    <phoneticPr fontId="3" type="noConversion"/>
  </si>
  <si>
    <t>혁신전략기획팀 1000만원 요청</t>
    <phoneticPr fontId="3" type="noConversion"/>
  </si>
  <si>
    <t>RC 세부프로그램간 예산변경</t>
    <phoneticPr fontId="3" type="noConversion"/>
  </si>
  <si>
    <t>RC 학사지도사+사업참여인력 교육</t>
    <phoneticPr fontId="3" type="noConversion"/>
  </si>
  <si>
    <t>교육연구환경개선비</t>
    <phoneticPr fontId="3" type="noConversion"/>
  </si>
  <si>
    <t xml:space="preserve">IR센터 9000만원 서버인프라확장 부서성과평가 용역돌리기 </t>
    <phoneticPr fontId="3" type="noConversion"/>
  </si>
  <si>
    <t>교육연구프로그램개발운영비</t>
    <phoneticPr fontId="3" type="noConversion"/>
  </si>
  <si>
    <t>석면공사 취소(6.11.)</t>
    <phoneticPr fontId="3" type="noConversion"/>
  </si>
  <si>
    <t>2026사업비</t>
    <phoneticPr fontId="3" type="noConversion"/>
  </si>
  <si>
    <t>본사업비</t>
    <phoneticPr fontId="3" type="noConversion"/>
  </si>
  <si>
    <t>iR센터 … 센터장실 미정</t>
    <phoneticPr fontId="3" type="noConversion"/>
  </si>
  <si>
    <t>역산</t>
    <phoneticPr fontId="3" type="noConversion"/>
  </si>
  <si>
    <t>대예배실 믹서 150 - 대외협력팀에서 문서올리기로함</t>
    <phoneticPr fontId="3" type="noConversion"/>
  </si>
  <si>
    <t>0차</t>
    <phoneticPr fontId="3" type="noConversion"/>
  </si>
  <si>
    <t>NDZ251004</t>
    <phoneticPr fontId="3" type="noConversion"/>
  </si>
  <si>
    <t>인건비지원</t>
    <phoneticPr fontId="3" type="noConversion"/>
  </si>
  <si>
    <t>교내교직원인건비 지원(축소계획)-1,715,500,000원</t>
    <phoneticPr fontId="3" type="noConversion"/>
  </si>
  <si>
    <t>교내교원인건비 지원</t>
    <phoneticPr fontId="3" type="noConversion"/>
  </si>
  <si>
    <t>경상비 지원</t>
    <phoneticPr fontId="3" type="noConversion"/>
  </si>
  <si>
    <t>사업관리 및 운영</t>
  </si>
  <si>
    <t>미래대학혁신지원사업단</t>
  </si>
  <si>
    <t>사업관리</t>
    <phoneticPr fontId="3" type="noConversion"/>
  </si>
  <si>
    <t>13차</t>
    <phoneticPr fontId="3" type="noConversion"/>
  </si>
  <si>
    <t>NDZ251006</t>
    <phoneticPr fontId="3" type="noConversion"/>
  </si>
  <si>
    <t>경상비지원</t>
    <phoneticPr fontId="3" type="noConversion"/>
  </si>
  <si>
    <t>전기수도료:전기료</t>
    <phoneticPr fontId="3" type="noConversion"/>
  </si>
  <si>
    <t>그 밖의 사업운영 경비</t>
  </si>
  <si>
    <t>전기요금 지원(축소계획)-686,200,000원</t>
    <phoneticPr fontId="3" type="noConversion"/>
  </si>
  <si>
    <t>보험료</t>
    <phoneticPr fontId="3" type="noConversion"/>
  </si>
  <si>
    <t>임시직/급여:보험통합</t>
    <phoneticPr fontId="3" type="noConversion"/>
  </si>
  <si>
    <t>인건비</t>
    <phoneticPr fontId="3" type="noConversion"/>
  </si>
  <si>
    <t>보험, 퇴직금 적립 등</t>
    <phoneticPr fontId="3" type="noConversion"/>
  </si>
  <si>
    <t>사업단 운영비</t>
    <phoneticPr fontId="3" type="noConversion"/>
  </si>
  <si>
    <t>사업관리 및 운영</t>
    <phoneticPr fontId="3" type="noConversion"/>
  </si>
  <si>
    <t>미래대학혁신지원사업단</t>
    <phoneticPr fontId="3" type="noConversion"/>
  </si>
  <si>
    <t>인센티브</t>
    <phoneticPr fontId="3" type="noConversion"/>
  </si>
  <si>
    <t>행정사무직 수당</t>
    <phoneticPr fontId="3" type="noConversion"/>
  </si>
  <si>
    <t>사업참여인력(기존교직원/신규교직원) 인센티브</t>
    <phoneticPr fontId="3" type="noConversion"/>
  </si>
  <si>
    <t>임시직수당:부서별</t>
    <phoneticPr fontId="3" type="noConversion"/>
  </si>
  <si>
    <t>수당</t>
    <phoneticPr fontId="3" type="noConversion"/>
  </si>
  <si>
    <t>임시직/수당</t>
    <phoneticPr fontId="3" type="noConversion"/>
  </si>
  <si>
    <t>사업단 전담인력 연장근로수당</t>
    <phoneticPr fontId="3" type="noConversion"/>
  </si>
  <si>
    <t>급여</t>
    <phoneticPr fontId="3" type="noConversion"/>
  </si>
  <si>
    <t>임시직/급여</t>
    <phoneticPr fontId="3" type="noConversion"/>
  </si>
  <si>
    <t>사업단 전담인력 인건비(이경희,김민영,권의정,김선희)</t>
    <phoneticPr fontId="3" type="noConversion"/>
  </si>
  <si>
    <t>NDZ251005</t>
    <phoneticPr fontId="3" type="noConversion"/>
  </si>
  <si>
    <t>근로장학금</t>
  </si>
  <si>
    <t>장학금</t>
  </si>
  <si>
    <t>근로장학생 운영</t>
    <phoneticPr fontId="3" type="noConversion"/>
  </si>
  <si>
    <t>출장비</t>
    <phoneticPr fontId="3" type="noConversion"/>
  </si>
  <si>
    <t>사업단 전담인력 출장비(부서파견 전담인력은 부서 프로그램내 집행)</t>
    <phoneticPr fontId="3" type="noConversion"/>
  </si>
  <si>
    <t>교육훈련비</t>
    <phoneticPr fontId="3" type="noConversion"/>
  </si>
  <si>
    <t>사업단 전담인력 교육훈련비(부서파견 전담인력은 부서 프로그램내 집행)</t>
    <phoneticPr fontId="3" type="noConversion"/>
  </si>
  <si>
    <t>전문가활용비</t>
    <phoneticPr fontId="3" type="noConversion"/>
  </si>
  <si>
    <t>위원회 참석 수당</t>
    <phoneticPr fontId="3" type="noConversion"/>
  </si>
  <si>
    <t>회의비</t>
    <phoneticPr fontId="3" type="noConversion"/>
  </si>
  <si>
    <t>혁신지원사업 관련 회의비(평가, 위원회, TF운영, 보고서작성 등)</t>
    <phoneticPr fontId="3" type="noConversion"/>
  </si>
  <si>
    <t>사무환경개선비</t>
    <phoneticPr fontId="3" type="noConversion"/>
  </si>
  <si>
    <t>업무용비품구입지출</t>
    <phoneticPr fontId="3" type="noConversion"/>
  </si>
  <si>
    <t>사업단 및 유관부서 업무용 비품구입지원</t>
    <phoneticPr fontId="3" type="noConversion"/>
  </si>
  <si>
    <t>업무용기계기구구입지출</t>
    <phoneticPr fontId="3" type="noConversion"/>
  </si>
  <si>
    <t>사업단 및 유관부서 업무용기계기구구입지원</t>
    <phoneticPr fontId="3" type="noConversion"/>
  </si>
  <si>
    <t>일반수용비</t>
    <phoneticPr fontId="3" type="noConversion"/>
  </si>
  <si>
    <t>사업단(정수기, 복합기4대, 구글드라이브, 소모품</t>
    <phoneticPr fontId="3" type="noConversion"/>
  </si>
  <si>
    <t>총괄협의회 회비가배정액*0.3%)-34.19억기준</t>
    <phoneticPr fontId="3" type="noConversion"/>
  </si>
  <si>
    <t>사업계획서, 각종보고서, 뉴스레터 작성 디자인 및 인쇄비</t>
    <phoneticPr fontId="3" type="noConversion"/>
  </si>
  <si>
    <t>행사비</t>
    <phoneticPr fontId="3" type="noConversion"/>
  </si>
  <si>
    <t>지면홍보 지원(5,000,000원)</t>
    <phoneticPr fontId="3" type="noConversion"/>
  </si>
  <si>
    <t>홍보비 지원</t>
    <phoneticPr fontId="3" type="noConversion"/>
  </si>
  <si>
    <t>4주기 대학기관인증평가(52,510,000원)</t>
    <phoneticPr fontId="3" type="noConversion"/>
  </si>
  <si>
    <t>인증평가 지원</t>
    <phoneticPr fontId="3" type="noConversion"/>
  </si>
  <si>
    <t>AI보건관리학과 인증(12,000,000원)</t>
    <phoneticPr fontId="3" type="noConversion"/>
  </si>
  <si>
    <t>-</t>
    <phoneticPr fontId="3" type="noConversion"/>
  </si>
  <si>
    <t>7차</t>
    <phoneticPr fontId="3" type="noConversion"/>
  </si>
  <si>
    <t>NDZ251631</t>
    <phoneticPr fontId="3" type="noConversion"/>
  </si>
  <si>
    <t>운영비</t>
    <phoneticPr fontId="3" type="noConversion"/>
  </si>
  <si>
    <t>교육연구프로그램개발운영비</t>
  </si>
  <si>
    <t>다. SDGs 성과확산 및 THE Impact 랭킹 제고</t>
  </si>
  <si>
    <t>[F-3]지속가능한 발전을 위한 글로벌 사회 혁신</t>
  </si>
  <si>
    <t>혁신전략기획팀</t>
    <phoneticPr fontId="3" type="noConversion"/>
  </si>
  <si>
    <t>F</t>
    <phoneticPr fontId="3" type="noConversion"/>
  </si>
  <si>
    <t>기타</t>
    <phoneticPr fontId="3" type="noConversion"/>
  </si>
  <si>
    <t>5차</t>
    <phoneticPr fontId="3" type="noConversion"/>
  </si>
  <si>
    <t>봉사팀별 교직원모니터링 회의지원</t>
    <phoneticPr fontId="3" type="noConversion"/>
  </si>
  <si>
    <t>연세머레이캠프 간담회 및 모니터링 회의지원</t>
    <phoneticPr fontId="3" type="noConversion"/>
  </si>
  <si>
    <t>나. SDGs 연계 글로벌 사회문제 해결</t>
  </si>
  <si>
    <t>머레이봉사센터</t>
    <phoneticPr fontId="3" type="noConversion"/>
  </si>
  <si>
    <t>봉사팀별 교재제작 지원</t>
    <phoneticPr fontId="3" type="noConversion"/>
  </si>
  <si>
    <t>봉사 팀별 주제에 맞는 교재 제작</t>
    <phoneticPr fontId="3" type="noConversion"/>
  </si>
  <si>
    <t>연세머레이캠프 교육봉사를 위한 교재 제작</t>
    <phoneticPr fontId="3" type="noConversion"/>
  </si>
  <si>
    <t>나. SDGs 연계 글로벌 사회문제 해결</t>
    <phoneticPr fontId="3" type="noConversion"/>
  </si>
  <si>
    <t>11차</t>
    <phoneticPr fontId="3" type="noConversion"/>
  </si>
  <si>
    <t>NDZ251632</t>
    <phoneticPr fontId="3" type="noConversion"/>
  </si>
  <si>
    <t>기자재구입비</t>
    <phoneticPr fontId="3" type="noConversion"/>
  </si>
  <si>
    <t>교육용기계기구구입지출</t>
    <phoneticPr fontId="3" type="noConversion"/>
  </si>
  <si>
    <t>동시통역시스템 연구 지원(마이크 구입)</t>
    <phoneticPr fontId="3" type="noConversion"/>
  </si>
  <si>
    <t>동시통역시스템 연구</t>
    <phoneticPr fontId="3" type="noConversion"/>
  </si>
  <si>
    <t>가. SDGs 기반 글로벌 공동 수업 혁신</t>
    <phoneticPr fontId="3" type="noConversion"/>
  </si>
  <si>
    <t>미래융합교육혁신원</t>
    <phoneticPr fontId="3" type="noConversion"/>
  </si>
  <si>
    <t>본배정</t>
    <phoneticPr fontId="3" type="noConversion"/>
  </si>
  <si>
    <t>연구비</t>
    <phoneticPr fontId="3" type="noConversion"/>
  </si>
  <si>
    <t>동시통역시스템 연구(NEW-8월)</t>
    <phoneticPr fontId="3" type="noConversion"/>
  </si>
  <si>
    <t>COIL 수업 운영 지원(수업조교)</t>
    <phoneticPr fontId="3" type="noConversion"/>
  </si>
  <si>
    <t>COIL(Collaborative Online International Learning)</t>
  </si>
  <si>
    <t>9차</t>
    <phoneticPr fontId="3" type="noConversion"/>
  </si>
  <si>
    <t>교과운영지원비</t>
    <phoneticPr fontId="3" type="noConversion"/>
  </si>
  <si>
    <t>COIL 수업 운영 지원</t>
    <phoneticPr fontId="3" type="noConversion"/>
  </si>
  <si>
    <t>NDZ251621</t>
  </si>
  <si>
    <t>직무시스템 개발 자문료(내부 교원/10회)</t>
    <phoneticPr fontId="3" type="noConversion"/>
  </si>
  <si>
    <t>직원 역량강화를 위한 직무 분석</t>
    <phoneticPr fontId="3" type="noConversion"/>
  </si>
  <si>
    <t>스마트 ESG캠퍼스 조성 사업 운영</t>
  </si>
  <si>
    <t>다. 운영체계 및 보고체계 정비</t>
  </si>
  <si>
    <t>[F-2]스마트 ESG 캠퍼스 조성</t>
  </si>
  <si>
    <t>인사총무팀</t>
  </si>
  <si>
    <t>F</t>
  </si>
  <si>
    <t>행정 커리어페스티벌(직원역량강화 교육) 운영(화목한 지식 런치 등) 25,000원*40명*5회</t>
    <phoneticPr fontId="3" type="noConversion"/>
  </si>
  <si>
    <t>직원 역량강화를 위한 직무 분석</t>
  </si>
  <si>
    <t>다. 운영체계 및 보고체계 정비</t>
    <phoneticPr fontId="3" type="noConversion"/>
  </si>
  <si>
    <t>직무기술서 등 작성 유관부서 확대 워크숍 운영 (1학기 4,040,000원 지출)</t>
    <phoneticPr fontId="3" type="noConversion"/>
  </si>
  <si>
    <t>행사비변경</t>
    <phoneticPr fontId="3" type="noConversion"/>
  </si>
  <si>
    <t>직원역량 강화교육 강사료(외부/4시간)</t>
    <phoneticPr fontId="3" type="noConversion"/>
  </si>
  <si>
    <t xml:space="preserve">(직무기술서 작성 &amp; 직원역량강화) 운영 소모품(현수막 등) 및 보고서 인쇄 </t>
    <phoneticPr fontId="3" type="noConversion"/>
  </si>
  <si>
    <t>직무기술서 작성 세미나 및 시스템 개발 회의 등 (1학기 871,000원 지출)</t>
    <phoneticPr fontId="3" type="noConversion"/>
  </si>
  <si>
    <t>NDZ251621</t>
    <phoneticPr fontId="3" type="noConversion"/>
  </si>
  <si>
    <t>용역비</t>
    <phoneticPr fontId="3" type="noConversion"/>
  </si>
  <si>
    <t>일반용역비:부서별</t>
    <phoneticPr fontId="3" type="noConversion"/>
  </si>
  <si>
    <t>발전계획연계 글로벌 이니셔티브 연구 용역</t>
    <phoneticPr fontId="3" type="noConversion"/>
  </si>
  <si>
    <t>연구용역</t>
    <phoneticPr fontId="3" type="noConversion"/>
  </si>
  <si>
    <t>(이월과업)발전계획연계 용역연구-2025미진행</t>
    <phoneticPr fontId="3" type="noConversion"/>
  </si>
  <si>
    <t>연구</t>
    <phoneticPr fontId="3" type="noConversion"/>
  </si>
  <si>
    <t>연세아트위크 행사운영 용역</t>
    <phoneticPr fontId="3" type="noConversion"/>
  </si>
  <si>
    <t>연세아트위크 행사진행</t>
    <phoneticPr fontId="3" type="noConversion"/>
  </si>
  <si>
    <t>미래캠퍼스 자체행사</t>
    <phoneticPr fontId="3" type="noConversion"/>
  </si>
  <si>
    <t>나. 문화·소통·참여를 통한 사회 기여</t>
    <phoneticPr fontId="3" type="noConversion"/>
  </si>
  <si>
    <t>미래평생교육원</t>
    <phoneticPr fontId="3" type="noConversion"/>
  </si>
  <si>
    <t>NDZ251625</t>
    <phoneticPr fontId="3" type="noConversion"/>
  </si>
  <si>
    <t>장학금지원</t>
    <phoneticPr fontId="3" type="noConversion"/>
  </si>
  <si>
    <t>나. 문화·소통·참여를 통한 사회 기여</t>
  </si>
  <si>
    <t>연세콘서트시리즈</t>
    <phoneticPr fontId="3" type="noConversion"/>
  </si>
  <si>
    <t>대외협력팀</t>
    <phoneticPr fontId="3" type="noConversion"/>
  </si>
  <si>
    <t>3차</t>
    <phoneticPr fontId="3" type="noConversion"/>
  </si>
  <si>
    <t>기획전시 개람식 및 작가초청 특강 행사 진행</t>
    <phoneticPr fontId="3" type="noConversion"/>
  </si>
  <si>
    <t>문화행사(기획전시 및 기획전시 연계 작가초청 특강) 개최</t>
    <phoneticPr fontId="3" type="noConversion"/>
  </si>
  <si>
    <t>원주박물관</t>
    <phoneticPr fontId="3" type="noConversion"/>
  </si>
  <si>
    <t>기획전시연계 작가초청 특강 1회 진행</t>
    <phoneticPr fontId="3" type="noConversion"/>
  </si>
  <si>
    <t>문화행사(기획전시 연계 작가초청 특강) 개최</t>
    <phoneticPr fontId="3" type="noConversion"/>
  </si>
  <si>
    <t>특별전시 1회, 기획전시 1회 개최</t>
    <phoneticPr fontId="3" type="noConversion"/>
  </si>
  <si>
    <t>특별전시 및 문화행사(기획전시) 개최</t>
    <phoneticPr fontId="3" type="noConversion"/>
  </si>
  <si>
    <t>6차</t>
    <phoneticPr fontId="3" type="noConversion"/>
  </si>
  <si>
    <t>NDZ251623</t>
    <phoneticPr fontId="3" type="noConversion"/>
  </si>
  <si>
    <t>개선비</t>
    <phoneticPr fontId="3" type="noConversion"/>
  </si>
  <si>
    <t>교육연구환경개선비</t>
  </si>
  <si>
    <t>화재감지기 교체 공사로 인한 지속적인 안전의식 향상 증진[미래관]</t>
    <phoneticPr fontId="3" type="noConversion"/>
  </si>
  <si>
    <t>안전한 캠퍼스 조성을 위한 화재감지기 재구축</t>
    <phoneticPr fontId="3" type="noConversion"/>
  </si>
  <si>
    <t>가. 안전한 캠퍼스 조성</t>
  </si>
  <si>
    <t>[F-2]스마트 ESG 캠퍼스 조성</t>
    <phoneticPr fontId="3" type="noConversion"/>
  </si>
  <si>
    <t>안전관리팀</t>
    <phoneticPr fontId="3" type="noConversion"/>
  </si>
  <si>
    <t>인권보호를 위한 리플렛 제작비</t>
    <phoneticPr fontId="3" type="noConversion"/>
  </si>
  <si>
    <t>인권센터 프로그램 운영</t>
    <phoneticPr fontId="3" type="noConversion"/>
  </si>
  <si>
    <t>인권 보호 안전망 구축</t>
    <phoneticPr fontId="3" type="noConversion"/>
  </si>
  <si>
    <t>인권센터</t>
    <phoneticPr fontId="3" type="noConversion"/>
  </si>
  <si>
    <t>인쇄제본비(현수막, 포스터 등 홍보물 제작비)</t>
    <phoneticPr fontId="3" type="noConversion"/>
  </si>
  <si>
    <t>폭력예방교육 이수율 향상을 위한 이벤트 실시</t>
    <phoneticPr fontId="3" type="noConversion"/>
  </si>
  <si>
    <t>기념품비</t>
    <phoneticPr fontId="3" type="noConversion"/>
  </si>
  <si>
    <t>참가자 기념품</t>
    <phoneticPr fontId="3" type="noConversion"/>
  </si>
  <si>
    <t>운영회의</t>
    <phoneticPr fontId="3" type="noConversion"/>
  </si>
  <si>
    <t>폭력예방교육 강사료</t>
    <phoneticPr fontId="3" type="noConversion"/>
  </si>
  <si>
    <t>사건 조사 업무 회의비</t>
    <phoneticPr fontId="3" type="noConversion"/>
  </si>
  <si>
    <t>위원회 외부전문가 수당(자문료)</t>
    <phoneticPr fontId="3" type="noConversion"/>
  </si>
  <si>
    <t>위원회 개최 회의비(심의위원회, 소위원회, 재심위원회, 운영위원회 등)</t>
    <phoneticPr fontId="3" type="noConversion"/>
  </si>
  <si>
    <t>NDZ251615</t>
    <phoneticPr fontId="3" type="noConversion"/>
  </si>
  <si>
    <t>활동지원금</t>
    <phoneticPr fontId="3" type="noConversion"/>
  </si>
  <si>
    <t>와글와글 운영 장학금</t>
    <phoneticPr fontId="3" type="noConversion"/>
  </si>
  <si>
    <t>서포터즈 운영</t>
    <phoneticPr fontId="3" type="noConversion"/>
  </si>
  <si>
    <t>성과확산 지원</t>
    <phoneticPr fontId="3" type="noConversion"/>
  </si>
  <si>
    <t>다. 공유·협력 체계 효율화 방안 모색</t>
  </si>
  <si>
    <t>[F-1]지역대학 공유·협력 활성화 및 성과 확산</t>
  </si>
  <si>
    <t>NDZ251611</t>
    <phoneticPr fontId="3" type="noConversion"/>
  </si>
  <si>
    <t>학생교육활동지원비</t>
    <phoneticPr fontId="3" type="noConversion"/>
  </si>
  <si>
    <t>와글와글 홍보 및 운영</t>
    <phoneticPr fontId="3" type="noConversion"/>
  </si>
  <si>
    <t>다. 공유·협력 체계 효율화 방안 모색</t>
    <phoneticPr fontId="3" type="noConversion"/>
  </si>
  <si>
    <t>시상금</t>
    <phoneticPr fontId="3" type="noConversion"/>
  </si>
  <si>
    <t>공모전운영(시상금)</t>
    <phoneticPr fontId="3" type="noConversion"/>
  </si>
  <si>
    <t>성과확산지원</t>
    <phoneticPr fontId="3" type="noConversion"/>
  </si>
  <si>
    <t>공모전운영(심사평가비)</t>
    <phoneticPr fontId="3" type="noConversion"/>
  </si>
  <si>
    <t>공모전운영(참여수기, 캐릭터)</t>
    <phoneticPr fontId="3" type="noConversion"/>
  </si>
  <si>
    <t>타대학 성과확산참여지원, 권역별포럼참석지원, 뉴스레터제작</t>
    <phoneticPr fontId="3" type="noConversion"/>
  </si>
  <si>
    <t>운영비 배정(전문가활용비 등)</t>
    <phoneticPr fontId="3" type="noConversion"/>
  </si>
  <si>
    <t>영역벌포럼</t>
    <phoneticPr fontId="3" type="noConversion"/>
  </si>
  <si>
    <t>포럼운영</t>
    <phoneticPr fontId="3" type="noConversion"/>
  </si>
  <si>
    <t>(시기및구성검토중)영역별혁신포럼(9월~1월) 입찰용역비</t>
    <phoneticPr fontId="3" type="noConversion"/>
  </si>
  <si>
    <t>NDZ2511611</t>
    <phoneticPr fontId="3" type="noConversion"/>
  </si>
  <si>
    <t>[F-1]지역대학 공유·협력 활성화 및 성과 확산</t>
    <phoneticPr fontId="3" type="noConversion"/>
  </si>
  <si>
    <t>경력개발팀</t>
    <phoneticPr fontId="3" type="noConversion"/>
  </si>
  <si>
    <t>나. 인프라 공유·협력 체계 구축</t>
  </si>
  <si>
    <t xml:space="preserve">가. 대학 간 교육과정 공유 </t>
  </si>
  <si>
    <t>★(전담인력 1인) 대학혁신지원사업팀 배정(감원정)</t>
    <phoneticPr fontId="3" type="noConversion"/>
  </si>
  <si>
    <t>연구인력지원★</t>
    <phoneticPr fontId="3" type="noConversion"/>
  </si>
  <si>
    <t>실시간 환류 및 공유</t>
  </si>
  <si>
    <t>다. 실시간 환류 및 공유 시스템 구축</t>
  </si>
  <si>
    <t>[E-3]실시간 성과 분석 환류 IR시스템 구축</t>
  </si>
  <si>
    <t>IR센터</t>
    <phoneticPr fontId="3" type="noConversion"/>
  </si>
  <si>
    <t>E</t>
    <phoneticPr fontId="3" type="noConversion"/>
  </si>
  <si>
    <t>교육</t>
    <phoneticPr fontId="3" type="noConversion"/>
  </si>
  <si>
    <t>NDZ251531</t>
    <phoneticPr fontId="3" type="noConversion"/>
  </si>
  <si>
    <t>행사비</t>
  </si>
  <si>
    <t>성과관리, 모니터링, 공유/확산</t>
  </si>
  <si>
    <t>데이터 및 성과 공유, 확산 체계 정착 / 홍보, 행사</t>
  </si>
  <si>
    <t>운영비</t>
  </si>
  <si>
    <t>환류 체계 운영을 위한 제반 사업 수행비, 부서 성과평가 운영비</t>
  </si>
  <si>
    <t>조사결과 분석 환류 체계 운영</t>
  </si>
  <si>
    <t>교육수요 및 교육만족도 조사 결과 분석</t>
  </si>
  <si>
    <t>용역비</t>
  </si>
  <si>
    <t>교육수요 및 만족도 조사 용역비, 부서 성과평가 용역비</t>
  </si>
  <si>
    <t>조사 업체 선정 및 조사 실시</t>
  </si>
  <si>
    <t>교육수요 및 교육만족도 조사 수행</t>
  </si>
  <si>
    <t>NDZ251533</t>
    <phoneticPr fontId="3" type="noConversion"/>
  </si>
  <si>
    <t>SW개발자 기자재 지원(노트북 3,993,000원), IR센터 이전 기자재 구입 등</t>
  </si>
  <si>
    <t>IR시스템 구축(2차년도), 운영 및 성과관리 지원</t>
  </si>
  <si>
    <t>IR시스템 구축·운영</t>
  </si>
  <si>
    <t>나. 데이터 통합 및 시각화 기반 성과 분석</t>
  </si>
  <si>
    <t>[E-3]실시간 성과 분석 환류 IR시스템 구축</t>
    <phoneticPr fontId="3" type="noConversion"/>
  </si>
  <si>
    <t>환경개선비</t>
  </si>
  <si>
    <t>IR센터 이전 비품 구입 등</t>
  </si>
  <si>
    <t>데이터 수집·관리, 성과분석 및 공유 지원 등</t>
  </si>
  <si>
    <t>데이터 수집·관리, 성과분석 및 정책개발 등</t>
  </si>
  <si>
    <t>출장비</t>
  </si>
  <si>
    <t>IR시스템 운영 전산 인프라 점검 등 관련 출장비, 숙박비 지원 등</t>
  </si>
  <si>
    <t>IR시스템 구축·운영을 위한 전산 인프라(GPU, 스토리지) 점검 등을 위한 출장</t>
  </si>
  <si>
    <t>IR시스템 구축·운영을 위한 전산 인프라 점검 등</t>
  </si>
  <si>
    <t>나. 데이터 통합 및 시각화 기반 성과 분석</t>
    <phoneticPr fontId="3" type="noConversion"/>
  </si>
  <si>
    <t>데이터 수집·분석, 활용 관련 전문교육 등</t>
  </si>
  <si>
    <t>성과분석 및 정책 개발을 위한 의사결정 지원</t>
  </si>
  <si>
    <t>수요조사(의견수렴), 분석과제 설정, IR 프로젝트 운영(협업 프로젝트 포함) 등</t>
  </si>
  <si>
    <t>교육훈련비</t>
  </si>
  <si>
    <t>전담인력 전문성 강화 프로그램(전담인력 전문성 강화 프로그램1,500,000원), 전문교육 지원(사업 인력 3명*800,000원=2,400,000원) 등</t>
    <phoneticPr fontId="3" type="noConversion"/>
  </si>
  <si>
    <t>IR체계 구축 및 성과관리제도 정비, 개선 등</t>
  </si>
  <si>
    <t>IR체계 구축 및 성과관리제도 정비</t>
  </si>
  <si>
    <t>가. IR 거버넌스 및 운영 체계 확립</t>
    <phoneticPr fontId="3" type="noConversion"/>
  </si>
  <si>
    <t>2025 운영 결과 환류, 교육정책 검토/반영, 의견수렴 등 / IR센터&amp;관련 기관(부서) 협업</t>
  </si>
  <si>
    <t>IR운영계획 및 전략 로드맵 개선 및 조정 등</t>
  </si>
  <si>
    <t>IR운영계획  및 전략 로드맵 개선/조정</t>
  </si>
  <si>
    <t>가. IR 거버넌스 및 운영 체계 확립</t>
  </si>
  <si>
    <t>추경예비</t>
    <phoneticPr fontId="3" type="noConversion"/>
  </si>
  <si>
    <t>NDZ251523</t>
    <phoneticPr fontId="3" type="noConversion"/>
  </si>
  <si>
    <t>환경개선</t>
    <phoneticPr fontId="3" type="noConversion"/>
  </si>
  <si>
    <t>나. 수요자 중심의 교육환경 개선</t>
    <phoneticPr fontId="3" type="noConversion"/>
  </si>
  <si>
    <t>[E-2]디지털 기반 교육자원 재구조화</t>
  </si>
  <si>
    <t>스포츠센터 실내체육관 지붕 보수공사 - 바닥 에어로빅실 등</t>
    <phoneticPr fontId="3" type="noConversion"/>
  </si>
  <si>
    <t>시설관리팀</t>
    <phoneticPr fontId="3" type="noConversion"/>
  </si>
  <si>
    <t>스포츠센터 실내체육관 지붕 보수공사 - 지붕</t>
    <phoneticPr fontId="3" type="noConversion"/>
  </si>
  <si>
    <t>문헌정보팀</t>
    <phoneticPr fontId="3" type="noConversion"/>
  </si>
  <si>
    <t>8차</t>
    <phoneticPr fontId="3" type="noConversion"/>
  </si>
  <si>
    <t>교육용비품구입지출</t>
    <phoneticPr fontId="3" type="noConversion"/>
  </si>
  <si>
    <t>연구공간개선(흄후드, 테이블등)</t>
    <phoneticPr fontId="3" type="noConversion"/>
  </si>
  <si>
    <t>연구공간개선</t>
    <phoneticPr fontId="3" type="noConversion"/>
  </si>
  <si>
    <t>소모품비:각부서</t>
    <phoneticPr fontId="3" type="noConversion"/>
  </si>
  <si>
    <t>ip기반 통합 커뮤니케이션 플랫폼 구축비용</t>
    <phoneticPr fontId="3" type="noConversion"/>
  </si>
  <si>
    <t>기존 하이브리드(TDM/IP)  통신 인프라를
학생 수요 중심의 ip기반 통합 커뮤니케이션 플랫폼으로 전환</t>
    <phoneticPr fontId="3" type="noConversion"/>
  </si>
  <si>
    <t>IP기반 통합 커뮤니케이션 인프라 전환 구축</t>
    <phoneticPr fontId="3" type="noConversion"/>
  </si>
  <si>
    <t>정보통신팀</t>
    <phoneticPr fontId="3" type="noConversion"/>
  </si>
  <si>
    <t>실제금액</t>
    <phoneticPr fontId="3" type="noConversion"/>
  </si>
  <si>
    <t>1차</t>
    <phoneticPr fontId="3" type="noConversion"/>
  </si>
  <si>
    <t>간호학과 실습실 개선지원</t>
    <phoneticPr fontId="3" type="noConversion"/>
  </si>
  <si>
    <t>나. 수요자 중심의 교육환경 개선</t>
  </si>
  <si>
    <t>수영장 수전공사</t>
    <phoneticPr fontId="3" type="noConversion"/>
  </si>
  <si>
    <t>교양체육공간 개선</t>
    <phoneticPr fontId="3" type="noConversion"/>
  </si>
  <si>
    <t>교육수요자만족도조사 반영</t>
    <phoneticPr fontId="3" type="noConversion"/>
  </si>
  <si>
    <t>가. 공유공간 확대를 통한 운영 효율화</t>
  </si>
  <si>
    <t>NDZ251511</t>
    <phoneticPr fontId="3" type="noConversion"/>
  </si>
  <si>
    <t>나. 학부(과) 성과평가제도 개선</t>
  </si>
  <si>
    <t>[E-1]교원 인사제도 및 학과평가 체계 개선</t>
  </si>
  <si>
    <t>TFT 운영 등 희의 진행</t>
    <phoneticPr fontId="3" type="noConversion"/>
  </si>
  <si>
    <t>교육 및 연구 융합활성화를 위한 JA교원 임용 및 관련 규정 개정</t>
    <phoneticPr fontId="3" type="noConversion"/>
  </si>
  <si>
    <t>JA교원 확대</t>
  </si>
  <si>
    <t>가. 교원 인사제도 개선</t>
    <phoneticPr fontId="3" type="noConversion"/>
  </si>
  <si>
    <t>[E-1]교원 인사제도 및 학과평가 체계 개선</t>
    <phoneticPr fontId="3" type="noConversion"/>
  </si>
  <si>
    <t>교무팀</t>
    <phoneticPr fontId="3" type="noConversion"/>
  </si>
  <si>
    <t>진단검사 결과 기반 기초 교양 교과목 커리큘럼 개선 연구(2027)</t>
    <phoneticPr fontId="3" type="noConversion"/>
  </si>
  <si>
    <t>전공탐색 및 필수교양 교과목 및 커리큘럼 혁신 재구조화 연구</t>
  </si>
  <si>
    <t>검사 결과를 활용한 교양 교과 재구조화 및 환류 체계 구축</t>
    <phoneticPr fontId="3" type="noConversion"/>
  </si>
  <si>
    <t>다. 맞춤형 진단을 통한 전공·교양 설계 고도화</t>
  </si>
  <si>
    <t>[D-3]데이터기반 자기주도 전공진로 설계 지원</t>
  </si>
  <si>
    <t>RC융합대학</t>
    <phoneticPr fontId="3" type="noConversion"/>
  </si>
  <si>
    <t>D</t>
    <phoneticPr fontId="3" type="noConversion"/>
  </si>
  <si>
    <t>NDZ251431</t>
    <phoneticPr fontId="3" type="noConversion"/>
  </si>
  <si>
    <t>진단검사 해석인력 교육비</t>
    <phoneticPr fontId="3" type="noConversion"/>
  </si>
  <si>
    <t>역량진단 및 진로추천 진단 검사 시행 + 진단 검사 해석 인력 양성</t>
  </si>
  <si>
    <t>진단검사 시행 및 해석 전문 인력 양성</t>
    <phoneticPr fontId="3" type="noConversion"/>
  </si>
  <si>
    <t xml:space="preserve">진단검사(STRONG, 갤럽 등) 시행 검사비(900명 * 10,000원), </t>
    <phoneticPr fontId="3" type="noConversion"/>
  </si>
  <si>
    <t>With-YONSEI 2전공 배정자 탑재 상담강화</t>
  </si>
  <si>
    <t>제2전공 안내 상담 강화</t>
  </si>
  <si>
    <t xml:space="preserve">With-YONSEI AI 분석 결과 활용 전공진로 상담 체계 구축 </t>
    <phoneticPr fontId="3" type="noConversion"/>
  </si>
  <si>
    <t>나. 전공·진로 탐색 경험 확대</t>
  </si>
  <si>
    <t>NDZ251435</t>
    <phoneticPr fontId="3" type="noConversion"/>
  </si>
  <si>
    <t>시상금</t>
  </si>
  <si>
    <t>대학학문의세계 장학금(재학생 발표비 10만원)</t>
    <phoneticPr fontId="3" type="noConversion"/>
  </si>
  <si>
    <t>대학학문의세계 운영</t>
    <phoneticPr fontId="3" type="noConversion"/>
  </si>
  <si>
    <t>교과운영지원비</t>
  </si>
  <si>
    <t>대학학문의세계 조교 장학금(TA장학금 40만원)</t>
    <phoneticPr fontId="3" type="noConversion"/>
  </si>
  <si>
    <t>대학학문의 세계(68분반 운영지원)</t>
    <phoneticPr fontId="3" type="noConversion"/>
  </si>
  <si>
    <t>나. 전공·진로 탐색 경험 확대</t>
    <phoneticPr fontId="3" type="noConversion"/>
  </si>
  <si>
    <t>전문가활용비</t>
  </si>
  <si>
    <t>대학학문의세계/ 외부인사 특강료(68개 분반)</t>
    <phoneticPr fontId="3" type="noConversion"/>
  </si>
  <si>
    <t>전공탐색박람회/시상금(발표비)</t>
  </si>
  <si>
    <t xml:space="preserve">전공탐색박람회 운영 </t>
  </si>
  <si>
    <t>전공탐색박람회 상시화를 통한 전공 선택 지원 강화</t>
    <phoneticPr fontId="3" type="noConversion"/>
  </si>
  <si>
    <t>전공탐색 박람회 행사 운영 조교 장학금</t>
  </si>
  <si>
    <t>전공탐색박람회 교원 특강료(교원기타수당)/2학기</t>
    <phoneticPr fontId="3" type="noConversion"/>
  </si>
  <si>
    <t>전공탐색박람회/외부인사 특강료</t>
  </si>
  <si>
    <t xml:space="preserve">전공탐색박람회 운영 </t>
    <phoneticPr fontId="3" type="noConversion"/>
  </si>
  <si>
    <t>기념품비</t>
  </si>
  <si>
    <t>전공 탐색 박람회 기념품 (35개 부스*40,000원*5명)</t>
    <phoneticPr fontId="3" type="noConversion"/>
  </si>
  <si>
    <t>전공탐색 박람회 부스 용역</t>
    <phoneticPr fontId="3" type="noConversion"/>
  </si>
  <si>
    <t>전공탐색 박람회 행사비(식대 및 다과)</t>
    <phoneticPr fontId="3" type="noConversion"/>
  </si>
  <si>
    <t>전공탐색 박람회 운영 지원</t>
    <phoneticPr fontId="3" type="noConversion"/>
  </si>
  <si>
    <t>RC융합대학</t>
  </si>
  <si>
    <t xml:space="preserve">대학학문의세계 평가회 </t>
    <phoneticPr fontId="3" type="noConversion"/>
  </si>
  <si>
    <t xml:space="preserve">대학학문의 세계 커리큘럼 개선 연구 성과 보고 </t>
  </si>
  <si>
    <t>대학 학문의 세계(전공 탐색 교과) 커리큘럼 개편 연구 및 운영 지원</t>
    <phoneticPr fontId="3" type="noConversion"/>
  </si>
  <si>
    <t>가. 데이터 기반 전공·진로 탐색 체계 개선</t>
  </si>
  <si>
    <t>연구비</t>
  </si>
  <si>
    <t>대학학문의세계 개선 연구비</t>
    <phoneticPr fontId="3" type="noConversion"/>
  </si>
  <si>
    <t>대학학문의 세계 커리큘럼 개선 연구 지원 고도화</t>
  </si>
  <si>
    <t>자체</t>
    <phoneticPr fontId="3" type="noConversion"/>
  </si>
  <si>
    <t>학사지도 상담강화 운영비</t>
    <phoneticPr fontId="3" type="noConversion"/>
  </si>
  <si>
    <t>학사지도 운영위원회 운영</t>
  </si>
  <si>
    <t>새내기 예비 대학 운영 고도화 및 체계적 학사지도 인력 운용</t>
    <phoneticPr fontId="3" type="noConversion"/>
  </si>
  <si>
    <t>학사지도 운영위원회 운영비</t>
    <phoneticPr fontId="3" type="noConversion"/>
  </si>
  <si>
    <t>학사지도사 교육훈련비/출장 교통비, 식비, 교육비 등(인건비 사업단 배정)</t>
    <phoneticPr fontId="3" type="noConversion"/>
  </si>
  <si>
    <t>학사지도사배치</t>
    <phoneticPr fontId="3" type="noConversion"/>
  </si>
  <si>
    <t>새내기예비대학 장학금</t>
    <phoneticPr fontId="3" type="noConversion"/>
  </si>
  <si>
    <t>새내기 예비대학 운영 지원</t>
    <phoneticPr fontId="3" type="noConversion"/>
  </si>
  <si>
    <t>[D-3]데이터기반 자기주도 전공진로 설계 지원</t>
    <phoneticPr fontId="3" type="noConversion"/>
  </si>
  <si>
    <t>새내기예비대학 운영 조교 장학금(발표비)</t>
    <phoneticPr fontId="3" type="noConversion"/>
  </si>
  <si>
    <t>새내기 예비대학 특강료</t>
  </si>
  <si>
    <t>새내기 예비대학 운영 지원</t>
  </si>
  <si>
    <t>새내기 예비대학 행사 운영비</t>
  </si>
  <si>
    <t>가. 데이터 기반 전공·진로 탐색 체계 개선</t>
    <phoneticPr fontId="3" type="noConversion"/>
  </si>
  <si>
    <t>새내기 예비대학 행사 운영</t>
    <phoneticPr fontId="3" type="noConversion"/>
  </si>
  <si>
    <t>★(전담인력 1인) 대학혁신지원사업팀 배정(이순용)</t>
    <phoneticPr fontId="3" type="noConversion"/>
  </si>
  <si>
    <t>★(전담인력 1인) 대학혁신지원사업팀 배정(박세영)-연구원</t>
    <phoneticPr fontId="3" type="noConversion"/>
  </si>
  <si>
    <t>★(전담인력 1인) 대학혁신지원사업팀 배정(맹현주)</t>
    <phoneticPr fontId="3" type="noConversion"/>
  </si>
  <si>
    <t>NDZ251421</t>
    <phoneticPr fontId="3" type="noConversion"/>
  </si>
  <si>
    <t>교양 핵심역량 기준 교과목 개설 현황에 따른 학생별 역량 취득 분석 연구비</t>
    <phoneticPr fontId="3" type="noConversion"/>
  </si>
  <si>
    <t>기초학문 분야의 학업 성취도 지표 및 역량 체계화 연구</t>
  </si>
  <si>
    <t xml:space="preserve">데이터 기반 기초 교양 성과 환류 체계 도입 </t>
    <phoneticPr fontId="3" type="noConversion"/>
  </si>
  <si>
    <t>다. 데이터 기반 성과관리 및 환류 체계 강화 방안 연구</t>
  </si>
  <si>
    <t>[D-2]진단-맞춤형 기초학습 생태계 구축</t>
  </si>
  <si>
    <t>NDZ251426</t>
  </si>
  <si>
    <t>타 대학 우수사례(부총장님)</t>
    <phoneticPr fontId="3" type="noConversion"/>
  </si>
  <si>
    <t xml:space="preserve">타 대학 우수사례 벤치마킹 </t>
    <phoneticPr fontId="3" type="noConversion"/>
  </si>
  <si>
    <t>워크숍과 우수 사례 확산을 통해 데이터 기반 성과관리를 강화하고 개선 효과 벤치마킹으로 교육 품질을 고도화</t>
    <phoneticPr fontId="3" type="noConversion"/>
  </si>
  <si>
    <t>타 대학 우수사례(연구원)</t>
    <phoneticPr fontId="3" type="noConversion"/>
  </si>
  <si>
    <t>교양교육성과보고서 발간(인쇄비)</t>
    <phoneticPr fontId="3" type="noConversion"/>
  </si>
  <si>
    <t>기초학습 지원 우수사례집 발간 및 배포를 통한 성과 공유</t>
  </si>
  <si>
    <t>성과 공유회(기념품)</t>
    <phoneticPr fontId="3" type="noConversion"/>
  </si>
  <si>
    <t>신입생 진단 평가 및 맞춤형 학습지원 성과공유, 기초 및 교양교육 혁신 성과 공유</t>
  </si>
  <si>
    <t>성과 공유회(다과 및 식사비)</t>
    <phoneticPr fontId="3" type="noConversion"/>
  </si>
  <si>
    <t>교양교육혁신위원회 운영비</t>
  </si>
  <si>
    <t xml:space="preserve">교양교육혁신위 운영 지원 </t>
  </si>
  <si>
    <t>단계별·주제별 역량 강화를 위한 기초·교양 교과목 다변화</t>
    <phoneticPr fontId="3" type="noConversion"/>
  </si>
  <si>
    <t>나. 기초·교양 교육과정 체계 정비 및 다양화</t>
  </si>
  <si>
    <t>NDZ251425</t>
    <phoneticPr fontId="3" type="noConversion"/>
  </si>
  <si>
    <t>AI시대의 커리어 아카데미 운영비(인쇄비, 회의비, 소모품비)</t>
    <phoneticPr fontId="3" type="noConversion"/>
  </si>
  <si>
    <t>AX, SDGs, Glocal 가치 반영 교양 과목 개발 공모, 과제연구</t>
  </si>
  <si>
    <t>교과목개발개선비</t>
  </si>
  <si>
    <t>AI윤리 및 디지털 시민성 강화를 위한 필수 교양 교과목 개발 및 개설</t>
    <phoneticPr fontId="3" type="noConversion"/>
  </si>
  <si>
    <t>학생교육활동지원비</t>
  </si>
  <si>
    <t>AX 기반 기초학문 교육지원 비교과프로그램(2학기)</t>
  </si>
  <si>
    <t>분야별 디베이트 교과목 지원 + 주제별, 단계별, 학습 유형별 교과목 다양화</t>
    <phoneticPr fontId="3" type="noConversion"/>
  </si>
  <si>
    <t>AX 기반 기초학문 교육지원 비교과프로그램(1학기)</t>
    <phoneticPr fontId="3" type="noConversion"/>
  </si>
  <si>
    <t>디베이트 교과목 및 AX 교과목 운영 조교 장학금</t>
    <phoneticPr fontId="3" type="noConversion"/>
  </si>
  <si>
    <t>나. 기초·교양 교육과정 체계 정비 및 다양화</t>
    <phoneticPr fontId="3" type="noConversion"/>
  </si>
  <si>
    <t>디베이트·AX 교과목 선발 심사비 및 특강료</t>
  </si>
  <si>
    <t>디베이트 교과목 및 AX 교과목 선발 심사</t>
  </si>
  <si>
    <t>단계별·주제별 역량 강화를 위한 기초·교양 교과목 다변화</t>
  </si>
  <si>
    <t>4차</t>
    <phoneticPr fontId="3" type="noConversion"/>
  </si>
  <si>
    <t>디베이트·교과목 및 AX 교과목 운영 지원(교통비 등)</t>
    <phoneticPr fontId="3" type="noConversion"/>
  </si>
  <si>
    <t>분야별 디베이트 교과목 지원 + 주제별, 단계별, 학습 유형별 교과목 다양화(신규)</t>
    <phoneticPr fontId="3" type="noConversion"/>
  </si>
  <si>
    <t>디베이트·교과목 및 AX 교과목 운영 지원(운영비)</t>
    <phoneticPr fontId="3" type="noConversion"/>
  </si>
  <si>
    <t>건축물관리비:기타</t>
    <phoneticPr fontId="3" type="noConversion"/>
  </si>
  <si>
    <t>기초교양 해외 대학 간 공동 개설을 위한 시스템 구축(첨단 강의실 구축)</t>
    <phoneticPr fontId="3" type="noConversion"/>
  </si>
  <si>
    <t>기초교양교과 강의실 인프라 개선</t>
    <phoneticPr fontId="3" type="noConversion"/>
  </si>
  <si>
    <t>기초교양 분과위원회 운영과 환경 개선을 통한 기초·교양 교육과정 지속 개선</t>
    <phoneticPr fontId="3" type="noConversion"/>
  </si>
  <si>
    <t>기초분과 위원회 운영 지원, 개선 TF 운영</t>
  </si>
  <si>
    <t>기초 교양 체계 정립을 위한 분과별 위원회 및 TF 운영 지원</t>
  </si>
  <si>
    <t>집행액(1000만원)외 회수예정</t>
    <phoneticPr fontId="3" type="noConversion"/>
  </si>
  <si>
    <t>신입생 진단평가 시행</t>
    <phoneticPr fontId="3" type="noConversion"/>
  </si>
  <si>
    <t>신입생 진단평가 체계 구축 연구 및 개인별 기초학력 분석 시스템 개발</t>
  </si>
  <si>
    <t>신입생 대상 기초학력 진단평가 실시 및 개인별 학습 데이터 활용</t>
  </si>
  <si>
    <t>가. 신입생 진단 맞춤형 기초학습 시스템 연구</t>
  </si>
  <si>
    <t>전공 및 유관부서 간담회 - 출장비</t>
    <phoneticPr fontId="3" type="noConversion"/>
  </si>
  <si>
    <t>진단평가-개인별 분석-맞춤형 온라인 플랫폼을 단계적으로 구축</t>
  </si>
  <si>
    <t>가. 신입생 진단 맞춤형 기초학습 시스템 연구</t>
    <phoneticPr fontId="3" type="noConversion"/>
  </si>
  <si>
    <t>전공 및 유관부서 간담회 (회의비, 소모품비 등)</t>
    <phoneticPr fontId="3" type="noConversion"/>
  </si>
  <si>
    <t>NDZ251411</t>
    <phoneticPr fontId="3" type="noConversion"/>
  </si>
  <si>
    <t>명사 특강 운영비(소모품)</t>
    <phoneticPr fontId="3" type="noConversion"/>
  </si>
  <si>
    <t>미래캠퍼스 RC실천교육 비전 공유를 위한 사회 저명인사 초청 특강</t>
  </si>
  <si>
    <t>사회 저명인사 초청‘RC미래비전 특강’정례화</t>
    <phoneticPr fontId="3" type="noConversion"/>
  </si>
  <si>
    <t>다. RC실천교육 성과 공유 및 비전 확산</t>
    <phoneticPr fontId="3" type="noConversion"/>
  </si>
  <si>
    <t>[D-1]포용과 통합의 RC실천교육 모델</t>
  </si>
  <si>
    <t>명사 특강 운영비</t>
    <phoneticPr fontId="3" type="noConversion"/>
  </si>
  <si>
    <t>다. RC실천교육 성과 공유 및 비전 확산</t>
  </si>
  <si>
    <t>명사 특강 외부 특강료(학기당 4회 이상)</t>
    <phoneticPr fontId="3" type="noConversion"/>
  </si>
  <si>
    <t>RC성과 확산 웹진 및 클릭연세 제작 회의비</t>
    <phoneticPr fontId="3" type="noConversion"/>
  </si>
  <si>
    <t>RC실천교육 성과공유 및 확산활동_RC교육</t>
  </si>
  <si>
    <t>RC실천교육 성과 공유</t>
    <phoneticPr fontId="3" type="noConversion"/>
  </si>
  <si>
    <t>RC성과 확산 웹진 및 클릭연세 제작비(인쇄비)</t>
    <phoneticPr fontId="3" type="noConversion"/>
  </si>
  <si>
    <t>RC활동 성과 공유회 전시회 운영비(인쇄, 다과, 소모품)</t>
    <phoneticPr fontId="3" type="noConversion"/>
  </si>
  <si>
    <t>RC실천교육 성과공유 및 확산활동_비교과</t>
  </si>
  <si>
    <t>RC라운지 환경개선 리모델링(RC 라운지, 컨버젼스홀 로비 등)</t>
    <phoneticPr fontId="3" type="noConversion"/>
  </si>
  <si>
    <t>RC라운지 및 행정공간 환경개선</t>
    <phoneticPr fontId="3" type="noConversion"/>
  </si>
  <si>
    <t>사회 참여형 자율 학습 공동체 프로그램 확산</t>
    <phoneticPr fontId="3" type="noConversion"/>
  </si>
  <si>
    <t>나. 공동체 기반 RC 참여·실천 활동 확대</t>
  </si>
  <si>
    <t>★(전담인력 1인) 대학혁신지원사업팀 배정(이정민)</t>
    <phoneticPr fontId="3" type="noConversion"/>
  </si>
  <si>
    <t>행정인력지원★</t>
    <phoneticPr fontId="3" type="noConversion"/>
  </si>
  <si>
    <t>★(전담인력 1인) 대학혁신지원사업팀 배정(윤예리)</t>
    <phoneticPr fontId="3" type="noConversion"/>
  </si>
  <si>
    <t>운영 조교 장학금</t>
    <phoneticPr fontId="3" type="noConversion"/>
  </si>
  <si>
    <t>사회문제탐구활동</t>
    <phoneticPr fontId="3" type="noConversion"/>
  </si>
  <si>
    <t>참여팀 활동비(교통비 100만원, 활동비 150만원)</t>
  </si>
  <si>
    <t>NDZ251415</t>
    <phoneticPr fontId="3" type="noConversion"/>
  </si>
  <si>
    <t>참여자 학생 장학금</t>
  </si>
  <si>
    <t xml:space="preserve">사회문제탐구활동 특강비 </t>
    <phoneticPr fontId="3" type="noConversion"/>
  </si>
  <si>
    <t>사회문제탐구활동</t>
  </si>
  <si>
    <t>과정 운영비(회의비, 행사비, 소모품, 홍보비 등)</t>
    <phoneticPr fontId="3" type="noConversion"/>
  </si>
  <si>
    <t>우수 학생 장학금</t>
    <phoneticPr fontId="3" type="noConversion"/>
  </si>
  <si>
    <t>자율형커뮤니티(SAT) + 서비스러닝</t>
  </si>
  <si>
    <t>자율형커뮤니티 특강료</t>
    <phoneticPr fontId="3" type="noConversion"/>
  </si>
  <si>
    <t>참여팀 활동비(실비)</t>
    <phoneticPr fontId="3" type="noConversion"/>
  </si>
  <si>
    <t>[D-1]포용과 통합의 RC실천교육 모델</t>
    <phoneticPr fontId="3" type="noConversion"/>
  </si>
  <si>
    <t>해외 봉사 활동 및 탐방 운영비</t>
    <phoneticPr fontId="3" type="noConversion"/>
  </si>
  <si>
    <t>해외봉사 활동 및 해외 탐방</t>
    <phoneticPr fontId="3" type="noConversion"/>
  </si>
  <si>
    <t>RC공동체 실천 활동 지원</t>
    <phoneticPr fontId="3" type="noConversion"/>
  </si>
  <si>
    <t>카누 수업 강의료(강사+안전관리요원)</t>
    <phoneticPr fontId="3" type="noConversion"/>
  </si>
  <si>
    <t>RC비교과(카누)</t>
  </si>
  <si>
    <t>카누 수업 운영비(소모품, 물품)-행사비</t>
    <phoneticPr fontId="3" type="noConversion"/>
  </si>
  <si>
    <t>카누 수업 운영비</t>
    <phoneticPr fontId="3" type="noConversion"/>
  </si>
  <si>
    <t>카누 수업 운영비(카누 수리 및 정비)</t>
    <phoneticPr fontId="3" type="noConversion"/>
  </si>
  <si>
    <t>행정 TA 조교 장학금</t>
    <phoneticPr fontId="3" type="noConversion"/>
  </si>
  <si>
    <t>행정TA 운영</t>
    <phoneticPr fontId="3" type="noConversion"/>
  </si>
  <si>
    <t>행정 RA 조교 장학금</t>
  </si>
  <si>
    <t>행정RA운영</t>
    <phoneticPr fontId="3" type="noConversion"/>
  </si>
  <si>
    <t>문화제 체육대회 운영 조교비(문화제 시상금 330만원, 체육대회 사회자 30만원)</t>
  </si>
  <si>
    <t>RC문화제 + RC체육대회</t>
    <phoneticPr fontId="3" type="noConversion"/>
  </si>
  <si>
    <t>문화제 체육대회 행사비</t>
  </si>
  <si>
    <t>RC문화제 + RC체육대회</t>
  </si>
  <si>
    <t>나. 공동체 기반 RC 참여·실천 활동 확대</t>
    <phoneticPr fontId="3" type="noConversion"/>
  </si>
  <si>
    <t>문화제 체육대회 기념품비</t>
  </si>
  <si>
    <t>문화제 체육대회 운영비</t>
  </si>
  <si>
    <t>문화, 예술, 체육 활동 교과 개설 운영(교비)</t>
  </si>
  <si>
    <t>다양한 분반의 문화, 예술, 체육 활동을 통한 포용적 역량강화</t>
    <phoneticPr fontId="3" type="noConversion"/>
  </si>
  <si>
    <t>문화, 예술, 체육 활동을 위한 포용적 역량 강화</t>
    <phoneticPr fontId="3" type="noConversion"/>
  </si>
  <si>
    <t>가. 포용역량 강화를 위한 RC 프로그램 고도화</t>
  </si>
  <si>
    <t>간담회 운영회 연 6회</t>
  </si>
  <si>
    <t>RC교육 구성원 간 간담회</t>
  </si>
  <si>
    <t>포용적 역량 강화를 위한 RC아카데미 운영</t>
  </si>
  <si>
    <t>행사 발표 장학금</t>
  </si>
  <si>
    <t>Leaders' Academy</t>
  </si>
  <si>
    <t>포용적 역량 강화를 위한 RC아카데미 운영</t>
    <phoneticPr fontId="3" type="noConversion"/>
  </si>
  <si>
    <t>행사 외부 강연 수당</t>
  </si>
  <si>
    <t>Leaders' Academy</t>
    <phoneticPr fontId="3" type="noConversion"/>
  </si>
  <si>
    <t>TA 행사 운영비(연 2회)</t>
  </si>
  <si>
    <t>RA 행사비</t>
  </si>
  <si>
    <t>RA 행사 용역비(버스)</t>
    <phoneticPr fontId="3" type="noConversion"/>
  </si>
  <si>
    <t>RA 행사 운영비(연 2회 집중교육_1박2일) 숙박비, 식비, 소모품,인쇄비</t>
    <phoneticPr fontId="3" type="noConversion"/>
  </si>
  <si>
    <t>가. 포용역량 강화를 위한 RC 프로그램 고도화</t>
    <phoneticPr fontId="3" type="noConversion"/>
  </si>
  <si>
    <t>행사 운영비(연 2회)</t>
  </si>
  <si>
    <t xml:space="preserve">Masters' Academy </t>
    <phoneticPr fontId="3" type="noConversion"/>
  </si>
  <si>
    <t>NDZ251331</t>
    <phoneticPr fontId="3" type="noConversion"/>
  </si>
  <si>
    <t>다. AI·데이터 기반 초개인화 학생 역량 관리</t>
  </si>
  <si>
    <t>[C-3]AI-Data 기반 교육과정 성과 관리</t>
  </si>
  <si>
    <t>c</t>
    <phoneticPr fontId="3" type="noConversion"/>
  </si>
  <si>
    <t>NDZ251335</t>
    <phoneticPr fontId="3" type="noConversion"/>
  </si>
  <si>
    <t>YONSEI人 핵심역량 마일리지 이수제 우수학생 장학금</t>
    <phoneticPr fontId="3" type="noConversion"/>
  </si>
  <si>
    <t>YONSEI人 핵심역량 마일리지 이수제 운영</t>
  </si>
  <si>
    <t>학생 맞춤형 역량 관리</t>
  </si>
  <si>
    <t>C</t>
    <phoneticPr fontId="3" type="noConversion"/>
  </si>
  <si>
    <t>YONSEI人 핵심역량 마일리지 이수제 운영비(회의비 등)</t>
    <phoneticPr fontId="3" type="noConversion"/>
  </si>
  <si>
    <t>전(全) 학생의 역량개발 진단 참여를 통하여 유기적 역량관리시스템 구축</t>
  </si>
  <si>
    <t>다. AI·데이터 기반 초개인화 학생 역량 관리</t>
    <phoneticPr fontId="3" type="noConversion"/>
  </si>
  <si>
    <t>역량진단 운영비</t>
    <phoneticPr fontId="3" type="noConversion"/>
  </si>
  <si>
    <t>역량진단 시행 및 결과 공유</t>
  </si>
  <si>
    <t>역량진단 분석비</t>
  </si>
  <si>
    <t>포트폴리오 공모전 장학금</t>
    <phoneticPr fontId="3" type="noConversion"/>
  </si>
  <si>
    <t>미래 DOYAK 학생 역량관리 패널 운영</t>
    <phoneticPr fontId="3" type="noConversion"/>
  </si>
  <si>
    <t>심사비</t>
    <phoneticPr fontId="3" type="noConversion"/>
  </si>
  <si>
    <t>포트폴리오 공모전 심사비</t>
    <phoneticPr fontId="3" type="noConversion"/>
  </si>
  <si>
    <t>2차</t>
    <phoneticPr fontId="3" type="noConversion"/>
  </si>
  <si>
    <t>운영비(워크숍, 간담회, 소모임 활동지원비, 프로그램 운영비 1년치)</t>
    <phoneticPr fontId="3" type="noConversion"/>
  </si>
  <si>
    <t>활동 장학금(팀장, 팀원, 우수활동 장학금, 공모전 장학금 1년치)</t>
    <phoneticPr fontId="3" type="noConversion"/>
  </si>
  <si>
    <t>비교과 운영위원회, 간담회, 연차점검보고 운영비</t>
    <phoneticPr fontId="3" type="noConversion"/>
  </si>
  <si>
    <t>시스템 개발 및 환류 조치 강화</t>
  </si>
  <si>
    <t>AI·데이터 기반 비교과프로그램의 교육적 적합성 검증 및 지속적 개선</t>
  </si>
  <si>
    <t>나. AI·데이터 기반 ECA프로그램 통합 및 성과 관리</t>
    <phoneticPr fontId="3" type="noConversion"/>
  </si>
  <si>
    <t>NDZ251335</t>
  </si>
  <si>
    <t>비교과 박람회 장학금</t>
    <phoneticPr fontId="3" type="noConversion"/>
  </si>
  <si>
    <t>비교과박람회 개최</t>
    <phoneticPr fontId="3" type="noConversion"/>
  </si>
  <si>
    <t>AI·데이터 기반 비교과프로그램 활성화를 위한 이니셔티브·리더십 강화</t>
  </si>
  <si>
    <t>나. AI·데이터 기반 ECA프로그램 통합 및 성과 관리</t>
  </si>
  <si>
    <t>비교과 박람회 운영비</t>
    <phoneticPr fontId="3" type="noConversion"/>
  </si>
  <si>
    <t>수업 질 관리(CQI) 운영비</t>
    <phoneticPr fontId="3" type="noConversion"/>
  </si>
  <si>
    <t>수업 질 관리(CQI) 시행</t>
    <phoneticPr fontId="3" type="noConversion"/>
  </si>
  <si>
    <t>AI·데이터 기반 수업 질관리(CQI) 시스템 운영</t>
  </si>
  <si>
    <t>가. AI·데이터 기반 교과교육과정의 적합성 및 품질관리</t>
  </si>
  <si>
    <t>교육과정 및 교과목 인증 심사평가비(교외)</t>
    <phoneticPr fontId="3" type="noConversion"/>
  </si>
  <si>
    <t>교육과정 및 교과목 개발 인증 시행</t>
  </si>
  <si>
    <t>AI·데이터 기반 전공교육과정 인증 시스템 운영</t>
  </si>
  <si>
    <t>교육과정 및 교과목 인증 심사평가비(교내)</t>
    <phoneticPr fontId="3" type="noConversion"/>
  </si>
  <si>
    <t>가. AI·데이터 기반 교과교육과정의 적합성 및 품질관리</t>
    <phoneticPr fontId="3" type="noConversion"/>
  </si>
  <si>
    <t>원고료</t>
    <phoneticPr fontId="3" type="noConversion"/>
  </si>
  <si>
    <t>원격교육 학습 실태조사 연구 보고서 집필비</t>
  </si>
  <si>
    <t>원격교육 학습 실태 조사 및 성과 평가</t>
  </si>
  <si>
    <t>원격교육 학습 실태조사 및 성과 평가 진단 참가자 답례품</t>
  </si>
  <si>
    <t>기타운영비:부서별</t>
    <phoneticPr fontId="3" type="noConversion"/>
  </si>
  <si>
    <t>콘텐츠 자가진단도구 도출 및 데이터 수집체계 구축을 위한 회의비</t>
    <phoneticPr fontId="3" type="noConversion"/>
  </si>
  <si>
    <t>강의 영상 콘텐츠 품질분석 체크리스트 고도화</t>
  </si>
  <si>
    <t>NDZ251323</t>
    <phoneticPr fontId="3" type="noConversion"/>
  </si>
  <si>
    <t>교육용기계기구구입</t>
    <phoneticPr fontId="3" type="noConversion"/>
  </si>
  <si>
    <t>원격교육 인프라 환경개선 및 고도화</t>
    <phoneticPr fontId="3" type="noConversion"/>
  </si>
  <si>
    <t>원격교육 인프라 환경 개선 및 AI기반 통합관리 시스템 구축</t>
  </si>
  <si>
    <t>AI-Edutech 기반 원격교육인프라 구축 및 고도화</t>
  </si>
  <si>
    <t>다. 교수-학습 개선 성과 확산 및 지속가능 시스템 강화</t>
    <phoneticPr fontId="3" type="noConversion"/>
  </si>
  <si>
    <t>[C-2]AI-Edutech 기반 교수-학습 역량 강화</t>
  </si>
  <si>
    <t>NDZ251321</t>
    <phoneticPr fontId="3" type="noConversion"/>
  </si>
  <si>
    <t>직원역량교육 운영비</t>
    <phoneticPr fontId="3" type="noConversion"/>
  </si>
  <si>
    <t>융합교육혁신을 위한 전문인력 역량 강화</t>
  </si>
  <si>
    <t>다. 교수-학습 개선 성과 확산 및 지속가능 시스템 강화</t>
  </si>
  <si>
    <t>직원역량교육 운영비(직원 연수 및 출장 5차배정)</t>
    <phoneticPr fontId="3" type="noConversion"/>
  </si>
  <si>
    <t>강사료</t>
    <phoneticPr fontId="3" type="noConversion"/>
  </si>
  <si>
    <t>직원역량교육 외부 강사료</t>
    <phoneticPr fontId="3" type="noConversion"/>
  </si>
  <si>
    <t>미래융합교육위원회 운영</t>
    <phoneticPr fontId="3" type="noConversion"/>
  </si>
  <si>
    <t>융합교육혁신을 위한 전문인력 역량 강화 및 마이크로 거버넌스 확대</t>
  </si>
  <si>
    <t>전문가 활용비</t>
    <phoneticPr fontId="3" type="noConversion"/>
  </si>
  <si>
    <t>미래융합교육위원회 외부 위원 회의 참석 수당</t>
    <phoneticPr fontId="3" type="noConversion"/>
  </si>
  <si>
    <t>미래융합교육혁신원 워크숍-발전전략세미나 운영비</t>
    <phoneticPr fontId="3" type="noConversion"/>
  </si>
  <si>
    <t>인쇄비</t>
    <phoneticPr fontId="3" type="noConversion"/>
  </si>
  <si>
    <t>교수법 확산 심포지엄 사례집 제작</t>
    <phoneticPr fontId="3" type="noConversion"/>
  </si>
  <si>
    <t>교수법 확산 심포지엄 개최 및 우수사례집 발간</t>
  </si>
  <si>
    <t>교육 혁신 운용 성과 확산</t>
  </si>
  <si>
    <t>교수법 확산 심포지엄 운영비</t>
    <phoneticPr fontId="3" type="noConversion"/>
  </si>
  <si>
    <t>발표비</t>
    <phoneticPr fontId="3" type="noConversion"/>
  </si>
  <si>
    <t>교수법 확산 심포지엄 사레발표자 수당</t>
    <phoneticPr fontId="3" type="noConversion"/>
  </si>
  <si>
    <t>교수법 확산 심포지엄 참여자 기념품</t>
    <phoneticPr fontId="3" type="noConversion"/>
  </si>
  <si>
    <t>Adobe CC 2000 라이선스, Adobe CC 65,835 * 2000개</t>
    <phoneticPr fontId="3" type="noConversion"/>
  </si>
  <si>
    <t>DX(Digital Transformation) 기반 교육 인프라 환경 조성</t>
  </si>
  <si>
    <t>AI-Edutech 기반 Y-FLEX Lab(Yonsei-Future Learning Experience Lab) 인프라 확충</t>
  </si>
  <si>
    <t>나. AI-Edutech 기반 학생성공(학습분야) 지원</t>
  </si>
  <si>
    <t>운영비, 소모품비, 회의비</t>
    <phoneticPr fontId="3" type="noConversion"/>
  </si>
  <si>
    <t>우수사례 성과 발표회</t>
    <phoneticPr fontId="3" type="noConversion"/>
  </si>
  <si>
    <t>MY-STEP(Strategic Training for Educational Program) 구성 및 학습역량 강화 지원</t>
    <phoneticPr fontId="3" type="noConversion"/>
  </si>
  <si>
    <t>미래융합교육혁신원</t>
  </si>
  <si>
    <t>등대팀</t>
    <phoneticPr fontId="3" type="noConversion"/>
  </si>
  <si>
    <t>NDZ251325</t>
    <phoneticPr fontId="3" type="noConversion"/>
  </si>
  <si>
    <t>식비 및 회의비</t>
    <phoneticPr fontId="3" type="noConversion"/>
  </si>
  <si>
    <t>학습법특강</t>
    <phoneticPr fontId="3" type="noConversion"/>
  </si>
  <si>
    <t>나. AI-Edutech 기반 학생성공(학습분야) 지원</t>
    <phoneticPr fontId="3" type="noConversion"/>
  </si>
  <si>
    <t>회의 및 운영비</t>
    <phoneticPr fontId="3" type="noConversion"/>
  </si>
  <si>
    <t>학습튜터링</t>
    <phoneticPr fontId="3" type="noConversion"/>
  </si>
  <si>
    <t>우수팀장학금</t>
    <phoneticPr fontId="3" type="noConversion"/>
  </si>
  <si>
    <t>활동장학금</t>
    <phoneticPr fontId="3" type="noConversion"/>
  </si>
  <si>
    <t>학습동아리</t>
    <phoneticPr fontId="3" type="noConversion"/>
  </si>
  <si>
    <t>학습전략지 구입</t>
    <phoneticPr fontId="3" type="noConversion"/>
  </si>
  <si>
    <t>학습코칭상담 운영</t>
    <phoneticPr fontId="3" type="noConversion"/>
  </si>
  <si>
    <t>학습코칭상담 상담료</t>
    <phoneticPr fontId="3" type="noConversion"/>
  </si>
  <si>
    <t>의사소통 워크숍 온라인콘텐츠구매</t>
    <phoneticPr fontId="3" type="noConversion"/>
  </si>
  <si>
    <t>의사소통 특강 및 워크숍 운영</t>
    <phoneticPr fontId="3" type="noConversion"/>
  </si>
  <si>
    <t>의사소통 워크숍 운영비</t>
    <phoneticPr fontId="3" type="noConversion"/>
  </si>
  <si>
    <t>의사소통 워크숍 운영 강사료</t>
    <phoneticPr fontId="3" type="noConversion"/>
  </si>
  <si>
    <t>코칭비</t>
    <phoneticPr fontId="3" type="noConversion"/>
  </si>
  <si>
    <t>의사소통코칭 운영</t>
    <phoneticPr fontId="3" type="noConversion"/>
  </si>
  <si>
    <t>수업컨설팅 운영 운영비</t>
  </si>
  <si>
    <t xml:space="preserve"> 수업컨설팅 운영</t>
  </si>
  <si>
    <t>맞춤형 교수역량 강화 지원</t>
  </si>
  <si>
    <t>가. AI-Edutech 기반 교수자 수업 혁신 지원</t>
  </si>
  <si>
    <t>수업컨설팅 운영 자문료</t>
  </si>
  <si>
    <t>수업컨설팅 운영</t>
  </si>
  <si>
    <t>마이크로티칭세미나 운영비</t>
  </si>
  <si>
    <t>마이크로티칭세미나 운영</t>
  </si>
  <si>
    <t>마이크로티칭세미나 강사료</t>
  </si>
  <si>
    <t>혁신교수법 연구모임 운영비</t>
  </si>
  <si>
    <t>혁신 교수법 연구모임 운영</t>
  </si>
  <si>
    <t>교원 역량강화 네트워크_티칭라운지 운영비</t>
    <phoneticPr fontId="3" type="noConversion"/>
  </si>
  <si>
    <t>MY-NET 기반 교수지원 프로그램 운영</t>
  </si>
  <si>
    <t>MY-NET 구성 및 교수역량 강화 지원</t>
  </si>
  <si>
    <t>교원 역량강화 네트워크_신임교수역량강화 운영비</t>
    <phoneticPr fontId="3" type="noConversion"/>
  </si>
  <si>
    <t>교원 역량강화 네트워크_신임교수역량강화</t>
    <phoneticPr fontId="3" type="noConversion"/>
  </si>
  <si>
    <t>온라인 특강(콘텐츠) 구매</t>
    <phoneticPr fontId="3" type="noConversion"/>
  </si>
  <si>
    <t>교수법 특강 및 워크숍 운영비</t>
    <phoneticPr fontId="3" type="noConversion"/>
  </si>
  <si>
    <t>교수법 특강 및 워크숍 특강료_교외</t>
    <phoneticPr fontId="3" type="noConversion"/>
  </si>
  <si>
    <t>교수법 특강 및 워크숍 특강료_교원</t>
    <phoneticPr fontId="3" type="noConversion"/>
  </si>
  <si>
    <t>MY-NET 구성 간담회, MY-NET 운영비</t>
  </si>
  <si>
    <t>MY-NET 구성 및 운영 회의비</t>
  </si>
  <si>
    <t>가. AI-Edutech 기반 교수자 수업 혁신 지원</t>
    <phoneticPr fontId="3" type="noConversion"/>
  </si>
  <si>
    <t>Online Classroom 개발비(회의 및 물품구입비)</t>
  </si>
  <si>
    <t>Online Classroom 개발비</t>
    <phoneticPr fontId="3" type="noConversion"/>
  </si>
  <si>
    <t>개발조교</t>
    <phoneticPr fontId="3" type="noConversion"/>
  </si>
  <si>
    <t>Online Classroom 개발비(TA)</t>
    <phoneticPr fontId="3" type="noConversion"/>
  </si>
  <si>
    <t>Online Classroom 개발비(영상검수)</t>
  </si>
  <si>
    <t>Online Classroom 개발비(영상편집)</t>
  </si>
  <si>
    <t>Online Classroom 개발비(교안디자인)</t>
  </si>
  <si>
    <t>Online Classroom 개발비(윤문)</t>
    <phoneticPr fontId="3" type="noConversion"/>
  </si>
  <si>
    <t>조교비</t>
    <phoneticPr fontId="3" type="noConversion"/>
  </si>
  <si>
    <t>Online Classroom 운영 TA 조교 장학금</t>
    <phoneticPr fontId="3" type="noConversion"/>
  </si>
  <si>
    <t>Online Classroom 운영지원</t>
    <phoneticPr fontId="3" type="noConversion"/>
  </si>
  <si>
    <t>교과목 개발비</t>
    <phoneticPr fontId="3" type="noConversion"/>
  </si>
  <si>
    <t>Flipped Classroom 신규 콘텐츠 개발_교외</t>
    <phoneticPr fontId="3" type="noConversion"/>
  </si>
  <si>
    <t>Flipped Classroom 신규 콘텐츠 개발</t>
  </si>
  <si>
    <t>Flipped Classroom 신규 콘텐츠 개발_교내</t>
    <phoneticPr fontId="3" type="noConversion"/>
  </si>
  <si>
    <t>Flipped Classroom 운영 TA 조교 장학금</t>
    <phoneticPr fontId="3" type="noConversion"/>
  </si>
  <si>
    <t>Flipped Classroom 사전 컨설팅</t>
    <phoneticPr fontId="3" type="noConversion"/>
  </si>
  <si>
    <t>Flipped Classroom 운영지원 및 컨설팅</t>
  </si>
  <si>
    <t>Flipped Classroom TA간담회</t>
    <phoneticPr fontId="3" type="noConversion"/>
  </si>
  <si>
    <t>Flipped Classroom TA간담회</t>
  </si>
  <si>
    <t>K-MOOC 강좌 TA 장학금</t>
    <phoneticPr fontId="3" type="noConversion"/>
  </si>
  <si>
    <t>K-MOOC 강좌 TA 운영</t>
    <phoneticPr fontId="3" type="noConversion"/>
  </si>
  <si>
    <t>K-MOOC 강좌 운영지원</t>
  </si>
  <si>
    <t>K-MOOC 강좌 모니터링단 수당(자문)</t>
    <phoneticPr fontId="3" type="noConversion"/>
  </si>
  <si>
    <t>K-MOOC 강좌 모니터링단 운영</t>
    <phoneticPr fontId="3" type="noConversion"/>
  </si>
  <si>
    <t>K-MOOC 강좌 운영 수당-심사평가비제안</t>
    <phoneticPr fontId="3" type="noConversion"/>
  </si>
  <si>
    <t>K-MOOC 강좌 운영</t>
    <phoneticPr fontId="3" type="noConversion"/>
  </si>
  <si>
    <t>NDZ251311</t>
    <phoneticPr fontId="3" type="noConversion"/>
  </si>
  <si>
    <t>AI Prompt 협업 6P 기반 혁신 교과목 운영 교과운영지원비</t>
    <phoneticPr fontId="3" type="noConversion"/>
  </si>
  <si>
    <t>AI Prompt 협업 6P 기반 혁신 교과목 운영 지원</t>
    <phoneticPr fontId="3" type="noConversion"/>
  </si>
  <si>
    <t>AI Agent 수업모델 개발 및 운용 지원</t>
  </si>
  <si>
    <t>다. 현장·경험 기반 6P 혁신 수업모델 개발</t>
    <phoneticPr fontId="3" type="noConversion"/>
  </si>
  <si>
    <t>[C-1]AI 기반 교육과정 혁신 및 수업모델 개발</t>
  </si>
  <si>
    <t>AI Prompt 협업 6P 기반 혁신 교과목 운영 TA 지원</t>
    <phoneticPr fontId="3" type="noConversion"/>
  </si>
  <si>
    <t>교과목개발개선비</t>
    <phoneticPr fontId="3" type="noConversion"/>
  </si>
  <si>
    <t>AI Prompt 협업 6P 기반 혁신 교과목 개선</t>
    <phoneticPr fontId="3" type="noConversion"/>
  </si>
  <si>
    <t>다. 현장·경험 기반 6P 혁신 수업모델 개발</t>
  </si>
  <si>
    <t>2개전공 선택을 위한 수월성지원_회의비</t>
    <phoneticPr fontId="3" type="noConversion"/>
  </si>
  <si>
    <t>학생주도 융합형 전공 설계를 위하여 AI네비게이터 제작</t>
  </si>
  <si>
    <t>나. AI 기반 전공 선택 지원 및 융합전공 확대</t>
  </si>
  <si>
    <t>[C-1]AI 기반 교육과정 혁신 및 수업모델 개발</t>
    <phoneticPr fontId="3" type="noConversion"/>
  </si>
  <si>
    <t xml:space="preserve">2개전공 선택을 위한 수월성지원_편집비 </t>
    <phoneticPr fontId="3" type="noConversion"/>
  </si>
  <si>
    <t>융합형 전공 선택 수월성 지원을 위한 네비게이터 콘텐츠 제작</t>
  </si>
  <si>
    <t>나. AI 기반 전공 선택 지원 및 융합전공 확대</t>
    <phoneticPr fontId="3" type="noConversion"/>
  </si>
  <si>
    <t xml:space="preserve">2개전공 선택을 위한 수월성지원_교안 개발비 </t>
  </si>
  <si>
    <t>연계·융합·마이크로전공 개발</t>
  </si>
  <si>
    <t>다(多)전공 학사체계+이수제도 개선을 통하여 학습선택권 강화</t>
  </si>
  <si>
    <t>교육혁신위원회 지원_회의비</t>
    <phoneticPr fontId="3" type="noConversion"/>
  </si>
  <si>
    <t>교육혁신위원회 지원</t>
    <phoneticPr fontId="3" type="noConversion"/>
  </si>
  <si>
    <t>교육혁신위원회 지원</t>
  </si>
  <si>
    <t>가. AX 시대 역량기반 전공교육과정 혁신</t>
  </si>
  <si>
    <t>4개 전공 AI-휴먼 융합 역량 도출 및 역량 모델링 완성을 위한 운영 지원(회의비)</t>
    <phoneticPr fontId="3" type="noConversion"/>
  </si>
  <si>
    <t xml:space="preserve"> AI-휴먼 협업형 전공교육과정 혁신 이니셔티브·리더십 강화</t>
  </si>
  <si>
    <t>전공능력 모델링 회의비</t>
    <phoneticPr fontId="3" type="noConversion"/>
  </si>
  <si>
    <t xml:space="preserve"> AI-휴먼 협업형 역량기반 전공교육과정 모델링</t>
  </si>
  <si>
    <t xml:space="preserve">교내진행_AX시대 전공능력 모델링 및 진단도구 개발 </t>
  </si>
  <si>
    <t>가. AX 시대 역량기반 전공교육과정 혁신</t>
    <phoneticPr fontId="3" type="noConversion"/>
  </si>
  <si>
    <t>★(전담인력 1인) 대학혁신지원사업팀 배정(정소라)</t>
    <phoneticPr fontId="3" type="noConversion"/>
  </si>
  <si>
    <t>★(전담인력 1인) 대학혁신지원사업팀 배정(송지수)</t>
    <phoneticPr fontId="3" type="noConversion"/>
  </si>
  <si>
    <t>★(전담인력 1인) 대학혁신지원사업팀 배정(장치완)</t>
    <phoneticPr fontId="3" type="noConversion"/>
  </si>
  <si>
    <t>NDZ251231</t>
    <phoneticPr fontId="3" type="noConversion"/>
  </si>
  <si>
    <t>인쇄제본비(현수막, 포스터 등 홍보물 제작비)</t>
  </si>
  <si>
    <t>3. 나만의 향수 만들기</t>
    <phoneticPr fontId="3" type="noConversion"/>
  </si>
  <si>
    <t>2. 대안적 힐링 통합 마이크로케어 허브 운영</t>
    <phoneticPr fontId="3" type="noConversion"/>
  </si>
  <si>
    <t>다. 캠퍼스-지역사회 협력 마이크로케어 확산</t>
  </si>
  <si>
    <t>[B-3]마음건강 마이크로케어 플랫폼 고도화</t>
  </si>
  <si>
    <t>심리상담센터</t>
    <phoneticPr fontId="3" type="noConversion"/>
  </si>
  <si>
    <t>B</t>
    <phoneticPr fontId="3" type="noConversion"/>
  </si>
  <si>
    <t>참가자 다과비(15,000원 x 13명)</t>
    <phoneticPr fontId="3" type="noConversion"/>
  </si>
  <si>
    <t>소모품비(향수, 핸드크림 재료비)</t>
    <phoneticPr fontId="3" type="noConversion"/>
  </si>
  <si>
    <t>강사비(2시간) x 1회</t>
    <phoneticPr fontId="3" type="noConversion"/>
  </si>
  <si>
    <t>소모품비(담요, 아로마 향수 등)</t>
    <phoneticPr fontId="3" type="noConversion"/>
  </si>
  <si>
    <t>2. 싱잉볼 명상</t>
    <phoneticPr fontId="3" type="noConversion"/>
  </si>
  <si>
    <t>참가자 다과비(15,000원 x 11명) x 4회기</t>
    <phoneticPr fontId="3" type="noConversion"/>
  </si>
  <si>
    <t>외부 강사료(2시간*2회기)</t>
    <phoneticPr fontId="3" type="noConversion"/>
  </si>
  <si>
    <t>운영회의 x 2회</t>
    <phoneticPr fontId="3" type="noConversion"/>
  </si>
  <si>
    <t>1. 힐링 크리스마스 이벤트</t>
    <phoneticPr fontId="3" type="noConversion"/>
  </si>
  <si>
    <t>참가자 기념품비</t>
    <phoneticPr fontId="3" type="noConversion"/>
  </si>
  <si>
    <t>프로그램 소모품비(트리 장식, 크리스마스 소품 등)</t>
    <phoneticPr fontId="3" type="noConversion"/>
  </si>
  <si>
    <t>인쇄제본비(현수막, 크리스마스 카드 제작, 포스터 출력 등)</t>
    <phoneticPr fontId="3" type="noConversion"/>
  </si>
  <si>
    <t>6. 하우스시그널</t>
    <phoneticPr fontId="3" type="noConversion"/>
  </si>
  <si>
    <t>1. 캠퍼스-지역 마음건강 프로그램</t>
    <phoneticPr fontId="3" type="noConversion"/>
  </si>
  <si>
    <t>참가자 다과비(5,000원 x 2명 x 30회)</t>
    <phoneticPr fontId="3" type="noConversion"/>
  </si>
  <si>
    <t>강사비(1시간) x3명 x 10회</t>
    <phoneticPr fontId="3" type="noConversion"/>
  </si>
  <si>
    <t>소모품비(심리검사구입비)</t>
    <phoneticPr fontId="3" type="noConversion"/>
  </si>
  <si>
    <t>소프트웨어 활용비(망고보드(월 49000원,미리캔버스(월 13,400원) 각 6개월 구독)</t>
    <phoneticPr fontId="3" type="noConversion"/>
  </si>
  <si>
    <t>5. 독서하며 마음챙김</t>
    <phoneticPr fontId="3" type="noConversion"/>
  </si>
  <si>
    <t>참가자 다과비(15,000원 x 13명) x 2회</t>
    <phoneticPr fontId="3" type="noConversion"/>
  </si>
  <si>
    <t>소모품비(도서구입비, 재료비 등)</t>
    <phoneticPr fontId="3" type="noConversion"/>
  </si>
  <si>
    <t>강사비(2시간) x 2회</t>
    <phoneticPr fontId="3" type="noConversion"/>
  </si>
  <si>
    <t>4. 원주시정신건강복지센터 특강</t>
    <phoneticPr fontId="3" type="noConversion"/>
  </si>
  <si>
    <t>참가자 다과비(15,000명 x 25명)</t>
    <phoneticPr fontId="3" type="noConversion"/>
  </si>
  <si>
    <t>3. 원주시보건소 마약중독예방 특강</t>
    <phoneticPr fontId="3" type="noConversion"/>
  </si>
  <si>
    <t>참가자 다과비(15,000원 x 25명)</t>
    <phoneticPr fontId="3" type="noConversion"/>
  </si>
  <si>
    <t>운영회의 x2회</t>
    <phoneticPr fontId="3" type="noConversion"/>
  </si>
  <si>
    <t>2. 원주권대학 성과공유회</t>
    <phoneticPr fontId="3" type="noConversion"/>
  </si>
  <si>
    <t>성과공유회 행사비(식비)</t>
    <phoneticPr fontId="3" type="noConversion"/>
  </si>
  <si>
    <t>1. 지역 정신건강 전문기관 회의</t>
    <phoneticPr fontId="3" type="noConversion"/>
  </si>
  <si>
    <t>전문기관 협력회의 x 3회 (원주시자살예방센터, 지우심리상담센터, 정신건강의학과)</t>
    <phoneticPr fontId="3" type="noConversion"/>
  </si>
  <si>
    <t>5. 집단상담 프로그램</t>
    <phoneticPr fontId="3" type="noConversion"/>
  </si>
  <si>
    <t>2. 소수집단 취약계층 맞춤형 프로그램 운영</t>
    <phoneticPr fontId="3" type="noConversion"/>
  </si>
  <si>
    <t>나. 다양성 존중 마이크로케어 지원체계 구축</t>
  </si>
  <si>
    <t>소모품비(미술도구, 참고도서구입비, 기타 소모품비 등)</t>
    <phoneticPr fontId="3" type="noConversion"/>
  </si>
  <si>
    <t>참가자 다과비(15,000원 x 8명 x 4회기)</t>
    <phoneticPr fontId="3" type="noConversion"/>
  </si>
  <si>
    <t>강사비(2시간) x 4회</t>
    <phoneticPr fontId="3" type="noConversion"/>
  </si>
  <si>
    <t>인쇄제본비</t>
    <phoneticPr fontId="3" type="noConversion"/>
  </si>
  <si>
    <t>4. 유학생 심리지원 프로그램</t>
    <phoneticPr fontId="3" type="noConversion"/>
  </si>
  <si>
    <t>프로그램 운영 소모품비</t>
    <phoneticPr fontId="3" type="noConversion"/>
  </si>
  <si>
    <t>참가자 다과비(15,000원 x 15명)</t>
    <phoneticPr fontId="3" type="noConversion"/>
  </si>
  <si>
    <t>프로그램 참가자 기념품 구입비</t>
    <phoneticPr fontId="3" type="noConversion"/>
  </si>
  <si>
    <t>3. 학습약자 심리지원 프로그램</t>
    <phoneticPr fontId="3" type="noConversion"/>
  </si>
  <si>
    <t>참가 학생 다과비(15,000원 x 22명)</t>
    <phoneticPr fontId="3" type="noConversion"/>
  </si>
  <si>
    <t>2. 진로취업 스트레스 관리법 특강</t>
    <phoneticPr fontId="3" type="noConversion"/>
  </si>
  <si>
    <t>소모품비(심리검사구입비 등)</t>
    <phoneticPr fontId="3" type="noConversion"/>
  </si>
  <si>
    <t>참가자 다과비(15,000원 x 16명)</t>
    <phoneticPr fontId="3" type="noConversion"/>
  </si>
  <si>
    <t>1. 대학생활 적응점검</t>
    <phoneticPr fontId="3" type="noConversion"/>
  </si>
  <si>
    <t>소모품(SLT 심리검사 100EA) 구입비</t>
    <phoneticPr fontId="3" type="noConversion"/>
  </si>
  <si>
    <t>근로장학금</t>
    <phoneticPr fontId="3" type="noConversion"/>
  </si>
  <si>
    <t>미래윤리인권위원회 홈페이지 고도화 용역(장학금으로 학생대상-근로장학금방식)</t>
    <phoneticPr fontId="3" type="noConversion"/>
  </si>
  <si>
    <t>3. 상담실라운지 운영 및 인프라 보강</t>
    <phoneticPr fontId="3" type="noConversion"/>
  </si>
  <si>
    <t>1. 전문 상담 및 안전공간 통합 운영 체계 구축</t>
    <phoneticPr fontId="3" type="noConversion"/>
  </si>
  <si>
    <t>NDZ251233</t>
    <phoneticPr fontId="3" type="noConversion"/>
  </si>
  <si>
    <t>환경개선비</t>
    <phoneticPr fontId="3" type="noConversion"/>
  </si>
  <si>
    <t>홍보용 사이니지(디지털 전광판) 2대 구입</t>
    <phoneticPr fontId="3" type="noConversion"/>
  </si>
  <si>
    <t>운영회의 x 3회(사전운영회의, 사후평가회의, 조교간담회의)</t>
    <phoneticPr fontId="3" type="noConversion"/>
  </si>
  <si>
    <t>상담실라운지 소모품(정서안정용 소모품, 라운지 유지보수 소모품)</t>
    <phoneticPr fontId="3" type="noConversion"/>
  </si>
  <si>
    <t>상담실라운지 인쇄비(홍보물 제작, 심리검사 인쇄 등)</t>
    <phoneticPr fontId="3" type="noConversion"/>
  </si>
  <si>
    <t>상담실라운지 이용자 다과비</t>
    <phoneticPr fontId="3" type="noConversion"/>
  </si>
  <si>
    <t>NDZ251235</t>
    <phoneticPr fontId="3" type="noConversion"/>
  </si>
  <si>
    <t>대학원생 근로장학금 (10,320원x2336시간)</t>
    <phoneticPr fontId="3" type="noConversion"/>
  </si>
  <si>
    <t>객원상담사 6인 인건비(용역비)</t>
    <phoneticPr fontId="3" type="noConversion"/>
  </si>
  <si>
    <t>2. 전문 심리상담원 운영</t>
    <phoneticPr fontId="3" type="noConversion"/>
  </si>
  <si>
    <t>워크숍 행사비 x 2회</t>
    <phoneticPr fontId="3" type="noConversion"/>
  </si>
  <si>
    <t>1. 고위험군 위기대응 컨퍼런스</t>
    <phoneticPr fontId="3" type="noConversion"/>
  </si>
  <si>
    <t xml:space="preserve">심리전문가 특강료(3시간) x 2회 </t>
    <phoneticPr fontId="3" type="noConversion"/>
  </si>
  <si>
    <t>강사비(시간) x 2회</t>
    <phoneticPr fontId="3" type="noConversion"/>
  </si>
  <si>
    <t>4. 마음건강 온라인 강의 콘텐츠 제작</t>
    <phoneticPr fontId="3" type="noConversion"/>
  </si>
  <si>
    <t>2. 맞춤형 마음건강 프로그램 개발</t>
    <phoneticPr fontId="3" type="noConversion"/>
  </si>
  <si>
    <t>가.마음건강 진단 및 예방체계 활성화</t>
  </si>
  <si>
    <t>협력부서 회의 x 4회</t>
    <phoneticPr fontId="3" type="noConversion"/>
  </si>
  <si>
    <t>3. 협력부서 정신건강 공유회의</t>
    <phoneticPr fontId="3" type="noConversion"/>
  </si>
  <si>
    <t>1. 마음건강 데이터 수집 및 현황 분석</t>
    <phoneticPr fontId="3" type="noConversion"/>
  </si>
  <si>
    <t>캠페인 소모품 구입비</t>
    <phoneticPr fontId="3" type="noConversion"/>
  </si>
  <si>
    <t>2. 마음챙김 ON&amp;IN 캠페인</t>
    <phoneticPr fontId="3" type="noConversion"/>
  </si>
  <si>
    <t>캠페인 참가자 기념품 구입비</t>
    <phoneticPr fontId="3" type="noConversion"/>
  </si>
  <si>
    <t>캠페인 행사비(식비)</t>
    <phoneticPr fontId="3" type="noConversion"/>
  </si>
  <si>
    <t>1. 마음건강 자가진단 활성화 이벤트</t>
    <phoneticPr fontId="3" type="noConversion"/>
  </si>
  <si>
    <t>프로그램 기념품구입비(1학기120만원, 2학기 120만원)</t>
    <phoneticPr fontId="3" type="noConversion"/>
  </si>
  <si>
    <t>★(전담인력 1인) 대학혁신지원사업팀 배정(김승환)</t>
    <phoneticPr fontId="3" type="noConversion"/>
  </si>
  <si>
    <t>NDZ251221</t>
    <phoneticPr fontId="3" type="noConversion"/>
  </si>
  <si>
    <t>AI평가 기반 관리 시스템 운영 및 성과 검증</t>
    <phoneticPr fontId="3" type="noConversion"/>
  </si>
  <si>
    <t>AI평가 기반 관리 시스템 파일럿 운영</t>
    <phoneticPr fontId="3" type="noConversion"/>
  </si>
  <si>
    <t>② AI평과 관리 시스템 검증 및 환류 체계 고도화</t>
    <phoneticPr fontId="3" type="noConversion"/>
  </si>
  <si>
    <t>다. AI 온디맨드 경력개발 성과관리</t>
  </si>
  <si>
    <t>[B-2]AI 온디맨드 경력개발 지원체계 구축</t>
  </si>
  <si>
    <t>NDZ251222</t>
    <phoneticPr fontId="3" type="noConversion"/>
  </si>
  <si>
    <t>기자재구입비</t>
  </si>
  <si>
    <t>수집된 빅데이터 기반의 경력개발 지원 및 관리 체계 구축</t>
    <phoneticPr fontId="3" type="noConversion"/>
  </si>
  <si>
    <t>온디맨드 경력개발 지원체계 AI 평가 시범운영</t>
    <phoneticPr fontId="3" type="noConversion"/>
  </si>
  <si>
    <t>① 성관관리 체계 고도화를 위한 데이터기반 관리 시스템 도입</t>
    <phoneticPr fontId="3" type="noConversion"/>
  </si>
  <si>
    <t>NDZ251223</t>
    <phoneticPr fontId="3" type="noConversion"/>
  </si>
  <si>
    <t>커리어카페 환경조성</t>
    <phoneticPr fontId="3" type="noConversion"/>
  </si>
  <si>
    <t>커리어카페 운영</t>
    <phoneticPr fontId="3" type="noConversion"/>
  </si>
  <si>
    <t>② 실시간 온디맨드 진로·취업 지원체계 전환</t>
    <phoneticPr fontId="3" type="noConversion"/>
  </si>
  <si>
    <t>나. 온디맨드 경력개발 서비스 운영</t>
    <phoneticPr fontId="3" type="noConversion"/>
  </si>
  <si>
    <t>커리어카페 환경조성/운영비/회의비</t>
    <phoneticPr fontId="3" type="noConversion"/>
  </si>
  <si>
    <t>직원 역량강화 교육(교육훈련비)</t>
    <phoneticPr fontId="3" type="noConversion"/>
  </si>
  <si>
    <t>교직원 진로지도 역량강화 교육</t>
    <phoneticPr fontId="3" type="noConversion"/>
  </si>
  <si>
    <t>우리 대학 교직원의 진로지도 역량강화 교육 및 학생지도 지원 체계 구축</t>
    <phoneticPr fontId="3" type="noConversion"/>
  </si>
  <si>
    <t>공직진출을 지원하기 위한 특강 및 모의고사, 멘토링 등 운영</t>
    <phoneticPr fontId="3" type="noConversion"/>
  </si>
  <si>
    <t>공직진출 프로그램</t>
    <phoneticPr fontId="3" type="noConversion"/>
  </si>
  <si>
    <t>온라인 상시 지원/집중 전문 컨설팅 기간 운영(2학기)</t>
  </si>
  <si>
    <t>컨설팅 용역</t>
    <phoneticPr fontId="3" type="noConversion"/>
  </si>
  <si>
    <t>온라인 상시 지원/집중 전문 컨설팅 기간 운영(1학기)</t>
  </si>
  <si>
    <t>경력개발포탈시스템(YGEMS)</t>
    <phoneticPr fontId="3" type="noConversion"/>
  </si>
  <si>
    <t>시스템 유지보수, 개편</t>
    <phoneticPr fontId="3" type="noConversion"/>
  </si>
  <si>
    <t>① AI기반 온디맨드 경력개발 교과·비교과 프로그램 운영</t>
    <phoneticPr fontId="3" type="noConversion"/>
  </si>
  <si>
    <t>공공기관 진출 지원 프로그램</t>
    <phoneticPr fontId="3" type="noConversion"/>
  </si>
  <si>
    <t>해외취업 지원프로그램</t>
    <phoneticPr fontId="3" type="noConversion"/>
  </si>
  <si>
    <t>해외취업 지원 프로그램(가)</t>
    <phoneticPr fontId="3" type="noConversion"/>
  </si>
  <si>
    <t>기업 및 산업분야 맞춤형 전략 수립 및 역량강화 프로그램</t>
    <phoneticPr fontId="3" type="noConversion"/>
  </si>
  <si>
    <t>기업/산업 전략 프로그램(가)</t>
    <phoneticPr fontId="3" type="noConversion"/>
  </si>
  <si>
    <t>[B-2]AI 온디맨드 경력개발 지원체계 구축</t>
    <phoneticPr fontId="3" type="noConversion"/>
  </si>
  <si>
    <t>AI리터러시 및 전문성 강화 지원</t>
    <phoneticPr fontId="3" type="noConversion"/>
  </si>
  <si>
    <t>AI역량강화 프로그램(가)</t>
    <phoneticPr fontId="3" type="noConversion"/>
  </si>
  <si>
    <t>엠버서더 활동 기념품비</t>
    <phoneticPr fontId="3" type="noConversion"/>
  </si>
  <si>
    <t>학생소통체계(Career Ambassador)</t>
    <phoneticPr fontId="3" type="noConversion"/>
  </si>
  <si>
    <t>발대식, 성과공유회, 더미래페스티벌 부스 운영비</t>
    <phoneticPr fontId="3" type="noConversion"/>
  </si>
  <si>
    <t>운영비 및 회의비</t>
    <phoneticPr fontId="3" type="noConversion"/>
  </si>
  <si>
    <t>미니오픈부스 및 홍보 진행</t>
    <phoneticPr fontId="3" type="noConversion"/>
  </si>
  <si>
    <t>소통형 진로교육 홍보</t>
    <phoneticPr fontId="3" type="noConversion"/>
  </si>
  <si>
    <t>NDZ251221</t>
  </si>
  <si>
    <t>공공기관의이해, 산업과기업의이해, 커리어디자인, 실전취업역량(계절) 운영(대면·VOD강좌 강사료)</t>
    <phoneticPr fontId="3" type="noConversion"/>
  </si>
  <si>
    <t>경력개발 교과</t>
    <phoneticPr fontId="3" type="noConversion"/>
  </si>
  <si>
    <t>진로지도 교수와의 전공기반 상담 및 자기주도적 전공탐색 및 진로역량 강화계획 수립 지원(대면·VOD강좌 강사료) 2학기</t>
    <phoneticPr fontId="3" type="noConversion"/>
  </si>
  <si>
    <t>진로지도 교과</t>
    <phoneticPr fontId="3" type="noConversion"/>
  </si>
  <si>
    <t>진로지도 교수와의 전공기반 상담 및 자기주도적 전공탐색 및 진로역량 강화계획 수립 지원(대면·VOD강좌 강사료) 1학기</t>
    <phoneticPr fontId="3" type="noConversion"/>
  </si>
  <si>
    <t>학생 진로 설정 및 경력개발 지원을 위한 집중지원주간 운영</t>
  </si>
  <si>
    <t>더미래페스티발</t>
  </si>
  <si>
    <t>① AI기반 온디맨드 경력개발 교과·비교과 프로그램 운영</t>
  </si>
  <si>
    <t>나. 온디맨드 경력개발 서비스 운영</t>
  </si>
  <si>
    <t>학생활동지원비</t>
    <phoneticPr fontId="3" type="noConversion"/>
  </si>
  <si>
    <t>전공주도 프로그램 운영 및 예산지원</t>
    <phoneticPr fontId="3" type="noConversion"/>
  </si>
  <si>
    <t>자율기획예산제</t>
    <phoneticPr fontId="3" type="noConversion"/>
  </si>
  <si>
    <t>동문 빅데이터 구축 및 활용 프로그램 운영</t>
    <phoneticPr fontId="3" type="noConversion"/>
  </si>
  <si>
    <t>동문네트워크 구축</t>
    <phoneticPr fontId="3" type="noConversion"/>
  </si>
  <si>
    <t>② AI기반 초개인화를 위한 경력개발 경로 추천 체계 구축</t>
    <phoneticPr fontId="3" type="noConversion"/>
  </si>
  <si>
    <t>가. AI기반 진로·취업 지원을 위한 경력개발 데이터 구축</t>
  </si>
  <si>
    <t>10차</t>
    <phoneticPr fontId="3" type="noConversion"/>
  </si>
  <si>
    <t>미래학생복지처 경력개발팀 워크숍 진행</t>
    <phoneticPr fontId="3" type="noConversion"/>
  </si>
  <si>
    <t>진로교육 거버넌스</t>
    <phoneticPr fontId="3" type="noConversion"/>
  </si>
  <si>
    <t>라운드테이블/관계부서 회의/대학진로지도위원회 운영</t>
    <phoneticPr fontId="3" type="noConversion"/>
  </si>
  <si>
    <t>경력개발팀 주관, 2월 졸업/8월 졸업예정자 대상 조사 실시</t>
    <phoneticPr fontId="3" type="noConversion"/>
  </si>
  <si>
    <t>졸업생 진로정보 조사</t>
    <phoneticPr fontId="3" type="noConversion"/>
  </si>
  <si>
    <t>① AI기반 초개인화를 위한 진로 빅데이터 수집 및 분석</t>
    <phoneticPr fontId="3" type="noConversion"/>
  </si>
  <si>
    <t>교육부/한국직업능력연구원 주관, 대학 진로교육 현황조사 실시</t>
    <phoneticPr fontId="3" type="noConversion"/>
  </si>
  <si>
    <t>대학 진로교육 현황조사</t>
    <phoneticPr fontId="3" type="noConversion"/>
  </si>
  <si>
    <t>졸업생의 사회진출 현황 및 경력사항에 대한 빅데이터 구축</t>
    <phoneticPr fontId="3" type="noConversion"/>
  </si>
  <si>
    <t>현직자 현황조사(가)</t>
    <phoneticPr fontId="3" type="noConversion"/>
  </si>
  <si>
    <t>★(전담인력 1인) 대학혁신지원사업팀 배정(이승희)</t>
    <phoneticPr fontId="3" type="noConversion"/>
  </si>
  <si>
    <t>★(전담인력 1인) 대학혁신지원사업팀 배정(박세영)</t>
    <phoneticPr fontId="3" type="noConversion"/>
  </si>
  <si>
    <t>NDZ251211</t>
    <phoneticPr fontId="3" type="noConversion"/>
  </si>
  <si>
    <t>운영비(의견수렴 등)</t>
  </si>
  <si>
    <t>With-YONSEI 운영/환류</t>
  </si>
  <si>
    <t>AI에듀가이드 운영 성과분석을 위한 With-YONSEI 만족도 조사</t>
  </si>
  <si>
    <t>다. 학생 성공 선순환 고리 형성</t>
  </si>
  <si>
    <t>[B-1]학생 성공 AI에듀가이드 고도화</t>
  </si>
  <si>
    <t>시스템 운영 성과분석 및 의견 수렴에 대한 환류</t>
  </si>
  <si>
    <t>With-YONSEI 만족도 조사 후 결과분석</t>
  </si>
  <si>
    <t>반납예정</t>
    <phoneticPr fontId="3" type="noConversion"/>
  </si>
  <si>
    <t>NDZ251213</t>
    <phoneticPr fontId="3" type="noConversion"/>
  </si>
  <si>
    <t>With-YONSEI 유지 보수
With-YONSEI 운영 통신료(SMS, 카카오톡 등)
With-YONSEI 서버 이전 및 재구성 작업
시스템 개편/고도화(시스템 개발)</t>
    <phoneticPr fontId="3" type="noConversion"/>
  </si>
  <si>
    <t>With-YONSEI 유지보수</t>
  </si>
  <si>
    <t>With-YONSEI 통합관리시스템 기능 고도화</t>
  </si>
  <si>
    <t>나. 사용자 편의성을 확대한 AI에듀가이드 구현</t>
  </si>
  <si>
    <t>[B-1]학생 성공 AI에듀가이드 고도화</t>
    <phoneticPr fontId="3" type="noConversion"/>
  </si>
  <si>
    <t>AI 에듀가이드 효과 분석</t>
  </si>
  <si>
    <t>AI에듀가이드 효과성 분석</t>
  </si>
  <si>
    <t>AI에듀가이드 고도화 및 효과성 분석</t>
  </si>
  <si>
    <t>가. AI 기능 고도화 및 통합 AI에듀가이드 제공</t>
  </si>
  <si>
    <t>With-YONSEI, 교육성과관리 출장비</t>
  </si>
  <si>
    <t>With-YONSEI 고도화, 교육성과관리 제고관련 출장</t>
  </si>
  <si>
    <t>With-YONSEI 고도화, 교육성과관리 제고</t>
  </si>
  <si>
    <t>TF운영, 관련 부서 회의비</t>
  </si>
  <si>
    <t>TF팀, 업체, 관련 부서 회의</t>
  </si>
  <si>
    <t>With-YONSEI 개편을 위한 TF운영,
추천 AI시스템 구현을 위한 업체 및 부서회의</t>
  </si>
  <si>
    <t>★(전담인력 1인) 대학혁신지원사업팀 배정(임성환)</t>
    <phoneticPr fontId="3" type="noConversion"/>
  </si>
  <si>
    <t>With-YONSEI 개편을 위한 TF운영,
추천 AI시스템 구현을 위한 업체 및 부서회의</t>
    <phoneticPr fontId="3" type="noConversion"/>
  </si>
  <si>
    <t>가. AI 기능 고도화 및 통합 AI에듀가이드 제공</t>
    <phoneticPr fontId="3" type="noConversion"/>
  </si>
  <si>
    <t>★(전담인력 1인) 대학혁신지원사업팀 배정(심동현)</t>
    <phoneticPr fontId="3" type="noConversion"/>
  </si>
  <si>
    <t>NDZ251131</t>
    <phoneticPr fontId="3" type="noConversion"/>
  </si>
  <si>
    <t>데이터 성과와 제도개선의 선순환 학사운영체계 확립을 위한 회의</t>
    <phoneticPr fontId="3" type="noConversion"/>
  </si>
  <si>
    <t>데이터성과와 제도개선의 선순환 학사운영체계확립</t>
    <phoneticPr fontId="3" type="noConversion"/>
  </si>
  <si>
    <t>성과지표 기반 환류를 통한 유연학사 체계 수립</t>
    <phoneticPr fontId="3" type="noConversion"/>
  </si>
  <si>
    <t>다. 데이터 기반 유연학사제도 고도화</t>
  </si>
  <si>
    <t>[A-3]미래를 대비하는 데이터 기반 교육 혁신</t>
  </si>
  <si>
    <t>학사지원팀</t>
    <phoneticPr fontId="3" type="noConversion"/>
  </si>
  <si>
    <t>A</t>
    <phoneticPr fontId="3" type="noConversion"/>
  </si>
  <si>
    <t>데이터 분석 결과 공유 및 환류를 위해 관련부서 회의 개최</t>
    <phoneticPr fontId="3" type="noConversion"/>
  </si>
  <si>
    <t>학사제도 참여율, 졸업충족률, 전공 간 이동 등 측정 KPI 정의</t>
    <phoneticPr fontId="3" type="noConversion"/>
  </si>
  <si>
    <t>2026-09-14 박범희 T 요청</t>
    <phoneticPr fontId="3" type="noConversion"/>
  </si>
  <si>
    <t>NDZ251133</t>
  </si>
  <si>
    <t>*증명발급시스템</t>
    <phoneticPr fontId="3" type="noConversion"/>
  </si>
  <si>
    <t>학생별 온라인 실시간 이수 현황 확인 등 전자행정 확대</t>
    <phoneticPr fontId="3" type="noConversion"/>
  </si>
  <si>
    <t>규정단순화 및 편의성 포함 학생친화 졸업 요건 정비</t>
    <phoneticPr fontId="3" type="noConversion"/>
  </si>
  <si>
    <t>연세대학교 통합앱 개발 사업 추진에 따라 용역계약 예정(미래캠퍼스 예산 비율 23.8%)</t>
    <phoneticPr fontId="3" type="noConversion"/>
  </si>
  <si>
    <t>학사포탈 시스템 고도화를 통한 온라인이수 현황 확인 보완 등 개선 추진</t>
    <phoneticPr fontId="3" type="noConversion"/>
  </si>
  <si>
    <t>단순화 된 졸업요건 자료 개발 및 배포</t>
    <phoneticPr fontId="3" type="noConversion"/>
  </si>
  <si>
    <t xml:space="preserve">이수규정과 체계 단순화 및 시각화자료 개발 배포 </t>
    <phoneticPr fontId="3" type="noConversion"/>
  </si>
  <si>
    <t>현 학사정보시스템의 계량 지표를 기반으로 고도화 방안 강구를 위한 회의 진행</t>
    <phoneticPr fontId="3" type="noConversion"/>
  </si>
  <si>
    <t>[A-3]미래를 대비하는 데이터 기반 교육 혁신</t>
    <phoneticPr fontId="3" type="noConversion"/>
  </si>
  <si>
    <t>A-3-나 연구보고서 참고하여 스마트강의실배정(안) 배포(기획처와 회의 진행)</t>
    <phoneticPr fontId="3" type="noConversion"/>
  </si>
  <si>
    <t>전공별 강의유형 종합분석 및 최적화 시행</t>
    <phoneticPr fontId="3" type="noConversion"/>
  </si>
  <si>
    <t>데이터 기반 학사지원 최적화/스마트강의실배정/기획처연계</t>
    <phoneticPr fontId="3" type="noConversion"/>
  </si>
  <si>
    <t>나. 데이터 기반 전공쏠림 대응</t>
  </si>
  <si>
    <t>데이터 분석을 통한 전공별 선호도 차이에 따른 운영방안 모색 회의 / 데이터 분석 결과 진단 및 정책화 상설 TFT 구축 시도를 위한 회의</t>
    <phoneticPr fontId="3" type="noConversion"/>
  </si>
  <si>
    <t>데이터 분석결과 기반 탄력적 학사운영체제 구축</t>
    <phoneticPr fontId="3" type="noConversion"/>
  </si>
  <si>
    <t>역동적 전공균형 시스템으로 쏠림현상 대응</t>
    <phoneticPr fontId="3" type="noConversion"/>
  </si>
  <si>
    <t>가변적 정원관리/마이크로전공/융합전공 수요분산 TFT</t>
    <phoneticPr fontId="3" type="noConversion"/>
  </si>
  <si>
    <t>전공지원 추세분석을 기반으로 미래 전공수요 대응</t>
    <phoneticPr fontId="3" type="noConversion"/>
  </si>
  <si>
    <t>전공신설, 폐지, 설계전문성, 취업경쟁력 제고를 위한 협력부서 TFT 진행</t>
    <phoneticPr fontId="3" type="noConversion"/>
  </si>
  <si>
    <t>인큐베이팅 성과 창출 지원을 위한 다양한 지원방안 확보</t>
    <phoneticPr fontId="3" type="noConversion"/>
  </si>
  <si>
    <t>수요기반 융합전공 인큐베이팅으로 확대기반 마련</t>
    <phoneticPr fontId="3" type="noConversion"/>
  </si>
  <si>
    <t>가. 전공 간 융합을 위한 행정지원체계 강화</t>
  </si>
  <si>
    <t>A-3-가 연구보고서 내용 정리 후 공유를 통해 융합전공 참여교원 간 내부 JA 교원 지정 체계 구축 추진</t>
    <phoneticPr fontId="3" type="noConversion"/>
  </si>
  <si>
    <t>융합전공 참여교원간 내부 JA교원 지정 체계 구축</t>
    <phoneticPr fontId="3" type="noConversion"/>
  </si>
  <si>
    <t>융합전공 참여교원간 내부 JA교원 체계 구축</t>
    <phoneticPr fontId="3" type="noConversion"/>
  </si>
  <si>
    <t>융복합 전공 지원체계 추진 및 융합전공 생애주기 지원체계 구축 회의</t>
    <phoneticPr fontId="3" type="noConversion"/>
  </si>
  <si>
    <t>다전공(융복합 및 자기설계전공 등)을 위한 행정지원 신설 및 융합전공 생애주기 지원체계 구축</t>
    <phoneticPr fontId="3" type="noConversion"/>
  </si>
  <si>
    <t>전공간 경계를 넘는 융합을 촉진하는 지원체계 구축</t>
    <phoneticPr fontId="3" type="noConversion"/>
  </si>
  <si>
    <t>★(전담인력 1인) 대학혁신지원사업팀 배정(정승환)</t>
    <phoneticPr fontId="3" type="noConversion"/>
  </si>
  <si>
    <t>★(전담인력 1인) 대학혁신지원사업팀 배정(이소원&gt;최정우)</t>
    <phoneticPr fontId="3" type="noConversion"/>
  </si>
  <si>
    <t>캡스톤디자인 교과목 고도화</t>
    <phoneticPr fontId="3" type="noConversion"/>
  </si>
  <si>
    <t>다. 전공 맞춤형 실무역량 강화</t>
  </si>
  <si>
    <t>[A-2]AI 융합 전공 혁신</t>
  </si>
  <si>
    <t>현장실습지원센터</t>
    <phoneticPr fontId="3" type="noConversion"/>
  </si>
  <si>
    <t>NDZ251121</t>
    <phoneticPr fontId="3" type="noConversion"/>
  </si>
  <si>
    <t>2026학년도 캡스톤디자인 교내 경진대회 운영비(인쇄비,소모품비,회의비)</t>
    <phoneticPr fontId="3" type="noConversion"/>
  </si>
  <si>
    <t>캡스톤디자인 교내 경진대회 운영</t>
    <phoneticPr fontId="3" type="noConversion"/>
  </si>
  <si>
    <t xml:space="preserve">2026학년도 캡스톤디자인 교내 경진대회 평가위원 수당 </t>
  </si>
  <si>
    <t>2026학년도 캡스톤디자인 교내 경진대회 행사 식대(도시락)</t>
    <phoneticPr fontId="3" type="noConversion"/>
  </si>
  <si>
    <t>2026학년도 캡스톤디자인 교내 경진대회 경품</t>
    <phoneticPr fontId="3" type="noConversion"/>
  </si>
  <si>
    <t>NDZ251125</t>
    <phoneticPr fontId="3" type="noConversion"/>
  </si>
  <si>
    <t>2026학년도 캡스톤디자인 교내 경진대회 시상금</t>
    <phoneticPr fontId="3" type="noConversion"/>
  </si>
  <si>
    <t xml:space="preserve">2026학년도 캡스톤디자인 교과목 운영비(소모품,인쇄제본비,회의비) </t>
    <phoneticPr fontId="3" type="noConversion"/>
  </si>
  <si>
    <t>캡스톤디자인 교과목 운영 지원</t>
    <phoneticPr fontId="3" type="noConversion"/>
  </si>
  <si>
    <t xml:space="preserve">2026학년도 캡스톤디자인 학생 물품 지원비(일반형, 기업연계형 등) </t>
  </si>
  <si>
    <t xml:space="preserve">전략적 AI, IOT, 블록체인, 메타버스 등 보유기업 니즈분석을 위한 유관부서(전공) 회의 및 협력교율과정 개설 추진 </t>
    <phoneticPr fontId="3" type="noConversion"/>
  </si>
  <si>
    <t>AX시대 핵심기술기업과 협력교육과정 개설</t>
    <phoneticPr fontId="3" type="noConversion"/>
  </si>
  <si>
    <t>산학협력 교육강화와 산학 JA교과목 확대</t>
    <phoneticPr fontId="3" type="noConversion"/>
  </si>
  <si>
    <t>나. 공통교과목 운영 고도화</t>
  </si>
  <si>
    <t>관련학과(JA교원 배치) 회의를 통한 방향성 수립 및 추진, A-3-가 JA교원 연구 내용 각 대학 실무자에 공유</t>
    <phoneticPr fontId="3" type="noConversion"/>
  </si>
  <si>
    <t>산업현장 전문가의 JA교원화로 실무인재 양성</t>
    <phoneticPr fontId="3" type="noConversion"/>
  </si>
  <si>
    <t xml:space="preserve">사업관리 </t>
    <phoneticPr fontId="3" type="noConversion"/>
  </si>
  <si>
    <t>인기강의 대형화 또는 온라인강의 전환 논의를 위한 회의</t>
    <phoneticPr fontId="3" type="noConversion"/>
  </si>
  <si>
    <t xml:space="preserve">공통교과목 Cross-listing Gallery 플랫폼 구축 </t>
    <phoneticPr fontId="3" type="noConversion"/>
  </si>
  <si>
    <t>전공간 공통(Cross-listing)교과목 확대 및 체계화</t>
    <phoneticPr fontId="3" type="noConversion"/>
  </si>
  <si>
    <t>[F-3]</t>
    <phoneticPr fontId="3" type="noConversion"/>
  </si>
  <si>
    <t>강의시수 예산배분, 업적평가 반영 등 정책 논의</t>
    <phoneticPr fontId="3" type="noConversion"/>
  </si>
  <si>
    <t>전공교육과정 분석 및 유사과목 공통교과목화</t>
    <phoneticPr fontId="3" type="noConversion"/>
  </si>
  <si>
    <t>[F-2]</t>
    <phoneticPr fontId="3" type="noConversion"/>
  </si>
  <si>
    <t xml:space="preserve">마이크로전공 추가 개발 지원을 위한 연구보고서 작성 </t>
    <phoneticPr fontId="3" type="noConversion"/>
  </si>
  <si>
    <t>내/외부 환경 분석에 기반한 유망 AI융합전공 분야예측과 과목 및 마이크로전공 고도화</t>
    <phoneticPr fontId="3" type="noConversion"/>
  </si>
  <si>
    <t>AI기반 전공 매쉬업을 통한 혁신적 융합전공 개발</t>
    <phoneticPr fontId="3" type="noConversion"/>
  </si>
  <si>
    <t>가. AI융합 공통교과목 신설</t>
  </si>
  <si>
    <t>[A-2]AI 융합 전공 혁신</t>
    <phoneticPr fontId="3" type="noConversion"/>
  </si>
  <si>
    <t>[F-1]</t>
    <phoneticPr fontId="3" type="noConversion"/>
  </si>
  <si>
    <t>연구보고서 연구 결과 기반 매쉬업 알고리즘 구성을 위한 연구 진행</t>
    <phoneticPr fontId="3" type="noConversion"/>
  </si>
  <si>
    <t>수업계획서와 주차별 내용분석으로 미래예측형 융합전공개발</t>
    <phoneticPr fontId="3" type="noConversion"/>
  </si>
  <si>
    <t>[E-3]</t>
    <phoneticPr fontId="3" type="noConversion"/>
  </si>
  <si>
    <t>본배정</t>
  </si>
  <si>
    <t>마이크로전공 추가 개발 지원을 위한 학부(과)장 회의 진행</t>
    <phoneticPr fontId="3" type="noConversion"/>
  </si>
  <si>
    <t>[E-2]</t>
    <phoneticPr fontId="3" type="noConversion"/>
  </si>
  <si>
    <t>연구보고서 연구 결과 기반 매쉬업 알고리즘 구성 TFT 진행</t>
    <phoneticPr fontId="3" type="noConversion"/>
  </si>
  <si>
    <t>[E-1]</t>
    <phoneticPr fontId="3" type="noConversion"/>
  </si>
  <si>
    <t>AI 교육관련 외부강사 초청 및 강의 프로그램 진행</t>
    <phoneticPr fontId="3" type="noConversion"/>
  </si>
  <si>
    <t>AI담당 교수진 워크숍 및 연수 프로그램 운영</t>
    <phoneticPr fontId="3" type="noConversion"/>
  </si>
  <si>
    <t>계열별 AI전공 교과목 도입을 위한 체계수립 및 의견수렴</t>
    <phoneticPr fontId="3" type="noConversion"/>
  </si>
  <si>
    <t>[D-3]</t>
    <phoneticPr fontId="3" type="noConversion"/>
  </si>
  <si>
    <t>AI 프롬프트 가이드 적용을 위한 사전 검증 진행</t>
    <phoneticPr fontId="3" type="noConversion"/>
  </si>
  <si>
    <t xml:space="preserve">계열별 AI프롬프트 활용 가이드제시 및 개발 </t>
    <phoneticPr fontId="3" type="noConversion"/>
  </si>
  <si>
    <t>[D-2]</t>
    <phoneticPr fontId="3" type="noConversion"/>
  </si>
  <si>
    <t>NDZ251111</t>
    <phoneticPr fontId="3" type="noConversion"/>
  </si>
  <si>
    <t xml:space="preserve">교과목 구성가이드 비교, 검토(타 대학 사례 분석 등) 및 학생 중심 자기설계전공 구체화 지원을 위한 인쇄물 제작 </t>
    <phoneticPr fontId="3" type="noConversion"/>
  </si>
  <si>
    <t>교과목 구성지침, 가이드, 사례집제공, 타 대학 사례 조사 및 우수사례발굴, 홍보, 확산 및 미비점보완 활용도제고</t>
    <phoneticPr fontId="3" type="noConversion"/>
  </si>
  <si>
    <t>자기설계전공 인증 및 활용도 제고</t>
    <phoneticPr fontId="3" type="noConversion"/>
  </si>
  <si>
    <t>다. 자기설계 전공 고도화</t>
  </si>
  <si>
    <t>[A-1]AI기반 학사제도 다양화</t>
  </si>
  <si>
    <t>[D-1]</t>
    <phoneticPr fontId="3" type="noConversion"/>
  </si>
  <si>
    <t xml:space="preserve">학생 중심 자기설계전공 구체화 지원 </t>
    <phoneticPr fontId="3" type="noConversion"/>
  </si>
  <si>
    <t>우수사례발굴, 홍보, 확산 및 미비점보완 활용도제고</t>
    <phoneticPr fontId="3" type="noConversion"/>
  </si>
  <si>
    <t>[C-3]</t>
    <phoneticPr fontId="3" type="noConversion"/>
  </si>
  <si>
    <t>자기설계전공(학생설계전공) 관련 시행세칙 및 위원회(TFT) 진행</t>
    <phoneticPr fontId="3" type="noConversion"/>
  </si>
  <si>
    <t>자기설계전공 심사위원회 제도정비 심사기준마련</t>
    <phoneticPr fontId="3" type="noConversion"/>
  </si>
  <si>
    <t>[C-2]</t>
    <phoneticPr fontId="3" type="noConversion"/>
  </si>
  <si>
    <t xml:space="preserve">교과목 구성가이드 비교, 검토(타 대학 사례 분석 등) </t>
    <phoneticPr fontId="3" type="noConversion"/>
  </si>
  <si>
    <t>교과목 구성지침, 가이드, 사례집제공, 타 대학 사례 조사 등</t>
    <phoneticPr fontId="3" type="noConversion"/>
  </si>
  <si>
    <t>자기설계전공 설계, 심사, 이수지원체계 구축</t>
    <phoneticPr fontId="3" type="noConversion"/>
  </si>
  <si>
    <t>[C-1]</t>
    <phoneticPr fontId="3" type="noConversion"/>
  </si>
  <si>
    <t xml:space="preserve">자기설계전공(학생설계전공) 공모전 기반 각 학부(과) 회의 </t>
    <phoneticPr fontId="3" type="noConversion"/>
  </si>
  <si>
    <t>제1전공 연계한 세가지 조합유형 제도화</t>
  </si>
  <si>
    <t>자기설계전공 설계, 심사, 이수지원체계 구축</t>
  </si>
  <si>
    <t>[B-3]</t>
  </si>
  <si>
    <t>도전학기제 규정 마련 및 심화전공/심화트랙/연계전공 과정 정비</t>
    <phoneticPr fontId="3" type="noConversion"/>
  </si>
  <si>
    <t>반응형 교과 및 전공개설을 위한 TFT실시</t>
    <phoneticPr fontId="3" type="noConversion"/>
  </si>
  <si>
    <t>온디맨드과목 및 전공개설(학생수요 반영 반응형 교과체계 도입)</t>
    <phoneticPr fontId="3" type="noConversion"/>
  </si>
  <si>
    <t>나. 학생중심 과목개설 및 도전학기제 도입</t>
  </si>
  <si>
    <t>[B-2]</t>
    <phoneticPr fontId="3" type="noConversion"/>
  </si>
  <si>
    <t xml:space="preserve">도전학기제 사전 검증을 위한 관련부서 및 학부(과)회의 진행 </t>
    <phoneticPr fontId="3" type="noConversion"/>
  </si>
  <si>
    <t>분야별(첨단, 지역사회, 스토리텔링, 창업, 글로벌협력 등) 프로젝트 수행학기 도전적 환경조성으로 적성계발 및 경험학습기회 제공</t>
    <phoneticPr fontId="3" type="noConversion"/>
  </si>
  <si>
    <t>지역과 세계를 캠퍼스로 하는 도전학기제 도입</t>
    <phoneticPr fontId="3" type="noConversion"/>
  </si>
  <si>
    <t>[B-1]</t>
    <phoneticPr fontId="3" type="noConversion"/>
  </si>
  <si>
    <t>[A-3]</t>
    <phoneticPr fontId="3" type="noConversion"/>
  </si>
  <si>
    <t>반응형 교과 전공개설 및 도전학기제 운영 규정 정리</t>
    <phoneticPr fontId="3" type="noConversion"/>
  </si>
  <si>
    <t>학생 20명 이상 요청시 반응형으로 전공신설 학사제도 구축, 도전적 환경 조성 및 경험중심 학습기회 제공</t>
    <phoneticPr fontId="3" type="noConversion"/>
  </si>
  <si>
    <t>[A-1]AI기반 학사제도 다양화</t>
    <phoneticPr fontId="3" type="noConversion"/>
  </si>
  <si>
    <t>[A-2]</t>
    <phoneticPr fontId="3" type="noConversion"/>
  </si>
  <si>
    <t>온디맨드 과목 개설 관련 회의 진행</t>
    <phoneticPr fontId="3" type="noConversion"/>
  </si>
  <si>
    <t>학생 20명 이상 요청시 반응형으로 전공신설 학사제도 구축</t>
    <phoneticPr fontId="3" type="noConversion"/>
  </si>
  <si>
    <t>[A-1]</t>
    <phoneticPr fontId="3" type="noConversion"/>
  </si>
  <si>
    <t>연구보고서 내용 각 단과대학과 공유 및 차기 전공조합 모델 제시</t>
    <phoneticPr fontId="3" type="noConversion"/>
  </si>
  <si>
    <t>연구보고서 기반으로 자료 정비 및 가이드라인 작성하여 단과대학 간담회 진행</t>
    <phoneticPr fontId="3" type="noConversion"/>
  </si>
  <si>
    <t>전공조합 운영 체계화로 학생진로 맞춤 선택형 전공설계 지원</t>
    <phoneticPr fontId="3" type="noConversion"/>
  </si>
  <si>
    <t>가. 전공 조합의 다양화를 통한 학사제도 고도화</t>
  </si>
  <si>
    <t>AI기반 전공 알고리즘 활용 전공조합 TFT</t>
    <phoneticPr fontId="3" type="noConversion"/>
  </si>
  <si>
    <t>AI기반 전공 조합 알고리즘 활용 전공조합 지원(각 학과, TFT등)</t>
    <phoneticPr fontId="3" type="noConversion"/>
  </si>
  <si>
    <t>학생중심 전공 이수경로 제시(AI기반 조합 알고리즘 제시 및 관리)</t>
    <phoneticPr fontId="3" type="noConversion"/>
  </si>
  <si>
    <t>6개 전공조합 모델별 이수 로드맵 시각화 작업 및 단과대학 배포</t>
    <phoneticPr fontId="3" type="noConversion"/>
  </si>
  <si>
    <t>6개 전공조합 모델별 이수 로드맵 시각화 작업 및 각 단과대학 배포</t>
    <phoneticPr fontId="3" type="noConversion"/>
  </si>
  <si>
    <t>다전공 융합전공 자기설계 전공 등 제도 정비</t>
    <phoneticPr fontId="3" type="noConversion"/>
  </si>
  <si>
    <t>6개 전공조합 논의 진행 및 융복합 전공 개설 지원(교과목 개발/개선 지원)</t>
    <phoneticPr fontId="3" type="noConversion"/>
  </si>
  <si>
    <t>6개 전공 논의를 바탕으로 TFT회의 진행하여 융복합전공 개설 지원</t>
    <phoneticPr fontId="3" type="noConversion"/>
  </si>
  <si>
    <t>6개 전공조합 논의 진행(TFT) 및 융복합 전공개설 지원</t>
    <phoneticPr fontId="3" type="noConversion"/>
  </si>
  <si>
    <t>배정율</t>
    <phoneticPr fontId="3" type="noConversion"/>
  </si>
  <si>
    <t>차수</t>
    <phoneticPr fontId="3" type="noConversion"/>
  </si>
  <si>
    <t>선배정액</t>
    <phoneticPr fontId="3" type="noConversion"/>
  </si>
  <si>
    <t>최초예산</t>
    <phoneticPr fontId="3" type="noConversion"/>
  </si>
  <si>
    <t>산출내역</t>
    <phoneticPr fontId="3" type="noConversion"/>
  </si>
  <si>
    <t>자금코드</t>
    <phoneticPr fontId="3" type="noConversion"/>
  </si>
  <si>
    <t>세목
(사업단지침참고)</t>
    <phoneticPr fontId="3" type="noConversion"/>
  </si>
  <si>
    <t>계정코드</t>
    <phoneticPr fontId="3" type="noConversion"/>
  </si>
  <si>
    <t>교내계정과목
(드롭박스)</t>
    <phoneticPr fontId="3" type="noConversion"/>
  </si>
  <si>
    <t>한국연구재단비목
(드롭박스)</t>
    <phoneticPr fontId="3" type="noConversion"/>
  </si>
  <si>
    <t>운영내용</t>
    <phoneticPr fontId="3" type="noConversion"/>
  </si>
  <si>
    <t>세부추진방법</t>
    <phoneticPr fontId="3" type="noConversion"/>
  </si>
  <si>
    <t>추진방법</t>
    <phoneticPr fontId="3" type="noConversion"/>
  </si>
  <si>
    <t>추진내용
(드롭박스)</t>
    <phoneticPr fontId="3" type="noConversion"/>
  </si>
  <si>
    <t>세부과제
(드롭박스)</t>
    <phoneticPr fontId="3" type="noConversion"/>
  </si>
  <si>
    <t>과제명</t>
    <phoneticPr fontId="3" type="noConversion"/>
  </si>
  <si>
    <t>부서코드</t>
    <phoneticPr fontId="3" type="noConversion"/>
  </si>
  <si>
    <t>부서
(팀명)</t>
    <phoneticPr fontId="3" type="noConversion"/>
  </si>
  <si>
    <t>영역</t>
    <phoneticPr fontId="3" type="noConversion"/>
  </si>
  <si>
    <t>영역1</t>
    <phoneticPr fontId="3" type="noConversion"/>
  </si>
  <si>
    <t>2026.8.14</t>
    <phoneticPr fontId="3" type="noConversion"/>
  </si>
  <si>
    <t>업데이트일</t>
    <phoneticPr fontId="3" type="noConversion"/>
  </si>
  <si>
    <t>2026 대학혁신지원사업 예산내역</t>
    <phoneticPr fontId="3" type="noConversion"/>
  </si>
  <si>
    <t>NDZ251002</t>
    <phoneticPr fontId="3" type="noConversion"/>
  </si>
  <si>
    <t>NDZ251001</t>
    <phoneticPr fontId="3" type="noConversion"/>
  </si>
  <si>
    <t>AX, SDGs, Glocal 가치 반영 교양 과목 개발 공모, 과제연구(외부)</t>
    <phoneticPr fontId="3" type="noConversion"/>
  </si>
  <si>
    <t>원격교육 인프라 환경개선 및 고도화</t>
  </si>
  <si>
    <t>교수 역량 우수사례 영상 자료 제작(미융원 문의 콘텐츠1개 25분 60만원)</t>
    <phoneticPr fontId="3" type="noConversion"/>
  </si>
  <si>
    <t>나. 사용자 편의성을 확대한 AI에듀가이드 구현</t>
    <phoneticPr fontId="3" type="noConversion"/>
  </si>
  <si>
    <t>4. 인수인계로 인한 중복근로기간, 미충원공백등 차액발생가능</t>
    <phoneticPr fontId="3" type="noConversion"/>
  </si>
  <si>
    <t>3. 신규교직원 예산에 기존교직원 인센티브 지급액 포함</t>
    <phoneticPr fontId="3" type="noConversion"/>
  </si>
  <si>
    <t>2. 학사지도사 급여 기존교직원→신규교직원이동(학사지도사3명/PBS1명)</t>
    <phoneticPr fontId="3" type="noConversion"/>
  </si>
  <si>
    <t>1. 2025년 미충원 상태 운영하여 4.8억 수준 운영</t>
    <phoneticPr fontId="3" type="noConversion"/>
  </si>
  <si>
    <t>집행액</t>
    <phoneticPr fontId="3" type="noConversion"/>
  </si>
  <si>
    <t>기존교직원지원</t>
    <phoneticPr fontId="3" type="noConversion"/>
  </si>
  <si>
    <t>※ 2026.3.24.일자 17명 충원(RC1명/미융원1명/IR센터1명 결원)</t>
    <phoneticPr fontId="3" type="noConversion"/>
  </si>
  <si>
    <t>신규교직원</t>
    <phoneticPr fontId="3" type="noConversion"/>
  </si>
  <si>
    <t>합계</t>
    <phoneticPr fontId="3" type="noConversion"/>
  </si>
  <si>
    <t>본사업비25%</t>
    <phoneticPr fontId="3" type="noConversion"/>
  </si>
  <si>
    <t>인건비예산(25%)</t>
    <phoneticPr fontId="3" type="noConversion"/>
  </si>
  <si>
    <t>교육전문연구원</t>
    <phoneticPr fontId="3" type="noConversion"/>
  </si>
  <si>
    <t>총사업비</t>
    <phoneticPr fontId="3" type="noConversion"/>
  </si>
  <si>
    <t xml:space="preserve">행정인력 </t>
    <phoneticPr fontId="3" type="noConversion"/>
  </si>
  <si>
    <t>2026년(예상)</t>
    <phoneticPr fontId="3" type="noConversion"/>
  </si>
  <si>
    <t>2025년</t>
    <phoneticPr fontId="3" type="noConversion"/>
  </si>
  <si>
    <t>구분</t>
    <phoneticPr fontId="3" type="noConversion"/>
  </si>
  <si>
    <t>인원</t>
    <phoneticPr fontId="3" type="noConversion"/>
  </si>
  <si>
    <t xml:space="preserve"> </t>
    <phoneticPr fontId="3" type="noConversion"/>
  </si>
  <si>
    <t>감액</t>
    <phoneticPr fontId="3" type="noConversion"/>
  </si>
  <si>
    <t>40명</t>
    <phoneticPr fontId="3" type="noConversion"/>
  </si>
  <si>
    <t>기존교직원</t>
    <phoneticPr fontId="3" type="noConversion"/>
  </si>
  <si>
    <t>20명</t>
    <phoneticPr fontId="3" type="noConversion"/>
  </si>
  <si>
    <t>시간외수당(기존교직원 포함)</t>
    <phoneticPr fontId="3" type="noConversion"/>
  </si>
  <si>
    <t>법인부담금(11.2%)</t>
    <phoneticPr fontId="3" type="noConversion"/>
  </si>
  <si>
    <t>퇴직급여충당금(연봉/12)</t>
    <phoneticPr fontId="3" type="noConversion"/>
  </si>
  <si>
    <t>2년차(6월)</t>
    <phoneticPr fontId="3" type="noConversion"/>
  </si>
  <si>
    <t>2년차(9월)</t>
    <phoneticPr fontId="3" type="noConversion"/>
  </si>
  <si>
    <t>2년차(12월)</t>
    <phoneticPr fontId="3" type="noConversion"/>
  </si>
  <si>
    <t>박사급</t>
    <phoneticPr fontId="3" type="noConversion"/>
  </si>
  <si>
    <t>석사급</t>
    <phoneticPr fontId="3" type="noConversion"/>
  </si>
  <si>
    <t>정소라</t>
    <phoneticPr fontId="3" type="noConversion"/>
  </si>
  <si>
    <t>박세영</t>
    <phoneticPr fontId="3" type="noConversion"/>
  </si>
  <si>
    <t>임성환</t>
    <phoneticPr fontId="3" type="noConversion"/>
  </si>
  <si>
    <t>권의정</t>
    <phoneticPr fontId="3" type="noConversion"/>
  </si>
  <si>
    <t>2년차(4월)</t>
    <phoneticPr fontId="3" type="noConversion"/>
  </si>
  <si>
    <t>맹현주</t>
    <phoneticPr fontId="3" type="noConversion"/>
  </si>
  <si>
    <t>김민영</t>
    <phoneticPr fontId="3" type="noConversion"/>
  </si>
  <si>
    <t>감원정</t>
    <phoneticPr fontId="3" type="noConversion"/>
  </si>
  <si>
    <t>김승환</t>
    <phoneticPr fontId="3" type="noConversion"/>
  </si>
  <si>
    <t>사고</t>
    <phoneticPr fontId="3" type="noConversion"/>
  </si>
  <si>
    <t>송지수</t>
    <phoneticPr fontId="3" type="noConversion"/>
  </si>
  <si>
    <t>이순용</t>
    <phoneticPr fontId="3" type="noConversion"/>
  </si>
  <si>
    <t>장치완</t>
    <phoneticPr fontId="3" type="noConversion"/>
  </si>
  <si>
    <t>RC</t>
    <phoneticPr fontId="3" type="noConversion"/>
  </si>
  <si>
    <t>이경희</t>
    <phoneticPr fontId="3" type="noConversion"/>
  </si>
  <si>
    <t>2년차(4,6,7월)</t>
    <phoneticPr fontId="3" type="noConversion"/>
  </si>
  <si>
    <t>사업단</t>
    <phoneticPr fontId="3" type="noConversion"/>
  </si>
  <si>
    <t>김희도</t>
    <phoneticPr fontId="3" type="noConversion"/>
  </si>
  <si>
    <t>비고</t>
    <phoneticPr fontId="3" type="noConversion"/>
  </si>
  <si>
    <t>연봉</t>
    <phoneticPr fontId="3" type="noConversion"/>
  </si>
  <si>
    <t>부서</t>
    <phoneticPr fontId="3" type="noConversion"/>
  </si>
  <si>
    <t>2026.3.24. 기준</t>
    <phoneticPr fontId="3" type="noConversion"/>
  </si>
  <si>
    <t>2026년 혁신지원사업 인건비 운영계획(안)</t>
    <phoneticPr fontId="3" type="noConversion"/>
  </si>
  <si>
    <t>3주기사업운영</t>
    <phoneticPr fontId="3" type="noConversion"/>
  </si>
  <si>
    <t>혁신운영_그 밖의 사업운영 경비</t>
    <phoneticPr fontId="3" type="noConversion"/>
  </si>
  <si>
    <t>사업운영</t>
    <phoneticPr fontId="3" type="noConversion"/>
  </si>
  <si>
    <t>혁신</t>
    <phoneticPr fontId="3" type="noConversion"/>
  </si>
  <si>
    <t>혁신운영_장학금</t>
    <phoneticPr fontId="3" type="noConversion"/>
  </si>
  <si>
    <t>NDZ251005</t>
  </si>
  <si>
    <t>혁신운영_인건비</t>
    <phoneticPr fontId="3" type="noConversion"/>
  </si>
  <si>
    <t>NDZ251004</t>
  </si>
  <si>
    <t>혁신운영_교육연구환경개선비</t>
    <phoneticPr fontId="3" type="noConversion"/>
  </si>
  <si>
    <t>NDZ251003</t>
    <phoneticPr fontId="3" type="noConversion"/>
  </si>
  <si>
    <t>혁신운영_실험실습장비및기자재구입비</t>
    <phoneticPr fontId="3" type="noConversion"/>
  </si>
  <si>
    <t>혁신운영_교육연구프로그램개발운영비</t>
    <phoneticPr fontId="3" type="noConversion"/>
  </si>
  <si>
    <t>부서사용불가</t>
    <phoneticPr fontId="3" type="noConversion"/>
  </si>
  <si>
    <t>[F-3]지속가능한 발전을 위한 글로벌 사회 혁신</t>
    <phoneticPr fontId="3" type="noConversion"/>
  </si>
  <si>
    <t>혁신F-3그 밖의 사업운영 경비</t>
  </si>
  <si>
    <t>3</t>
  </si>
  <si>
    <t>F-3</t>
    <phoneticPr fontId="3" type="noConversion"/>
  </si>
  <si>
    <t>혁신F-3장학금</t>
  </si>
  <si>
    <t>혁신F-3인건비</t>
  </si>
  <si>
    <t>혁신F-3교육연구환경개선비</t>
  </si>
  <si>
    <t>혁신F-3실험실습장비및기자재구입비</t>
  </si>
  <si>
    <t>혁신F-3교육연구프로그램개발운영비</t>
  </si>
  <si>
    <t>혁신F-2그 밖의 사업운영 경비</t>
  </si>
  <si>
    <t>2</t>
  </si>
  <si>
    <t>F-2</t>
    <phoneticPr fontId="3" type="noConversion"/>
  </si>
  <si>
    <t>혁신F-2장학금</t>
  </si>
  <si>
    <t>혁신F-2인건비</t>
  </si>
  <si>
    <t>혁신F-2교육연구환경개선비</t>
  </si>
  <si>
    <t>혁신F-2실험실습장비및기자재구입비</t>
  </si>
  <si>
    <t>혁신F-2교육연구프로그램개발운영비</t>
    <phoneticPr fontId="3" type="noConversion"/>
  </si>
  <si>
    <t>혁신F-1그 밖의 사업운영 경비</t>
  </si>
  <si>
    <t>1</t>
  </si>
  <si>
    <t>F-1</t>
    <phoneticPr fontId="3" type="noConversion"/>
  </si>
  <si>
    <t>혁신F-1장학금</t>
  </si>
  <si>
    <t>혁신F-1인건비</t>
  </si>
  <si>
    <t>혁신F-1교육연구환경개선비</t>
  </si>
  <si>
    <t>혁신F-1실험실습장비및기자재구입비</t>
  </si>
  <si>
    <t>혁신F-1교육연구프로그램개발운영비</t>
  </si>
  <si>
    <t>혁신E-3그 밖의 사업운영 경비</t>
  </si>
  <si>
    <t>E-3</t>
    <phoneticPr fontId="3" type="noConversion"/>
  </si>
  <si>
    <t>혁신E-3장학금</t>
  </si>
  <si>
    <t>혁신E-3인건비</t>
  </si>
  <si>
    <t>혁신E-3교육연구환경개선비</t>
  </si>
  <si>
    <t>혁신E-3실험실습장비및기자재구입비</t>
  </si>
  <si>
    <t>혁신E-3교육연구프로그램개발운영비</t>
  </si>
  <si>
    <t>혁신E-2그 밖의 사업운영 경비</t>
  </si>
  <si>
    <t>E-2</t>
    <phoneticPr fontId="3" type="noConversion"/>
  </si>
  <si>
    <t>혁신E-2장학금</t>
  </si>
  <si>
    <t>혁신E-2인건비</t>
  </si>
  <si>
    <t>혁신E-2교육연구환경개선비</t>
  </si>
  <si>
    <t>혁신E-2실험실습장비및기자재구입비</t>
  </si>
  <si>
    <t>혁신E-2교육연구프로그램개발운영비</t>
  </si>
  <si>
    <t>혁신E-1그 밖의 사업운영 경비</t>
  </si>
  <si>
    <t>E-1</t>
    <phoneticPr fontId="3" type="noConversion"/>
  </si>
  <si>
    <t>혁신E-1장학금</t>
  </si>
  <si>
    <t>혁신E-1인건비</t>
  </si>
  <si>
    <t>혁신E-1교육연구환경개선비</t>
  </si>
  <si>
    <t>혁신E-1실험실습장비및기자재구입비</t>
  </si>
  <si>
    <t>혁신E-1교육연구프로그램개발운영비</t>
  </si>
  <si>
    <t>혁신D-3그 밖의 사업운영 경비</t>
  </si>
  <si>
    <t>D-3</t>
    <phoneticPr fontId="3" type="noConversion"/>
  </si>
  <si>
    <t>혁신D-3장학금</t>
  </si>
  <si>
    <t>혁신D-3인건비</t>
  </si>
  <si>
    <t>혁신D-3교육연구환경개선비</t>
  </si>
  <si>
    <t>혁신D-3실험실습장비및기자재구입비</t>
  </si>
  <si>
    <t>혁신D-3교육연구프로그램개발운영비</t>
  </si>
  <si>
    <t>혁신D-2그 밖의 사업운영 경비</t>
  </si>
  <si>
    <t>D-2</t>
    <phoneticPr fontId="3" type="noConversion"/>
  </si>
  <si>
    <t>혁신D-2장학금</t>
  </si>
  <si>
    <t>혁신D-2인건비</t>
  </si>
  <si>
    <t>혁신D-2교육연구환경개선비</t>
  </si>
  <si>
    <t>혁신D-2실험실습장비및기자재구입비</t>
  </si>
  <si>
    <t>혁신D-2교육연구프로그램개발운영비</t>
    <phoneticPr fontId="3" type="noConversion"/>
  </si>
  <si>
    <t>혁신D-1그 밖의 사업운영 경비</t>
  </si>
  <si>
    <t>D-1</t>
    <phoneticPr fontId="3" type="noConversion"/>
  </si>
  <si>
    <t>혁신D-1장학금</t>
  </si>
  <si>
    <t>혁신D-1인건비</t>
  </si>
  <si>
    <t>혁신D-1교육연구환경개선비</t>
  </si>
  <si>
    <t>혁신D-1실험실습장비및기자재구입비</t>
  </si>
  <si>
    <t>혁신D-1교육연구프로그램개발운영비</t>
  </si>
  <si>
    <t>혁신C-3그 밖의 사업운영 경비</t>
  </si>
  <si>
    <t>C-3</t>
    <phoneticPr fontId="3" type="noConversion"/>
  </si>
  <si>
    <t>혁신C-3장학금</t>
  </si>
  <si>
    <t>혁신C-3인건비</t>
  </si>
  <si>
    <t>혁신C-3교육연구환경개선비</t>
  </si>
  <si>
    <t>혁신C-3실험실습장비및기자재구입비</t>
  </si>
  <si>
    <t>혁신C-3교육연구프로그램개발운영비</t>
  </si>
  <si>
    <t>가. SDGs 기반 글로벌 공동 수업 혁신</t>
  </si>
  <si>
    <t>혁신C-2그 밖의 사업운영 경비</t>
  </si>
  <si>
    <t>C-2</t>
    <phoneticPr fontId="3" type="noConversion"/>
  </si>
  <si>
    <t>혁신C-2장학금</t>
  </si>
  <si>
    <t>혁신C-2인건비</t>
  </si>
  <si>
    <t>혁신C-2교육연구환경개선비</t>
  </si>
  <si>
    <t>혁신C-2실험실습장비및기자재구입비</t>
  </si>
  <si>
    <t>혁신C-2교육연구프로그램개발운영비</t>
  </si>
  <si>
    <t>혁신C-1그 밖의 사업운영 경비</t>
  </si>
  <si>
    <t>C-1</t>
    <phoneticPr fontId="3" type="noConversion"/>
  </si>
  <si>
    <t>혁신C-1장학금</t>
  </si>
  <si>
    <t>혁신C-1인건비</t>
  </si>
  <si>
    <t>혁신C-1교육연구환경개선비</t>
  </si>
  <si>
    <t>혁신C-1실험실습장비및기자재구입비</t>
  </si>
  <si>
    <t>혁신C-1교육연구프로그램개발운영비</t>
  </si>
  <si>
    <t>가. 교원 인사제도 개선</t>
  </si>
  <si>
    <t>[B-3]마음건강 마이크로케어 플랫폼 고도화</t>
    <phoneticPr fontId="3" type="noConversion"/>
  </si>
  <si>
    <t>혁신B-3그 밖의 사업운영 경비</t>
  </si>
  <si>
    <t>B-3</t>
    <phoneticPr fontId="3" type="noConversion"/>
  </si>
  <si>
    <t>혁신B-3장학금</t>
  </si>
  <si>
    <t>혁신B-3인건비</t>
  </si>
  <si>
    <t>혁신B-3교육연구환경개선비</t>
  </si>
  <si>
    <t>혁신B-3실험실습장비및기자재구입비</t>
  </si>
  <si>
    <t>혁신B-3교육연구프로그램개발운영비</t>
  </si>
  <si>
    <t>혁신B-2그 밖의 사업운영 경비</t>
  </si>
  <si>
    <t>B-2</t>
    <phoneticPr fontId="3" type="noConversion"/>
  </si>
  <si>
    <t>혁신B-2장학금</t>
  </si>
  <si>
    <t>혁신B-2인건비</t>
  </si>
  <si>
    <t>8752</t>
  </si>
  <si>
    <t>원주박물관</t>
  </si>
  <si>
    <t>혁신B-2교육연구환경개선비</t>
  </si>
  <si>
    <t>8725</t>
  </si>
  <si>
    <t>미래평생교육원</t>
  </si>
  <si>
    <t>혁신B-2실험실습장비및기자재구입비</t>
  </si>
  <si>
    <t>직원퇴직:임시직퇴직</t>
  </si>
  <si>
    <t>혁신B-2교육연구프로그램개발운영비</t>
  </si>
  <si>
    <t>8718</t>
  </si>
  <si>
    <t>현장실습지원센터</t>
  </si>
  <si>
    <t>혁신B-1그 밖의 사업운영 경비</t>
  </si>
  <si>
    <t>B-1</t>
    <phoneticPr fontId="3" type="noConversion"/>
  </si>
  <si>
    <t>8717</t>
  </si>
  <si>
    <t>머레이봉사센터</t>
  </si>
  <si>
    <t>혁신B-1장학금</t>
  </si>
  <si>
    <t>8714</t>
  </si>
  <si>
    <t>진로교육센터</t>
  </si>
  <si>
    <t>혁신B-1인건비</t>
  </si>
  <si>
    <t>8711</t>
  </si>
  <si>
    <t>경력개발팀</t>
  </si>
  <si>
    <t>혁신B-1교육연구환경개선비</t>
  </si>
  <si>
    <t>8710</t>
  </si>
  <si>
    <t>창업교육센터</t>
  </si>
  <si>
    <t>직원제수당:시간외수당</t>
  </si>
  <si>
    <t>혁신B-1실험실습장비및기자재구입비</t>
  </si>
  <si>
    <t>8701</t>
  </si>
  <si>
    <t>비전임교원수당</t>
  </si>
  <si>
    <t>혁신B-1교육연구프로그램개발운영비</t>
  </si>
  <si>
    <t>비전임교원인건비</t>
  </si>
  <si>
    <t>혁신A-3그 밖의 사업운영 경비</t>
  </si>
  <si>
    <t>A-3</t>
    <phoneticPr fontId="3" type="noConversion"/>
  </si>
  <si>
    <t>8673</t>
  </si>
  <si>
    <t>안전관리팀</t>
  </si>
  <si>
    <t>혁신A-3장학금</t>
  </si>
  <si>
    <t>8671</t>
  </si>
  <si>
    <t>시설관리팀</t>
  </si>
  <si>
    <t>기타운영비:부서별</t>
    <phoneticPr fontId="27" type="noConversion"/>
  </si>
  <si>
    <t>혁신A-3인건비</t>
  </si>
  <si>
    <t>8655</t>
  </si>
  <si>
    <t>인권센터</t>
  </si>
  <si>
    <t>혁신A-3교육연구환경개선비</t>
  </si>
  <si>
    <t>8651</t>
  </si>
  <si>
    <t>혁신A-3실험실습장비및기자재구입비</t>
  </si>
  <si>
    <t>[E-2]디지털 기반 교육자원 재구조화</t>
    <phoneticPr fontId="3" type="noConversion"/>
  </si>
  <si>
    <t>8647</t>
  </si>
  <si>
    <t>심리상담센터</t>
  </si>
  <si>
    <t>비전임교원보험통합</t>
  </si>
  <si>
    <t>혁신A-3교육연구프로그램개발운영비</t>
  </si>
  <si>
    <t>8641</t>
  </si>
  <si>
    <t>학생지원팀</t>
  </si>
  <si>
    <t>혁신A-2그 밖의 사업운영 경비</t>
  </si>
  <si>
    <t>A-2</t>
    <phoneticPr fontId="3" type="noConversion"/>
  </si>
  <si>
    <t>8639</t>
  </si>
  <si>
    <t>혁신A-2장학금</t>
  </si>
  <si>
    <t>[D-2]진단-맞춤형 기초학습 생태계 구축</t>
    <phoneticPr fontId="3" type="noConversion"/>
  </si>
  <si>
    <t>8634</t>
  </si>
  <si>
    <t>학사지원팀</t>
  </si>
  <si>
    <t>혁신A-2인건비</t>
  </si>
  <si>
    <t>8631</t>
  </si>
  <si>
    <t>교무팀</t>
  </si>
  <si>
    <t>기타학생경비:부서별</t>
  </si>
  <si>
    <t>혁신A-2교육연구환경개선비</t>
  </si>
  <si>
    <t>[C-3]AI-Data 기반 교육과정 성과 관리</t>
    <phoneticPr fontId="3" type="noConversion"/>
  </si>
  <si>
    <t>8627</t>
  </si>
  <si>
    <t>대외협력팀</t>
  </si>
  <si>
    <t>혁신A-2실험실습장비및기자재구입비</t>
  </si>
  <si>
    <t>8623</t>
  </si>
  <si>
    <t>IR센터</t>
  </si>
  <si>
    <t>혁신A-2교육연구프로그램개발운영비</t>
  </si>
  <si>
    <t>8621</t>
  </si>
  <si>
    <t>혁신전략기획팀</t>
  </si>
  <si>
    <t>혁신A-1그 밖의 사업운영 경비</t>
  </si>
  <si>
    <t>A-1</t>
    <phoneticPr fontId="3" type="noConversion"/>
  </si>
  <si>
    <t>7840</t>
  </si>
  <si>
    <t>일반대학원</t>
  </si>
  <si>
    <t>혁신A-1장학금</t>
  </si>
  <si>
    <t>7810</t>
  </si>
  <si>
    <t>정경대학원</t>
  </si>
  <si>
    <t>혁신A-1인건비</t>
  </si>
  <si>
    <t>2917</t>
  </si>
  <si>
    <t>작업치료학과</t>
  </si>
  <si>
    <t>혁신A-1교육연구환경개선비</t>
  </si>
  <si>
    <t>2916</t>
  </si>
  <si>
    <t>물리치료학과</t>
  </si>
  <si>
    <t>혁신A-1실험실습장비및기자재구입비</t>
  </si>
  <si>
    <t>2903</t>
  </si>
  <si>
    <t>임상병리학</t>
  </si>
  <si>
    <t>혁신A-1교육연구프로그램개발운영비</t>
  </si>
  <si>
    <t>2805</t>
  </si>
  <si>
    <t>치위생학과</t>
  </si>
  <si>
    <t>실험실습비/학부</t>
    <phoneticPr fontId="3" type="noConversion"/>
  </si>
  <si>
    <t>과제</t>
    <phoneticPr fontId="3" type="noConversion"/>
  </si>
  <si>
    <t>자금코드명</t>
    <phoneticPr fontId="3" type="noConversion"/>
  </si>
  <si>
    <t>비목</t>
    <phoneticPr fontId="3" type="noConversion"/>
  </si>
  <si>
    <t>과제번호</t>
    <phoneticPr fontId="3" type="noConversion"/>
  </si>
  <si>
    <t>고유번호</t>
    <phoneticPr fontId="3" type="noConversion"/>
  </si>
  <si>
    <t>추진내용</t>
    <phoneticPr fontId="3" type="noConversion"/>
  </si>
  <si>
    <t>세부과제</t>
    <phoneticPr fontId="3" type="noConversion"/>
  </si>
  <si>
    <t>예산부서</t>
  </si>
  <si>
    <t>예산부서내역</t>
  </si>
  <si>
    <t>계정과목명</t>
    <phoneticPr fontId="3" type="noConversion"/>
  </si>
  <si>
    <t>2025년 반납이자 증액요청</t>
    <phoneticPr fontId="3" type="noConversion"/>
  </si>
  <si>
    <t>임시직_급량비</t>
  </si>
  <si>
    <t>원주의대전출:기타</t>
  </si>
  <si>
    <t>임의조정</t>
    <phoneticPr fontId="3" type="noConversion"/>
  </si>
  <si>
    <t>소모품비/부서별</t>
  </si>
  <si>
    <t>합계 : 전체예산</t>
  </si>
  <si>
    <t>SAP</t>
    <phoneticPr fontId="3" type="noConversion"/>
  </si>
  <si>
    <t>예산내역</t>
    <phoneticPr fontId="3" type="noConversion"/>
  </si>
  <si>
    <t>2026 사업비</t>
    <phoneticPr fontId="3" type="noConversion"/>
  </si>
  <si>
    <t>총 합계액</t>
    <phoneticPr fontId="3" type="noConversion"/>
  </si>
  <si>
    <t>전년도 이월금</t>
  </si>
  <si>
    <r>
      <t>801,000,000</t>
    </r>
    <r>
      <rPr>
        <sz val="10"/>
        <color rgb="FF0000FF"/>
        <rFont val="KoPubWorld돋움체 Medium"/>
        <family val="3"/>
        <charset val="129"/>
      </rPr>
      <t>▾</t>
    </r>
  </si>
  <si>
    <t>소계(C)</t>
  </si>
  <si>
    <r>
      <t>349,000,000</t>
    </r>
    <r>
      <rPr>
        <sz val="10"/>
        <color rgb="FF0000FF"/>
        <rFont val="KoPubWorld돋움체 Medium"/>
        <family val="3"/>
        <charset val="129"/>
      </rPr>
      <t>▾</t>
    </r>
  </si>
  <si>
    <t>(예정없음)</t>
    <phoneticPr fontId="3" type="noConversion"/>
  </si>
  <si>
    <t>사업비 조정(2025. 12.)</t>
  </si>
  <si>
    <r>
      <t>368,000,000</t>
    </r>
    <r>
      <rPr>
        <sz val="10"/>
        <color rgb="FF0000FF"/>
        <rFont val="KoPubWorld돋움체 Medium"/>
        <family val="3"/>
        <charset val="129"/>
      </rPr>
      <t>▾</t>
    </r>
  </si>
  <si>
    <t>정성성과 사업비</t>
  </si>
  <si>
    <t>-</t>
  </si>
  <si>
    <t>기회균형(국가장학금) 포뮬러</t>
  </si>
  <si>
    <r>
      <t>1,000,000</t>
    </r>
    <r>
      <rPr>
        <sz val="10"/>
        <color rgb="FFFF0000"/>
        <rFont val="KoPubWorld돋움체 Medium"/>
        <family val="3"/>
        <charset val="129"/>
      </rPr>
      <t>▴</t>
    </r>
  </si>
  <si>
    <t>기회균형(규모지수) 포뮬러 사업비</t>
  </si>
  <si>
    <r>
      <t>85,000,000</t>
    </r>
    <r>
      <rPr>
        <sz val="10"/>
        <color rgb="FF0000FF"/>
        <rFont val="KoPubWorld돋움체 Medium"/>
        <family val="3"/>
        <charset val="129"/>
      </rPr>
      <t>▾</t>
    </r>
  </si>
  <si>
    <t>기본 포뮬러 사업비</t>
  </si>
  <si>
    <t>2026학년도(B)</t>
  </si>
  <si>
    <t>2025학년도(A)</t>
  </si>
  <si>
    <t>증감액(B-A)</t>
  </si>
  <si>
    <t>사업비 비교</t>
    <phoneticPr fontId="3" type="noConversion"/>
  </si>
  <si>
    <t>총 합계</t>
  </si>
  <si>
    <t>기관인증평가</t>
    <phoneticPr fontId="3" type="noConversion"/>
  </si>
  <si>
    <t>소계</t>
  </si>
  <si>
    <t>미배정 요약</t>
  </si>
  <si>
    <t>미배정</t>
  </si>
  <si>
    <t>전기요금지원 요약</t>
  </si>
  <si>
    <t>전기요금지원</t>
  </si>
  <si>
    <t>인건비지원 요약</t>
  </si>
  <si>
    <t>인증평가</t>
    <phoneticPr fontId="3" type="noConversion"/>
  </si>
  <si>
    <t>인건비지원</t>
  </si>
  <si>
    <t>미래대학혁신지원사업단 요약</t>
  </si>
  <si>
    <t>사업단운영비+전담인력인건비</t>
    <phoneticPr fontId="3" type="noConversion"/>
  </si>
  <si>
    <t>혁신전략기획팀 요약</t>
  </si>
  <si>
    <t>미래융합교육혁신원 요약</t>
  </si>
  <si>
    <t>머레이봉사센터 요약</t>
  </si>
  <si>
    <t>이니셔티브연구용역</t>
    <phoneticPr fontId="3" type="noConversion"/>
  </si>
  <si>
    <t>인사총무팀 요약</t>
  </si>
  <si>
    <t>인권센터 요약</t>
  </si>
  <si>
    <t>원주박물관 요약</t>
  </si>
  <si>
    <t>안전관리팀 요약</t>
  </si>
  <si>
    <t>화재경보기설치</t>
    <phoneticPr fontId="3" type="noConversion"/>
  </si>
  <si>
    <t>시설관리팀 요약</t>
  </si>
  <si>
    <t>스포츠센터 지붕공사</t>
    <phoneticPr fontId="3" type="noConversion"/>
  </si>
  <si>
    <t>미래평생교육원 요약</t>
  </si>
  <si>
    <t>페스티벌(가칭) 지원</t>
    <phoneticPr fontId="3" type="noConversion"/>
  </si>
  <si>
    <t>연구 용역</t>
    <phoneticPr fontId="3" type="noConversion"/>
  </si>
  <si>
    <t>기회균형장학금</t>
    <phoneticPr fontId="3" type="noConversion"/>
  </si>
  <si>
    <t>대외협력팀 요약</t>
  </si>
  <si>
    <t>연세콘서트시리즈운영</t>
    <phoneticPr fontId="3" type="noConversion"/>
  </si>
  <si>
    <t>성과포럼</t>
    <phoneticPr fontId="3" type="noConversion"/>
  </si>
  <si>
    <t>경력개발팀 요약</t>
  </si>
  <si>
    <t>IR센터 요약</t>
  </si>
  <si>
    <t>교육수요자만족도조사</t>
    <phoneticPr fontId="3" type="noConversion"/>
  </si>
  <si>
    <t>정보통신팀 요약</t>
  </si>
  <si>
    <t>전환기교체</t>
    <phoneticPr fontId="3" type="noConversion"/>
  </si>
  <si>
    <t>정보통신팀</t>
  </si>
  <si>
    <t>연구환경개선</t>
    <phoneticPr fontId="3" type="noConversion"/>
  </si>
  <si>
    <t>스포츠센터 수영장공사</t>
    <phoneticPr fontId="3" type="noConversion"/>
  </si>
  <si>
    <t>간호대학 개선 지원</t>
    <phoneticPr fontId="3" type="noConversion"/>
  </si>
  <si>
    <t>교무팀 요약</t>
  </si>
  <si>
    <t>JA교원관련</t>
    <phoneticPr fontId="3" type="noConversion"/>
  </si>
  <si>
    <t>RC융합대학 요약</t>
  </si>
  <si>
    <t>전공탐색박람회,대학학문의세계</t>
    <phoneticPr fontId="3" type="noConversion"/>
  </si>
  <si>
    <t>디베이트교과, 연구</t>
    <phoneticPr fontId="3" type="noConversion"/>
  </si>
  <si>
    <t>신입생 진단평가</t>
    <phoneticPr fontId="3" type="noConversion"/>
  </si>
  <si>
    <t>문화제, 체육대회, 자율형커뮤니티</t>
    <phoneticPr fontId="3" type="noConversion"/>
  </si>
  <si>
    <t>리더스아카데미, 마스터스아카데미</t>
    <phoneticPr fontId="3" type="noConversion"/>
  </si>
  <si>
    <t>미래도약패널운영(1.2억)</t>
    <phoneticPr fontId="3" type="noConversion"/>
  </si>
  <si>
    <t>비교과박람회</t>
    <phoneticPr fontId="3" type="noConversion"/>
  </si>
  <si>
    <t>어도비(1.3억)</t>
    <phoneticPr fontId="3" type="noConversion"/>
  </si>
  <si>
    <t xml:space="preserve"> FC,OC 개발 및 운영</t>
    <phoneticPr fontId="3" type="noConversion"/>
  </si>
  <si>
    <t>6P운영</t>
    <phoneticPr fontId="3" type="noConversion"/>
  </si>
  <si>
    <t>심리상담센터 요약</t>
  </si>
  <si>
    <t>객원상담사운영</t>
    <phoneticPr fontId="3" type="noConversion"/>
  </si>
  <si>
    <t>온라인컨설팅(1.1억)</t>
    <phoneticPr fontId="3" type="noConversion"/>
  </si>
  <si>
    <t>동문네트워크, 자율기획예산제</t>
    <phoneticPr fontId="3" type="noConversion"/>
  </si>
  <si>
    <t>With-Yonsei 개발 용역</t>
    <phoneticPr fontId="3" type="noConversion"/>
  </si>
  <si>
    <t>학사지원팀 요약</t>
  </si>
  <si>
    <t>학사앱 개발 용역</t>
    <phoneticPr fontId="3" type="noConversion"/>
  </si>
  <si>
    <t>현장실습지원센터 요약</t>
  </si>
  <si>
    <t>캡스톤디자인 운영</t>
    <phoneticPr fontId="3" type="noConversion"/>
  </si>
  <si>
    <t>회의, 연구</t>
    <phoneticPr fontId="3" type="noConversion"/>
  </si>
  <si>
    <t>연구, 회의</t>
    <phoneticPr fontId="3" type="noConversion"/>
  </si>
  <si>
    <t>주요내용</t>
    <phoneticPr fontId="3" type="noConversion"/>
  </si>
  <si>
    <t>선배정</t>
  </si>
  <si>
    <t>배정예산</t>
  </si>
  <si>
    <t>추진내용</t>
  </si>
  <si>
    <t>부서</t>
  </si>
  <si>
    <t>세부과제</t>
  </si>
  <si>
    <r>
      <t>2026년 대학혁신지원사업 사업비 배정 현황</t>
    </r>
    <r>
      <rPr>
        <sz val="10"/>
        <color theme="1"/>
        <rFont val="KoPubWorld돋움체 Bold"/>
        <family val="3"/>
        <charset val="129"/>
      </rPr>
      <t>(2026.8.20. 기준)</t>
    </r>
    <phoneticPr fontId="3" type="noConversion"/>
  </si>
  <si>
    <t>실험실습장비및기자재구입비</t>
  </si>
  <si>
    <t>열 레이블</t>
  </si>
  <si>
    <t>합계 : 최초예산</t>
    <phoneticPr fontId="3" type="noConversion"/>
  </si>
  <si>
    <t>이월금</t>
  </si>
  <si>
    <t>사업계획서 제출 역산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</si>
</sst>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4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10"/>
      <color rgb="FFFF0000"/>
      <name val="굴림"/>
      <family val="3"/>
      <charset val="129"/>
    </font>
    <font>
      <sz val="10"/>
      <name val="굴림"/>
      <family val="3"/>
      <charset val="129"/>
    </font>
    <font>
      <sz val="10"/>
      <color rgb="FF32363A"/>
      <name val="Arial"/>
      <family val="2"/>
    </font>
    <font>
      <sz val="10"/>
      <color rgb="FF000000"/>
      <name val="굴림"/>
      <family val="3"/>
      <charset val="129"/>
    </font>
    <font>
      <sz val="10"/>
      <color rgb="FF00B050"/>
      <name val="굴림"/>
      <family val="3"/>
      <charset val="129"/>
    </font>
    <font>
      <sz val="10"/>
      <color rgb="FFC00000"/>
      <name val="굴림"/>
      <family val="3"/>
      <charset val="129"/>
    </font>
    <font>
      <sz val="12"/>
      <color theme="1"/>
      <name val="굴림"/>
      <family val="3"/>
      <charset val="129"/>
    </font>
    <font>
      <sz val="10"/>
      <color rgb="FF0070C0"/>
      <name val="굴림"/>
      <family val="3"/>
      <charset val="129"/>
    </font>
    <font>
      <sz val="10"/>
      <color rgb="FF00B0F0"/>
      <name val="굴림"/>
      <family val="3"/>
      <charset val="129"/>
    </font>
    <font>
      <sz val="10"/>
      <color theme="5"/>
      <name val="굴림"/>
      <family val="3"/>
      <charset val="129"/>
    </font>
    <font>
      <sz val="11"/>
      <color theme="1"/>
      <name val="굴림"/>
      <family val="3"/>
      <charset val="129"/>
    </font>
    <font>
      <b/>
      <sz val="10"/>
      <name val="굴림"/>
      <family val="3"/>
      <charset val="129"/>
    </font>
    <font>
      <b/>
      <sz val="14"/>
      <color theme="1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b/>
      <sz val="15"/>
      <color theme="1"/>
      <name val="굴림"/>
      <family val="3"/>
      <charset val="129"/>
    </font>
    <font>
      <sz val="18"/>
      <color theme="1"/>
      <name val="연세본문체"/>
      <family val="1"/>
      <charset val="129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sz val="9"/>
      <color theme="1"/>
      <name val="KoPubWorld돋움체 Medium"/>
      <family val="3"/>
      <charset val="129"/>
    </font>
    <font>
      <sz val="10"/>
      <color theme="1"/>
      <name val="KoPubWorld돋움체 Medium"/>
      <family val="3"/>
      <charset val="129"/>
    </font>
    <font>
      <sz val="10"/>
      <color rgb="FFFFFFFF"/>
      <name val="KoPubWorld돋움체 Bold"/>
      <family val="3"/>
      <charset val="129"/>
    </font>
    <font>
      <sz val="10"/>
      <color theme="1"/>
      <name val="KoPubWorld돋움체 Bold"/>
      <family val="3"/>
      <charset val="129"/>
    </font>
    <font>
      <sz val="10"/>
      <color rgb="FF000000"/>
      <name val="KoPubWorld돋움체 Medium"/>
      <family val="3"/>
      <charset val="129"/>
    </font>
    <font>
      <sz val="10"/>
      <color rgb="FF000000"/>
      <name val="KoPubWorld돋움체 Bold"/>
      <family val="3"/>
      <charset val="129"/>
    </font>
    <font>
      <sz val="9"/>
      <color rgb="FF000000"/>
      <name val="KoPubWorld돋움체 Medium"/>
      <family val="3"/>
      <charset val="129"/>
    </font>
    <font>
      <sz val="10"/>
      <color rgb="FF0000FF"/>
      <name val="KoPubWorld돋움체 Medium"/>
      <family val="3"/>
      <charset val="129"/>
    </font>
    <font>
      <b/>
      <sz val="10"/>
      <color rgb="FFFFFFFF"/>
      <name val="KoPubWorld돋움체 Medium"/>
      <family val="3"/>
      <charset val="129"/>
    </font>
    <font>
      <b/>
      <sz val="9"/>
      <color rgb="FFFFFFFF"/>
      <name val="KoPubWorld돋움체 Medium"/>
      <family val="3"/>
      <charset val="129"/>
    </font>
    <font>
      <sz val="10"/>
      <color rgb="FFFF0000"/>
      <name val="KoPubWorld돋움체 Medium"/>
      <family val="3"/>
      <charset val="129"/>
    </font>
    <font>
      <b/>
      <sz val="10"/>
      <color theme="1"/>
      <name val="KoPubWorld돋움체 Medium"/>
      <family val="3"/>
      <charset val="129"/>
    </font>
    <font>
      <sz val="20"/>
      <color theme="1"/>
      <name val="KoPubWorld돋움체 Bold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5477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dotted">
        <color rgb="FFFFFFFF"/>
      </left>
      <right style="dotted">
        <color rgb="FFFFFFFF"/>
      </right>
      <top/>
      <bottom style="dashed">
        <color indexed="64"/>
      </bottom>
      <diagonal/>
    </border>
    <border>
      <left style="medium">
        <color rgb="FFBFBFBF"/>
      </left>
      <right/>
      <top style="dotted">
        <color rgb="FF000000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dotted">
        <color rgb="FF000000"/>
      </top>
      <bottom style="thin">
        <color indexed="64"/>
      </bottom>
      <diagonal/>
    </border>
    <border>
      <left/>
      <right/>
      <top style="dotted">
        <color rgb="FF000000"/>
      </top>
      <bottom style="thin">
        <color indexed="64"/>
      </bottom>
      <diagonal/>
    </border>
    <border>
      <left style="medium">
        <color rgb="FFBFBFBF"/>
      </left>
      <right/>
      <top style="dotted">
        <color rgb="FF000000"/>
      </top>
      <bottom style="dotted">
        <color rgb="FF000000"/>
      </bottom>
      <diagonal/>
    </border>
    <border>
      <left style="medium">
        <color rgb="FFBFBFBF"/>
      </left>
      <right style="medium">
        <color rgb="FFBFBFBF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BFBFBF"/>
      </right>
      <top style="dotted">
        <color rgb="FF000000"/>
      </top>
      <bottom style="dotted">
        <color rgb="FF000000"/>
      </bottom>
      <diagonal/>
    </border>
    <border>
      <left style="medium">
        <color rgb="FFBFBFBF"/>
      </left>
      <right/>
      <top/>
      <bottom style="dotted">
        <color rgb="FF000000"/>
      </bottom>
      <diagonal/>
    </border>
    <border>
      <left style="medium">
        <color rgb="FFBFBFBF"/>
      </left>
      <right style="medium">
        <color rgb="FFBFBFBF"/>
      </right>
      <top/>
      <bottom style="dotted">
        <color rgb="FF000000"/>
      </bottom>
      <diagonal/>
    </border>
    <border>
      <left/>
      <right style="medium">
        <color rgb="FFBFBFBF"/>
      </right>
      <top/>
      <bottom style="dotted">
        <color rgb="FF000000"/>
      </bottom>
      <diagonal/>
    </border>
    <border>
      <left style="dotted">
        <color rgb="FFFFFFFF"/>
      </left>
      <right/>
      <top/>
      <bottom style="dashed">
        <color indexed="64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ashed">
        <color indexed="64"/>
      </bottom>
      <diagonal/>
    </border>
    <border>
      <left/>
      <right style="dotted">
        <color rgb="FFFFFFFF"/>
      </right>
      <top/>
      <bottom style="dashed">
        <color indexed="64"/>
      </bottom>
      <diagonal/>
    </border>
    <border>
      <left style="dotted">
        <color rgb="FFFFFFFF"/>
      </left>
      <right/>
      <top/>
      <bottom/>
      <diagonal/>
    </border>
    <border>
      <left/>
      <right style="dotted">
        <color rgb="FFFFFFFF"/>
      </right>
      <top/>
      <bottom style="dotted">
        <color rgb="FFFFFFFF"/>
      </bottom>
      <diagonal/>
    </border>
    <border>
      <left style="dotted">
        <color rgb="FFFFFFFF"/>
      </left>
      <right/>
      <top/>
      <bottom style="dotted">
        <color rgb="FFFFFFFF"/>
      </bottom>
      <diagonal/>
    </border>
    <border>
      <left/>
      <right style="dotted">
        <color rgb="FFFFFFFF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0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>
      <alignment vertical="center"/>
    </xf>
    <xf numFmtId="0" fontId="4" fillId="0" borderId="0" xfId="0" applyFont="1" applyAlignment="1">
      <alignment vertical="center" shrinkToFit="1"/>
    </xf>
    <xf numFmtId="41" fontId="4" fillId="0" borderId="0" xfId="1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9" fontId="4" fillId="0" borderId="0" xfId="2" applyFont="1" applyAlignment="1">
      <alignment vertical="center" shrinkToFit="1"/>
    </xf>
    <xf numFmtId="41" fontId="4" fillId="0" borderId="0" xfId="1" applyFont="1" applyFill="1" applyAlignment="1">
      <alignment horizontal="right" vertical="center" shrinkToFit="1"/>
    </xf>
    <xf numFmtId="41" fontId="4" fillId="0" borderId="0" xfId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horizontal="right" vertical="center" shrinkToFit="1"/>
    </xf>
    <xf numFmtId="41" fontId="4" fillId="2" borderId="0" xfId="1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shrinkToFit="1"/>
    </xf>
    <xf numFmtId="41" fontId="5" fillId="2" borderId="0" xfId="1" applyFont="1" applyFill="1" applyAlignment="1">
      <alignment vertical="center" shrinkToFi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41" fontId="5" fillId="2" borderId="0" xfId="1" applyFont="1" applyFill="1">
      <alignment vertical="center"/>
    </xf>
    <xf numFmtId="0" fontId="4" fillId="2" borderId="0" xfId="0" applyFont="1" applyFill="1" applyAlignment="1">
      <alignment horizontal="center" vertical="center"/>
    </xf>
    <xf numFmtId="41" fontId="5" fillId="2" borderId="0" xfId="1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41" fontId="4" fillId="0" borderId="0" xfId="1" applyFont="1" applyAlignment="1">
      <alignment horizontal="center" vertical="center" shrinkToFit="1"/>
    </xf>
    <xf numFmtId="41" fontId="4" fillId="0" borderId="1" xfId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41" fontId="4" fillId="0" borderId="1" xfId="1" applyFont="1" applyBorder="1" applyAlignment="1">
      <alignment vertical="center" shrinkToFit="1"/>
    </xf>
    <xf numFmtId="0" fontId="6" fillId="4" borderId="1" xfId="0" applyFont="1" applyFill="1" applyBorder="1" applyAlignment="1">
      <alignment horizontal="center" vertical="center" shrinkToFit="1"/>
    </xf>
    <xf numFmtId="41" fontId="4" fillId="0" borderId="1" xfId="0" applyNumberFormat="1" applyFont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41" fontId="4" fillId="0" borderId="2" xfId="0" applyNumberFormat="1" applyFont="1" applyBorder="1" applyAlignment="1">
      <alignment vertical="center" shrinkToFit="1"/>
    </xf>
    <xf numFmtId="41" fontId="4" fillId="5" borderId="1" xfId="1" applyFont="1" applyFill="1" applyBorder="1" applyAlignment="1">
      <alignment vertical="center" shrinkToFit="1"/>
    </xf>
    <xf numFmtId="41" fontId="4" fillId="5" borderId="2" xfId="1" applyFont="1" applyFill="1" applyBorder="1" applyAlignment="1">
      <alignment vertical="center" shrinkToFit="1"/>
    </xf>
    <xf numFmtId="41" fontId="4" fillId="6" borderId="1" xfId="1" applyFont="1" applyFill="1" applyBorder="1" applyAlignment="1">
      <alignment vertical="center" shrinkToFit="1"/>
    </xf>
    <xf numFmtId="41" fontId="4" fillId="6" borderId="2" xfId="1" applyFont="1" applyFill="1" applyBorder="1" applyAlignment="1">
      <alignment vertical="center" shrinkToFit="1"/>
    </xf>
    <xf numFmtId="0" fontId="6" fillId="7" borderId="1" xfId="0" applyFont="1" applyFill="1" applyBorder="1" applyAlignment="1">
      <alignment horizontal="center" vertical="center"/>
    </xf>
    <xf numFmtId="41" fontId="4" fillId="8" borderId="1" xfId="1" applyFont="1" applyFill="1" applyBorder="1" applyAlignment="1">
      <alignment vertical="center" shrinkToFit="1"/>
    </xf>
    <xf numFmtId="41" fontId="4" fillId="8" borderId="2" xfId="1" applyFont="1" applyFill="1" applyBorder="1" applyAlignment="1">
      <alignment vertical="center" shrinkToFit="1"/>
    </xf>
    <xf numFmtId="41" fontId="4" fillId="9" borderId="1" xfId="1" applyFont="1" applyFill="1" applyBorder="1" applyAlignment="1">
      <alignment vertical="center" shrinkToFit="1"/>
    </xf>
    <xf numFmtId="41" fontId="4" fillId="9" borderId="2" xfId="1" applyFont="1" applyFill="1" applyBorder="1" applyAlignment="1">
      <alignment vertical="center" shrinkToFit="1"/>
    </xf>
    <xf numFmtId="0" fontId="6" fillId="10" borderId="1" xfId="0" applyFont="1" applyFill="1" applyBorder="1" applyAlignment="1">
      <alignment horizontal="center" vertical="center"/>
    </xf>
    <xf numFmtId="3" fontId="7" fillId="0" borderId="0" xfId="0" applyNumberFormat="1" applyFont="1">
      <alignment vertical="center"/>
    </xf>
    <xf numFmtId="3" fontId="4" fillId="0" borderId="1" xfId="0" applyNumberFormat="1" applyFont="1" applyBorder="1" applyAlignment="1">
      <alignment vertical="center" shrinkToFit="1"/>
    </xf>
    <xf numFmtId="3" fontId="8" fillId="0" borderId="1" xfId="0" applyNumberFormat="1" applyFont="1" applyBorder="1">
      <alignment vertical="center"/>
    </xf>
    <xf numFmtId="41" fontId="4" fillId="0" borderId="0" xfId="1" applyFont="1" applyFill="1" applyAlignment="1">
      <alignment vertical="center" shrinkToFit="1"/>
    </xf>
    <xf numFmtId="0" fontId="8" fillId="0" borderId="1" xfId="0" applyFont="1" applyBorder="1" applyAlignment="1">
      <alignment horizontal="center" vertical="center"/>
    </xf>
    <xf numFmtId="41" fontId="4" fillId="0" borderId="0" xfId="1" applyFont="1">
      <alignment vertical="center"/>
    </xf>
    <xf numFmtId="41" fontId="4" fillId="0" borderId="1" xfId="0" applyNumberFormat="1" applyFont="1" applyBorder="1" applyAlignment="1">
      <alignment horizontal="center" vertical="center" shrinkToFit="1"/>
    </xf>
    <xf numFmtId="0" fontId="4" fillId="0" borderId="0" xfId="0" quotePrefix="1" applyFont="1" applyAlignment="1">
      <alignment vertical="center" shrinkToFit="1"/>
    </xf>
    <xf numFmtId="41" fontId="4" fillId="0" borderId="0" xfId="0" applyNumberFormat="1" applyFont="1" applyAlignment="1">
      <alignment vertical="center" shrinkToFit="1"/>
    </xf>
    <xf numFmtId="9" fontId="4" fillId="0" borderId="5" xfId="2" applyFont="1" applyBorder="1">
      <alignment vertical="center"/>
    </xf>
    <xf numFmtId="0" fontId="4" fillId="0" borderId="5" xfId="0" applyFont="1" applyBorder="1" applyAlignment="1">
      <alignment vertical="center" shrinkToFit="1"/>
    </xf>
    <xf numFmtId="41" fontId="4" fillId="0" borderId="5" xfId="1" applyFont="1" applyBorder="1" applyAlignment="1">
      <alignment vertical="center" shrinkToFit="1"/>
    </xf>
    <xf numFmtId="41" fontId="6" fillId="0" borderId="5" xfId="1" applyFont="1" applyFill="1" applyBorder="1" applyAlignment="1">
      <alignment horizontal="right" vertical="center" shrinkToFit="1"/>
    </xf>
    <xf numFmtId="41" fontId="6" fillId="0" borderId="5" xfId="1" applyFont="1" applyFill="1" applyBorder="1" applyAlignment="1">
      <alignment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5" xfId="0" applyFont="1" applyBorder="1" applyAlignment="1">
      <alignment vertical="center" shrinkToFit="1"/>
    </xf>
    <xf numFmtId="0" fontId="6" fillId="0" borderId="5" xfId="0" applyFont="1" applyBorder="1" applyAlignment="1">
      <alignment horizontal="left" vertical="center" shrinkToFit="1"/>
    </xf>
    <xf numFmtId="0" fontId="6" fillId="0" borderId="6" xfId="0" applyFont="1" applyBorder="1" applyAlignment="1">
      <alignment horizontal="center" vertical="center" shrinkToFit="1"/>
    </xf>
    <xf numFmtId="0" fontId="4" fillId="0" borderId="0" xfId="0" applyFont="1">
      <alignment vertical="center"/>
    </xf>
    <xf numFmtId="9" fontId="4" fillId="0" borderId="6" xfId="2" applyFont="1" applyBorder="1">
      <alignment vertical="center"/>
    </xf>
    <xf numFmtId="0" fontId="4" fillId="0" borderId="6" xfId="0" applyFont="1" applyBorder="1" applyAlignment="1">
      <alignment vertical="center" shrinkToFit="1"/>
    </xf>
    <xf numFmtId="41" fontId="4" fillId="0" borderId="6" xfId="1" applyFont="1" applyBorder="1" applyAlignment="1">
      <alignment vertical="center" shrinkToFit="1"/>
    </xf>
    <xf numFmtId="41" fontId="6" fillId="0" borderId="6" xfId="1" applyFont="1" applyFill="1" applyBorder="1" applyAlignment="1">
      <alignment horizontal="right" vertical="center" shrinkToFit="1"/>
    </xf>
    <xf numFmtId="41" fontId="6" fillId="0" borderId="6" xfId="1" applyFont="1" applyFill="1" applyBorder="1" applyAlignment="1">
      <alignment vertical="center" shrinkToFit="1"/>
    </xf>
    <xf numFmtId="0" fontId="6" fillId="0" borderId="6" xfId="0" applyFont="1" applyBorder="1" applyAlignment="1">
      <alignment vertical="center" shrinkToFit="1"/>
    </xf>
    <xf numFmtId="0" fontId="6" fillId="0" borderId="6" xfId="0" applyFont="1" applyBorder="1" applyAlignment="1">
      <alignment horizontal="left" vertical="center" shrinkToFit="1"/>
    </xf>
    <xf numFmtId="0" fontId="6" fillId="6" borderId="6" xfId="0" applyFont="1" applyFill="1" applyBorder="1" applyAlignment="1">
      <alignment horizontal="center" vertical="center" shrinkToFit="1"/>
    </xf>
    <xf numFmtId="0" fontId="6" fillId="4" borderId="6" xfId="0" applyFont="1" applyFill="1" applyBorder="1" applyAlignment="1">
      <alignment horizontal="center" vertical="center" shrinkToFit="1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 shrinkToFit="1"/>
    </xf>
    <xf numFmtId="0" fontId="4" fillId="0" borderId="6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41" fontId="4" fillId="0" borderId="0" xfId="1" applyFont="1" applyFill="1">
      <alignment vertical="center"/>
    </xf>
    <xf numFmtId="0" fontId="4" fillId="0" borderId="0" xfId="0" applyFont="1" applyAlignment="1">
      <alignment horizontal="center" vertical="center"/>
    </xf>
    <xf numFmtId="41" fontId="6" fillId="0" borderId="6" xfId="1" applyFont="1" applyFill="1" applyBorder="1" applyAlignment="1">
      <alignment horizontal="right" vertical="center"/>
    </xf>
    <xf numFmtId="41" fontId="6" fillId="0" borderId="6" xfId="1" applyFont="1" applyFill="1" applyBorder="1" applyAlignment="1">
      <alignment vertical="center"/>
    </xf>
    <xf numFmtId="41" fontId="4" fillId="11" borderId="6" xfId="1" applyFont="1" applyFill="1" applyBorder="1">
      <alignment vertical="center"/>
    </xf>
    <xf numFmtId="41" fontId="4" fillId="0" borderId="6" xfId="1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6" fillId="10" borderId="6" xfId="0" applyFont="1" applyFill="1" applyBorder="1" applyAlignment="1">
      <alignment vertical="center" shrinkToFit="1"/>
    </xf>
    <xf numFmtId="0" fontId="6" fillId="10" borderId="6" xfId="0" applyFont="1" applyFill="1" applyBorder="1" applyAlignment="1">
      <alignment horizontal="left" vertical="center" shrinkToFit="1"/>
    </xf>
    <xf numFmtId="41" fontId="4" fillId="0" borderId="6" xfId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left" vertical="center"/>
    </xf>
    <xf numFmtId="41" fontId="6" fillId="12" borderId="6" xfId="1" applyFont="1" applyFill="1" applyBorder="1" applyAlignment="1">
      <alignment vertical="center" shrinkToFit="1"/>
    </xf>
    <xf numFmtId="0" fontId="9" fillId="0" borderId="6" xfId="0" applyFont="1" applyBorder="1" applyAlignment="1">
      <alignment horizontal="center" vertical="center" shrinkToFit="1"/>
    </xf>
    <xf numFmtId="0" fontId="5" fillId="0" borderId="6" xfId="0" applyFont="1" applyBorder="1">
      <alignment vertical="center"/>
    </xf>
    <xf numFmtId="41" fontId="4" fillId="0" borderId="0" xfId="1" applyFont="1" applyFill="1" applyAlignment="1">
      <alignment horizontal="left" vertical="center"/>
    </xf>
    <xf numFmtId="41" fontId="5" fillId="0" borderId="0" xfId="1" applyFont="1" applyFill="1" applyAlignment="1">
      <alignment vertical="center" shrinkToFit="1"/>
    </xf>
    <xf numFmtId="9" fontId="4" fillId="13" borderId="6" xfId="2" applyFont="1" applyFill="1" applyBorder="1">
      <alignment vertical="center"/>
    </xf>
    <xf numFmtId="0" fontId="4" fillId="2" borderId="6" xfId="0" applyFont="1" applyFill="1" applyBorder="1" applyAlignment="1">
      <alignment horizontal="left" vertical="center"/>
    </xf>
    <xf numFmtId="41" fontId="6" fillId="13" borderId="6" xfId="1" applyFont="1" applyFill="1" applyBorder="1" applyAlignment="1">
      <alignment horizontal="right" vertical="center" shrinkToFit="1"/>
    </xf>
    <xf numFmtId="0" fontId="4" fillId="13" borderId="6" xfId="0" applyFont="1" applyFill="1" applyBorder="1" applyAlignment="1">
      <alignment horizontal="left" vertical="center"/>
    </xf>
    <xf numFmtId="41" fontId="4" fillId="13" borderId="6" xfId="1" applyFont="1" applyFill="1" applyBorder="1" applyAlignment="1">
      <alignment vertical="center" shrinkToFit="1"/>
    </xf>
    <xf numFmtId="41" fontId="6" fillId="13" borderId="6" xfId="1" applyFont="1" applyFill="1" applyBorder="1" applyAlignment="1">
      <alignment vertical="center" shrinkToFit="1"/>
    </xf>
    <xf numFmtId="0" fontId="6" fillId="0" borderId="6" xfId="0" applyFont="1" applyBorder="1" applyAlignment="1">
      <alignment vertical="center" wrapText="1" shrinkToFit="1"/>
    </xf>
    <xf numFmtId="41" fontId="4" fillId="0" borderId="6" xfId="1" applyFont="1" applyFill="1" applyBorder="1" applyAlignment="1">
      <alignment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6" xfId="0" applyFont="1" applyBorder="1" applyAlignment="1">
      <alignment vertical="center" shrinkToFit="1"/>
    </xf>
    <xf numFmtId="41" fontId="4" fillId="14" borderId="0" xfId="1" applyFont="1" applyFill="1" applyAlignment="1">
      <alignment vertical="center" shrinkToFit="1"/>
    </xf>
    <xf numFmtId="0" fontId="4" fillId="14" borderId="0" xfId="0" applyFont="1" applyFill="1" applyAlignment="1">
      <alignment horizontal="center" vertical="center" shrinkToFit="1"/>
    </xf>
    <xf numFmtId="9" fontId="4" fillId="14" borderId="6" xfId="2" applyFont="1" applyFill="1" applyBorder="1">
      <alignment vertical="center"/>
    </xf>
    <xf numFmtId="0" fontId="4" fillId="14" borderId="6" xfId="0" applyFont="1" applyFill="1" applyBorder="1" applyAlignment="1">
      <alignment vertical="center" shrinkToFit="1"/>
    </xf>
    <xf numFmtId="41" fontId="4" fillId="14" borderId="6" xfId="1" applyFont="1" applyFill="1" applyBorder="1" applyAlignment="1">
      <alignment vertical="center" shrinkToFit="1"/>
    </xf>
    <xf numFmtId="41" fontId="6" fillId="14" borderId="6" xfId="1" applyFont="1" applyFill="1" applyBorder="1" applyAlignment="1">
      <alignment horizontal="right" vertical="center" shrinkToFit="1"/>
    </xf>
    <xf numFmtId="41" fontId="6" fillId="14" borderId="6" xfId="1" applyFont="1" applyFill="1" applyBorder="1" applyAlignment="1">
      <alignment vertical="center" shrinkToFit="1"/>
    </xf>
    <xf numFmtId="0" fontId="6" fillId="14" borderId="6" xfId="0" applyFont="1" applyFill="1" applyBorder="1" applyAlignment="1">
      <alignment horizontal="center" vertical="center" shrinkToFit="1"/>
    </xf>
    <xf numFmtId="0" fontId="6" fillId="14" borderId="6" xfId="0" applyFont="1" applyFill="1" applyBorder="1" applyAlignment="1">
      <alignment horizontal="left" vertical="center" shrinkToFit="1"/>
    </xf>
    <xf numFmtId="0" fontId="6" fillId="14" borderId="6" xfId="0" applyFont="1" applyFill="1" applyBorder="1" applyAlignment="1">
      <alignment vertical="center" shrinkToFit="1"/>
    </xf>
    <xf numFmtId="0" fontId="4" fillId="14" borderId="0" xfId="0" applyFont="1" applyFill="1" applyAlignment="1">
      <alignment vertical="center" shrinkToFit="1"/>
    </xf>
    <xf numFmtId="41" fontId="4" fillId="15" borderId="6" xfId="1" applyFont="1" applyFill="1" applyBorder="1" applyAlignment="1">
      <alignment vertical="center" shrinkToFit="1"/>
    </xf>
    <xf numFmtId="0" fontId="11" fillId="0" borderId="6" xfId="0" applyFont="1" applyBorder="1" applyAlignment="1">
      <alignment vertical="center" shrinkToFit="1"/>
    </xf>
    <xf numFmtId="0" fontId="11" fillId="0" borderId="0" xfId="0" applyFont="1" applyAlignment="1">
      <alignment vertical="center" shrinkToFit="1"/>
    </xf>
    <xf numFmtId="41" fontId="11" fillId="0" borderId="0" xfId="1" applyFont="1" applyAlignment="1">
      <alignment vertical="center" shrinkToFit="1"/>
    </xf>
    <xf numFmtId="0" fontId="11" fillId="0" borderId="0" xfId="0" applyFont="1" applyAlignment="1">
      <alignment horizontal="center" vertical="center" shrinkToFit="1"/>
    </xf>
    <xf numFmtId="41" fontId="11" fillId="0" borderId="6" xfId="1" applyFont="1" applyBorder="1" applyAlignment="1">
      <alignment vertical="center" shrinkToFit="1"/>
    </xf>
    <xf numFmtId="9" fontId="4" fillId="16" borderId="6" xfId="2" applyFont="1" applyFill="1" applyBorder="1">
      <alignment vertical="center"/>
    </xf>
    <xf numFmtId="41" fontId="6" fillId="16" borderId="6" xfId="1" applyFont="1" applyFill="1" applyBorder="1" applyAlignment="1">
      <alignment vertical="center" shrinkToFit="1"/>
    </xf>
    <xf numFmtId="41" fontId="6" fillId="16" borderId="6" xfId="1" applyFont="1" applyFill="1" applyBorder="1" applyAlignment="1">
      <alignment horizontal="right" vertical="center" shrinkToFit="1"/>
    </xf>
    <xf numFmtId="0" fontId="6" fillId="16" borderId="6" xfId="0" applyFont="1" applyFill="1" applyBorder="1" applyAlignment="1">
      <alignment horizontal="center" vertical="center" shrinkToFit="1"/>
    </xf>
    <xf numFmtId="0" fontId="4" fillId="15" borderId="6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vertical="center" shrinkToFit="1"/>
    </xf>
    <xf numFmtId="0" fontId="6" fillId="16" borderId="6" xfId="0" applyFont="1" applyFill="1" applyBorder="1" applyAlignment="1">
      <alignment vertical="center" shrinkToFit="1"/>
    </xf>
    <xf numFmtId="0" fontId="6" fillId="16" borderId="6" xfId="0" applyFont="1" applyFill="1" applyBorder="1" applyAlignment="1">
      <alignment horizontal="left" vertical="center" shrinkToFit="1"/>
    </xf>
    <xf numFmtId="0" fontId="4" fillId="16" borderId="6" xfId="0" applyFont="1" applyFill="1" applyBorder="1" applyAlignment="1">
      <alignment vertical="center" shrinkToFit="1"/>
    </xf>
    <xf numFmtId="41" fontId="4" fillId="16" borderId="6" xfId="1" applyFont="1" applyFill="1" applyBorder="1" applyAlignment="1">
      <alignment vertical="center" shrinkToFit="1"/>
    </xf>
    <xf numFmtId="41" fontId="4" fillId="0" borderId="6" xfId="1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41" fontId="4" fillId="15" borderId="6" xfId="1" applyFont="1" applyFill="1" applyBorder="1">
      <alignment vertical="center"/>
    </xf>
    <xf numFmtId="41" fontId="6" fillId="0" borderId="6" xfId="1" applyFont="1" applyFill="1" applyBorder="1" applyAlignment="1">
      <alignment horizontal="center" vertical="center"/>
    </xf>
    <xf numFmtId="41" fontId="12" fillId="0" borderId="6" xfId="1" applyFont="1" applyFill="1" applyBorder="1" applyAlignment="1">
      <alignment horizontal="center" vertical="center"/>
    </xf>
    <xf numFmtId="41" fontId="12" fillId="0" borderId="6" xfId="1" applyFont="1" applyFill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4" fillId="2" borderId="0" xfId="0" applyFont="1" applyFill="1" applyAlignment="1">
      <alignment vertical="center" shrinkToFit="1"/>
    </xf>
    <xf numFmtId="41" fontId="4" fillId="2" borderId="0" xfId="1" applyFont="1" applyFill="1" applyAlignment="1">
      <alignment vertical="center" shrinkToFit="1"/>
    </xf>
    <xf numFmtId="9" fontId="4" fillId="2" borderId="6" xfId="2" applyFont="1" applyFill="1" applyBorder="1">
      <alignment vertical="center"/>
    </xf>
    <xf numFmtId="0" fontId="4" fillId="2" borderId="6" xfId="0" applyFont="1" applyFill="1" applyBorder="1" applyAlignment="1">
      <alignment vertical="center" shrinkToFit="1"/>
    </xf>
    <xf numFmtId="41" fontId="4" fillId="2" borderId="6" xfId="1" applyFont="1" applyFill="1" applyBorder="1" applyAlignment="1">
      <alignment vertical="center" shrinkToFit="1"/>
    </xf>
    <xf numFmtId="41" fontId="6" fillId="2" borderId="6" xfId="1" applyFont="1" applyFill="1" applyBorder="1" applyAlignment="1">
      <alignment horizontal="right" vertical="center" shrinkToFit="1"/>
    </xf>
    <xf numFmtId="41" fontId="6" fillId="2" borderId="6" xfId="1" applyFont="1" applyFill="1" applyBorder="1" applyAlignment="1">
      <alignment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vertical="center" shrinkToFit="1"/>
    </xf>
    <xf numFmtId="0" fontId="6" fillId="2" borderId="6" xfId="0" applyFont="1" applyFill="1" applyBorder="1" applyAlignment="1">
      <alignment horizontal="left" vertical="center" shrinkToFit="1"/>
    </xf>
    <xf numFmtId="14" fontId="4" fillId="0" borderId="0" xfId="1" applyNumberFormat="1" applyFont="1" applyFill="1" applyAlignment="1">
      <alignment vertical="center" shrinkToFit="1"/>
    </xf>
    <xf numFmtId="9" fontId="4" fillId="0" borderId="6" xfId="2" applyFont="1" applyFill="1" applyBorder="1">
      <alignment vertical="center"/>
    </xf>
    <xf numFmtId="14" fontId="4" fillId="0" borderId="0" xfId="1" applyNumberFormat="1" applyFont="1" applyAlignment="1">
      <alignment vertical="center" shrinkToFit="1"/>
    </xf>
    <xf numFmtId="0" fontId="5" fillId="0" borderId="6" xfId="0" applyFont="1" applyBorder="1" applyAlignment="1">
      <alignment horizontal="center" vertical="center" shrinkToFit="1"/>
    </xf>
    <xf numFmtId="0" fontId="4" fillId="6" borderId="6" xfId="0" applyFont="1" applyFill="1" applyBorder="1" applyAlignment="1">
      <alignment vertical="center" shrinkToFit="1"/>
    </xf>
    <xf numFmtId="41" fontId="4" fillId="6" borderId="6" xfId="1" applyFont="1" applyFill="1" applyBorder="1" applyAlignment="1">
      <alignment vertical="center" shrinkToFit="1"/>
    </xf>
    <xf numFmtId="41" fontId="6" fillId="6" borderId="6" xfId="1" applyFont="1" applyFill="1" applyBorder="1" applyAlignment="1">
      <alignment vertical="center" shrinkToFit="1"/>
    </xf>
    <xf numFmtId="41" fontId="6" fillId="6" borderId="6" xfId="1" applyFont="1" applyFill="1" applyBorder="1" applyAlignment="1">
      <alignment horizontal="right" vertical="center" shrinkToFit="1"/>
    </xf>
    <xf numFmtId="0" fontId="4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 shrinkToFit="1"/>
    </xf>
    <xf numFmtId="0" fontId="6" fillId="6" borderId="6" xfId="0" applyFont="1" applyFill="1" applyBorder="1" applyAlignment="1">
      <alignment horizontal="left" vertical="center" shrinkToFit="1"/>
    </xf>
    <xf numFmtId="0" fontId="6" fillId="0" borderId="6" xfId="0" applyFont="1" applyBorder="1">
      <alignment vertical="center"/>
    </xf>
    <xf numFmtId="41" fontId="5" fillId="2" borderId="6" xfId="1" applyFont="1" applyFill="1" applyBorder="1">
      <alignment vertical="center"/>
    </xf>
    <xf numFmtId="41" fontId="5" fillId="0" borderId="6" xfId="1" applyFont="1" applyFill="1" applyBorder="1" applyAlignment="1">
      <alignment horizontal="right" vertical="center"/>
    </xf>
    <xf numFmtId="41" fontId="5" fillId="2" borderId="6" xfId="1" applyFont="1" applyFill="1" applyBorder="1" applyAlignment="1">
      <alignment vertical="center"/>
    </xf>
    <xf numFmtId="41" fontId="6" fillId="0" borderId="7" xfId="1" applyFont="1" applyFill="1" applyBorder="1" applyAlignment="1">
      <alignment horizontal="right" vertical="center"/>
    </xf>
    <xf numFmtId="41" fontId="6" fillId="2" borderId="6" xfId="1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4" fillId="2" borderId="6" xfId="1" applyFont="1" applyFill="1" applyBorder="1">
      <alignment vertical="center"/>
    </xf>
    <xf numFmtId="9" fontId="6" fillId="0" borderId="6" xfId="2" applyFont="1" applyFill="1" applyBorder="1" applyAlignment="1">
      <alignment vertical="center" shrinkToFit="1"/>
    </xf>
    <xf numFmtId="41" fontId="5" fillId="2" borderId="6" xfId="1" applyFont="1" applyFill="1" applyBorder="1" applyAlignment="1">
      <alignment horizontal="right" vertical="center"/>
    </xf>
    <xf numFmtId="41" fontId="4" fillId="0" borderId="6" xfId="1" applyFont="1" applyFill="1" applyBorder="1">
      <alignment vertical="center"/>
    </xf>
    <xf numFmtId="0" fontId="5" fillId="2" borderId="6" xfId="0" applyFont="1" applyFill="1" applyBorder="1" applyAlignment="1">
      <alignment vertical="center" shrinkToFit="1"/>
    </xf>
    <xf numFmtId="41" fontId="6" fillId="17" borderId="6" xfId="1" applyFont="1" applyFill="1" applyBorder="1" applyAlignment="1">
      <alignment horizontal="right" vertical="center"/>
    </xf>
    <xf numFmtId="41" fontId="6" fillId="17" borderId="6" xfId="1" applyFont="1" applyFill="1" applyBorder="1" applyAlignment="1">
      <alignment vertical="center"/>
    </xf>
    <xf numFmtId="41" fontId="6" fillId="17" borderId="6" xfId="1" applyFont="1" applyFill="1" applyBorder="1" applyAlignment="1">
      <alignment horizontal="center" vertical="center"/>
    </xf>
    <xf numFmtId="0" fontId="6" fillId="17" borderId="6" xfId="0" applyFont="1" applyFill="1" applyBorder="1" applyAlignment="1">
      <alignment horizontal="center" vertical="center"/>
    </xf>
    <xf numFmtId="0" fontId="6" fillId="17" borderId="6" xfId="0" applyFont="1" applyFill="1" applyBorder="1" applyAlignment="1">
      <alignment horizontal="center" vertical="center" shrinkToFit="1"/>
    </xf>
    <xf numFmtId="0" fontId="6" fillId="17" borderId="6" xfId="0" applyFont="1" applyFill="1" applyBorder="1" applyAlignment="1">
      <alignment vertical="center" shrinkToFit="1"/>
    </xf>
    <xf numFmtId="41" fontId="5" fillId="0" borderId="6" xfId="1" applyFont="1" applyFill="1" applyBorder="1" applyAlignment="1">
      <alignment vertical="center"/>
    </xf>
    <xf numFmtId="0" fontId="5" fillId="2" borderId="6" xfId="0" applyFont="1" applyFill="1" applyBorder="1">
      <alignment vertical="center"/>
    </xf>
    <xf numFmtId="41" fontId="6" fillId="15" borderId="6" xfId="1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1" fontId="5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41" fontId="6" fillId="18" borderId="6" xfId="1" applyFont="1" applyFill="1" applyBorder="1" applyAlignment="1">
      <alignment vertical="center"/>
    </xf>
    <xf numFmtId="0" fontId="5" fillId="0" borderId="6" xfId="0" applyFont="1" applyBorder="1" applyAlignment="1">
      <alignment vertical="center" wrapText="1" shrinkToFit="1"/>
    </xf>
    <xf numFmtId="41" fontId="5" fillId="0" borderId="0" xfId="1" applyFont="1" applyFill="1">
      <alignment vertical="center"/>
    </xf>
    <xf numFmtId="0" fontId="5" fillId="2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41" fontId="6" fillId="2" borderId="6" xfId="1" applyFont="1" applyFill="1" applyBorder="1">
      <alignment vertical="center"/>
    </xf>
    <xf numFmtId="41" fontId="6" fillId="0" borderId="6" xfId="1" applyFont="1" applyBorder="1">
      <alignment vertical="center"/>
    </xf>
    <xf numFmtId="0" fontId="14" fillId="0" borderId="6" xfId="0" applyFont="1" applyBorder="1">
      <alignment vertical="center"/>
    </xf>
    <xf numFmtId="9" fontId="4" fillId="19" borderId="6" xfId="2" applyFont="1" applyFill="1" applyBorder="1">
      <alignment vertical="center"/>
    </xf>
    <xf numFmtId="41" fontId="6" fillId="19" borderId="6" xfId="1" applyFont="1" applyFill="1" applyBorder="1" applyAlignment="1">
      <alignment vertical="center"/>
    </xf>
    <xf numFmtId="0" fontId="6" fillId="19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 shrinkToFit="1"/>
    </xf>
    <xf numFmtId="41" fontId="6" fillId="0" borderId="6" xfId="3" applyFont="1" applyFill="1" applyBorder="1" applyAlignment="1">
      <alignment horizontal="right" vertical="center"/>
    </xf>
    <xf numFmtId="41" fontId="5" fillId="0" borderId="6" xfId="1" applyFont="1" applyBorder="1">
      <alignment vertical="center"/>
    </xf>
    <xf numFmtId="41" fontId="5" fillId="0" borderId="0" xfId="0" applyNumberFormat="1" applyFont="1" applyAlignment="1">
      <alignment horizontal="center" vertical="center"/>
    </xf>
    <xf numFmtId="41" fontId="6" fillId="6" borderId="6" xfId="1" applyFont="1" applyFill="1" applyBorder="1">
      <alignment vertical="center"/>
    </xf>
    <xf numFmtId="41" fontId="4" fillId="6" borderId="6" xfId="1" applyFont="1" applyFill="1" applyBorder="1">
      <alignment vertical="center"/>
    </xf>
    <xf numFmtId="41" fontId="4" fillId="0" borderId="0" xfId="1" applyFont="1" applyAlignment="1">
      <alignment horizontal="left" vertical="center"/>
    </xf>
    <xf numFmtId="41" fontId="4" fillId="0" borderId="6" xfId="1" applyFont="1" applyBorder="1" applyAlignment="1">
      <alignment horizontal="left" vertical="center"/>
    </xf>
    <xf numFmtId="41" fontId="6" fillId="0" borderId="6" xfId="1" applyFont="1" applyFill="1" applyBorder="1" applyAlignment="1">
      <alignment horizontal="left" vertical="center"/>
    </xf>
    <xf numFmtId="41" fontId="5" fillId="0" borderId="6" xfId="1" applyFont="1" applyFill="1" applyBorder="1" applyAlignment="1">
      <alignment horizontal="left" vertical="center"/>
    </xf>
    <xf numFmtId="41" fontId="5" fillId="0" borderId="0" xfId="1" applyFont="1" applyFill="1" applyAlignment="1">
      <alignment horizontal="left" vertical="center"/>
    </xf>
    <xf numFmtId="41" fontId="5" fillId="2" borderId="6" xfId="1" applyFont="1" applyFill="1" applyBorder="1" applyAlignment="1">
      <alignment horizontal="left" vertical="center"/>
    </xf>
    <xf numFmtId="41" fontId="6" fillId="20" borderId="6" xfId="1" applyFont="1" applyFill="1" applyBorder="1" applyAlignment="1">
      <alignment vertical="center"/>
    </xf>
    <xf numFmtId="0" fontId="12" fillId="0" borderId="6" xfId="0" applyFont="1" applyBorder="1" applyAlignment="1">
      <alignment vertical="center" wrapText="1" shrinkToFit="1"/>
    </xf>
    <xf numFmtId="0" fontId="12" fillId="0" borderId="6" xfId="0" applyFont="1" applyBorder="1" applyAlignment="1">
      <alignment vertical="center" shrinkToFit="1"/>
    </xf>
    <xf numFmtId="0" fontId="4" fillId="0" borderId="0" xfId="0" applyFont="1" applyAlignment="1">
      <alignment vertical="center" wrapText="1" shrinkToFit="1"/>
    </xf>
    <xf numFmtId="0" fontId="4" fillId="0" borderId="6" xfId="0" applyFont="1" applyBorder="1" applyAlignment="1">
      <alignment horizontal="center" vertical="center" wrapText="1" shrinkToFit="1"/>
    </xf>
    <xf numFmtId="41" fontId="4" fillId="7" borderId="6" xfId="1" applyFont="1" applyFill="1" applyBorder="1">
      <alignment vertical="center"/>
    </xf>
    <xf numFmtId="41" fontId="6" fillId="7" borderId="6" xfId="1" applyFont="1" applyFill="1" applyBorder="1" applyAlignment="1">
      <alignment horizontal="right" vertical="center"/>
    </xf>
    <xf numFmtId="41" fontId="6" fillId="7" borderId="6" xfId="1" applyFont="1" applyFill="1" applyBorder="1" applyAlignment="1">
      <alignment vertical="center"/>
    </xf>
    <xf numFmtId="0" fontId="6" fillId="7" borderId="6" xfId="0" applyFont="1" applyFill="1" applyBorder="1" applyAlignment="1">
      <alignment vertical="center" shrinkToFit="1"/>
    </xf>
    <xf numFmtId="0" fontId="6" fillId="7" borderId="6" xfId="0" applyFont="1" applyFill="1" applyBorder="1" applyAlignment="1">
      <alignment horizontal="left" vertical="center" shrinkToFit="1"/>
    </xf>
    <xf numFmtId="0" fontId="6" fillId="7" borderId="6" xfId="0" applyFont="1" applyFill="1" applyBorder="1" applyAlignment="1">
      <alignment horizontal="center" vertical="center" shrinkToFit="1"/>
    </xf>
    <xf numFmtId="0" fontId="6" fillId="7" borderId="6" xfId="0" applyFont="1" applyFill="1" applyBorder="1">
      <alignment vertical="center"/>
    </xf>
    <xf numFmtId="0" fontId="6" fillId="7" borderId="6" xfId="0" applyFont="1" applyFill="1" applyBorder="1" applyAlignment="1">
      <alignment horizontal="center" vertical="center"/>
    </xf>
    <xf numFmtId="41" fontId="4" fillId="0" borderId="0" xfId="0" applyNumberFormat="1" applyFont="1" applyAlignment="1">
      <alignment horizontal="center" vertical="center" shrinkToFit="1"/>
    </xf>
    <xf numFmtId="176" fontId="4" fillId="0" borderId="0" xfId="2" applyNumberFormat="1" applyFont="1" applyAlignment="1">
      <alignment vertical="center" shrinkToFit="1"/>
    </xf>
    <xf numFmtId="176" fontId="4" fillId="0" borderId="0" xfId="1" applyNumberFormat="1" applyFont="1" applyAlignment="1">
      <alignment vertical="center" shrinkToFit="1"/>
    </xf>
    <xf numFmtId="176" fontId="4" fillId="0" borderId="0" xfId="2" applyNumberFormat="1" applyFont="1">
      <alignment vertical="center"/>
    </xf>
    <xf numFmtId="9" fontId="4" fillId="0" borderId="0" xfId="2" applyFont="1">
      <alignment vertical="center"/>
    </xf>
    <xf numFmtId="41" fontId="4" fillId="15" borderId="0" xfId="1" applyFont="1" applyFill="1">
      <alignment vertical="center"/>
    </xf>
    <xf numFmtId="41" fontId="4" fillId="0" borderId="0" xfId="0" applyNumberFormat="1" applyFont="1">
      <alignment vertical="center"/>
    </xf>
    <xf numFmtId="41" fontId="15" fillId="0" borderId="1" xfId="1" applyFont="1" applyBorder="1">
      <alignment vertical="center"/>
    </xf>
    <xf numFmtId="0" fontId="15" fillId="0" borderId="1" xfId="0" applyFont="1" applyBorder="1" applyAlignment="1">
      <alignment horizontal="center" vertical="center" shrinkToFit="1"/>
    </xf>
    <xf numFmtId="9" fontId="4" fillId="10" borderId="8" xfId="2" applyFont="1" applyFill="1" applyBorder="1" applyAlignment="1">
      <alignment horizontal="center" vertical="center" shrinkToFit="1"/>
    </xf>
    <xf numFmtId="0" fontId="4" fillId="10" borderId="8" xfId="0" applyFont="1" applyFill="1" applyBorder="1" applyAlignment="1">
      <alignment horizontal="center" vertical="center" shrinkToFit="1"/>
    </xf>
    <xf numFmtId="41" fontId="4" fillId="10" borderId="8" xfId="1" applyFont="1" applyFill="1" applyBorder="1" applyAlignment="1">
      <alignment horizontal="center" vertical="center" shrinkToFit="1"/>
    </xf>
    <xf numFmtId="41" fontId="16" fillId="0" borderId="8" xfId="1" applyFont="1" applyFill="1" applyBorder="1" applyAlignment="1">
      <alignment horizontal="center" vertical="center" shrinkToFit="1"/>
    </xf>
    <xf numFmtId="41" fontId="16" fillId="10" borderId="8" xfId="1" applyFont="1" applyFill="1" applyBorder="1" applyAlignment="1">
      <alignment vertical="center" shrinkToFit="1"/>
    </xf>
    <xf numFmtId="41" fontId="16" fillId="10" borderId="8" xfId="1" applyFont="1" applyFill="1" applyBorder="1" applyAlignment="1">
      <alignment horizontal="center" vertical="center" shrinkToFit="1"/>
    </xf>
    <xf numFmtId="0" fontId="16" fillId="21" borderId="8" xfId="1" applyNumberFormat="1" applyFont="1" applyFill="1" applyBorder="1" applyAlignment="1">
      <alignment horizontal="center" vertical="center" shrinkToFit="1"/>
    </xf>
    <xf numFmtId="0" fontId="16" fillId="10" borderId="8" xfId="1" applyNumberFormat="1" applyFont="1" applyFill="1" applyBorder="1" applyAlignment="1">
      <alignment horizontal="center" vertical="center" wrapText="1" shrinkToFit="1"/>
    </xf>
    <xf numFmtId="0" fontId="16" fillId="8" borderId="8" xfId="0" applyFont="1" applyFill="1" applyBorder="1" applyAlignment="1">
      <alignment horizontal="center" vertical="center" shrinkToFit="1"/>
    </xf>
    <xf numFmtId="0" fontId="16" fillId="10" borderId="8" xfId="0" applyFont="1" applyFill="1" applyBorder="1" applyAlignment="1">
      <alignment horizontal="center" vertical="center" shrinkToFit="1"/>
    </xf>
    <xf numFmtId="0" fontId="16" fillId="10" borderId="8" xfId="0" applyFont="1" applyFill="1" applyBorder="1" applyAlignment="1">
      <alignment vertical="center" shrinkToFit="1"/>
    </xf>
    <xf numFmtId="41" fontId="4" fillId="11" borderId="9" xfId="1" applyFont="1" applyFill="1" applyBorder="1" applyAlignment="1">
      <alignment horizontal="right" vertical="center" shrinkToFit="1"/>
    </xf>
    <xf numFmtId="41" fontId="4" fillId="0" borderId="9" xfId="1" applyFont="1" applyFill="1" applyBorder="1" applyAlignment="1">
      <alignment horizontal="right" vertical="center" shrinkToFit="1"/>
    </xf>
    <xf numFmtId="41" fontId="4" fillId="11" borderId="9" xfId="1" applyFont="1" applyFill="1" applyBorder="1" applyAlignment="1">
      <alignment vertical="center" shrinkToFit="1"/>
    </xf>
    <xf numFmtId="41" fontId="4" fillId="0" borderId="10" xfId="1" applyFont="1" applyBorder="1" applyAlignment="1">
      <alignment horizontal="right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0" xfId="0" applyFont="1" applyBorder="1" applyAlignment="1">
      <alignment vertical="center" shrinkToFit="1"/>
    </xf>
    <xf numFmtId="0" fontId="4" fillId="0" borderId="10" xfId="0" applyFont="1" applyBorder="1" applyAlignment="1">
      <alignment horizontal="left" vertical="center" shrinkToFit="1"/>
    </xf>
    <xf numFmtId="0" fontId="17" fillId="0" borderId="11" xfId="0" applyFont="1" applyBorder="1" applyAlignment="1">
      <alignment horizontal="left" vertical="center"/>
    </xf>
    <xf numFmtId="41" fontId="5" fillId="2" borderId="0" xfId="1" applyFont="1" applyFill="1" applyBorder="1" applyAlignment="1">
      <alignment vertical="center" shrinkToFit="1"/>
    </xf>
    <xf numFmtId="41" fontId="6" fillId="10" borderId="6" xfId="1" applyFont="1" applyFill="1" applyBorder="1" applyAlignment="1">
      <alignment horizontal="right" vertical="center" shrinkToFit="1"/>
    </xf>
    <xf numFmtId="0" fontId="6" fillId="10" borderId="6" xfId="0" applyFont="1" applyFill="1" applyBorder="1" applyAlignment="1">
      <alignment horizontal="center" vertical="center" shrinkToFit="1"/>
    </xf>
    <xf numFmtId="0" fontId="4" fillId="10" borderId="6" xfId="0" applyFont="1" applyFill="1" applyBorder="1" applyAlignment="1">
      <alignment vertical="center" shrinkToFit="1"/>
    </xf>
    <xf numFmtId="41" fontId="4" fillId="10" borderId="6" xfId="1" applyFont="1" applyFill="1" applyBorder="1" applyAlignment="1">
      <alignment vertical="center" shrinkToFit="1"/>
    </xf>
    <xf numFmtId="41" fontId="6" fillId="12" borderId="6" xfId="1" applyFont="1" applyFill="1" applyBorder="1" applyAlignment="1">
      <alignment horizontal="right" vertical="center" shrinkToFit="1"/>
    </xf>
    <xf numFmtId="41" fontId="5" fillId="2" borderId="6" xfId="1" applyFont="1" applyFill="1" applyBorder="1" applyAlignment="1">
      <alignment vertical="center" shrinkToFit="1"/>
    </xf>
    <xf numFmtId="41" fontId="4" fillId="17" borderId="6" xfId="1" applyFont="1" applyFill="1" applyBorder="1">
      <alignment vertical="center"/>
    </xf>
    <xf numFmtId="9" fontId="5" fillId="0" borderId="6" xfId="2" applyFont="1" applyBorder="1">
      <alignment vertical="center"/>
    </xf>
    <xf numFmtId="41" fontId="5" fillId="0" borderId="6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1" fontId="6" fillId="15" borderId="6" xfId="1" applyFont="1" applyFill="1" applyBorder="1" applyAlignment="1">
      <alignment horizontal="right" vertical="center"/>
    </xf>
    <xf numFmtId="41" fontId="6" fillId="18" borderId="6" xfId="1" applyFont="1" applyFill="1" applyBorder="1" applyAlignment="1">
      <alignment horizontal="right" vertical="center"/>
    </xf>
    <xf numFmtId="0" fontId="4" fillId="19" borderId="6" xfId="0" applyFont="1" applyFill="1" applyBorder="1">
      <alignment vertical="center"/>
    </xf>
    <xf numFmtId="41" fontId="4" fillId="19" borderId="6" xfId="1" applyFont="1" applyFill="1" applyBorder="1">
      <alignment vertical="center"/>
    </xf>
    <xf numFmtId="41" fontId="6" fillId="19" borderId="6" xfId="1" applyFont="1" applyFill="1" applyBorder="1" applyAlignment="1">
      <alignment horizontal="right" vertical="center"/>
    </xf>
    <xf numFmtId="41" fontId="4" fillId="2" borderId="6" xfId="1" applyFont="1" applyFill="1" applyBorder="1" applyAlignment="1">
      <alignment horizontal="left" vertical="center"/>
    </xf>
    <xf numFmtId="41" fontId="6" fillId="18" borderId="6" xfId="1" applyFont="1" applyFill="1" applyBorder="1" applyAlignment="1">
      <alignment horizontal="left" vertical="center"/>
    </xf>
    <xf numFmtId="41" fontId="6" fillId="2" borderId="6" xfId="1" applyFont="1" applyFill="1" applyBorder="1" applyAlignment="1">
      <alignment horizontal="left" vertical="center"/>
    </xf>
    <xf numFmtId="41" fontId="6" fillId="20" borderId="6" xfId="3" applyFont="1" applyFill="1" applyBorder="1" applyAlignment="1">
      <alignment horizontal="right" vertical="center"/>
    </xf>
    <xf numFmtId="41" fontId="6" fillId="2" borderId="6" xfId="3" applyFont="1" applyFill="1" applyBorder="1" applyAlignment="1">
      <alignment horizontal="right" vertical="center"/>
    </xf>
    <xf numFmtId="0" fontId="4" fillId="7" borderId="6" xfId="0" applyFont="1" applyFill="1" applyBorder="1">
      <alignment vertical="center"/>
    </xf>
    <xf numFmtId="0" fontId="0" fillId="0" borderId="0" xfId="0" applyAlignment="1">
      <alignment horizontal="center" vertical="center"/>
    </xf>
    <xf numFmtId="41" fontId="0" fillId="16" borderId="0" xfId="1" applyFont="1" applyFill="1">
      <alignment vertical="center"/>
    </xf>
    <xf numFmtId="0" fontId="18" fillId="16" borderId="0" xfId="0" applyFont="1" applyFill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41" fontId="19" fillId="0" borderId="13" xfId="1" applyFont="1" applyBorder="1" applyAlignment="1">
      <alignment vertical="center"/>
    </xf>
    <xf numFmtId="41" fontId="20" fillId="0" borderId="14" xfId="1" applyFont="1" applyBorder="1">
      <alignment vertical="center"/>
    </xf>
    <xf numFmtId="0" fontId="20" fillId="0" borderId="15" xfId="0" applyFont="1" applyBorder="1" applyAlignment="1">
      <alignment horizontal="center" vertical="center"/>
    </xf>
    <xf numFmtId="41" fontId="19" fillId="0" borderId="16" xfId="1" applyFont="1" applyBorder="1" applyAlignment="1">
      <alignment vertical="center"/>
    </xf>
    <xf numFmtId="41" fontId="19" fillId="0" borderId="1" xfId="1" applyFont="1" applyBorder="1">
      <alignment vertical="center"/>
    </xf>
    <xf numFmtId="0" fontId="19" fillId="0" borderId="17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41" fontId="19" fillId="0" borderId="18" xfId="1" applyFont="1" applyBorder="1" applyAlignment="1">
      <alignment vertical="center"/>
    </xf>
    <xf numFmtId="41" fontId="19" fillId="0" borderId="19" xfId="1" applyFont="1" applyBorder="1">
      <alignment vertical="center"/>
    </xf>
    <xf numFmtId="0" fontId="19" fillId="0" borderId="20" xfId="0" applyFont="1" applyBorder="1" applyAlignment="1">
      <alignment horizontal="center" vertical="center"/>
    </xf>
    <xf numFmtId="0" fontId="22" fillId="16" borderId="1" xfId="0" applyFont="1" applyFill="1" applyBorder="1" applyAlignment="1">
      <alignment horizontal="right" vertical="center"/>
    </xf>
    <xf numFmtId="0" fontId="22" fillId="16" borderId="1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41" fontId="19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0" borderId="1" xfId="0" applyFont="1" applyBorder="1" applyAlignment="1">
      <alignment horizontal="center" vertical="center"/>
    </xf>
    <xf numFmtId="41" fontId="19" fillId="0" borderId="1" xfId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41" fontId="19" fillId="0" borderId="0" xfId="1" applyFont="1">
      <alignment vertical="center"/>
    </xf>
    <xf numFmtId="0" fontId="19" fillId="0" borderId="0" xfId="0" applyFont="1">
      <alignment vertical="center"/>
    </xf>
    <xf numFmtId="41" fontId="22" fillId="16" borderId="1" xfId="1" applyFont="1" applyFill="1" applyBorder="1">
      <alignment vertical="center"/>
    </xf>
    <xf numFmtId="41" fontId="21" fillId="0" borderId="1" xfId="1" applyFont="1" applyBorder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41" fontId="21" fillId="0" borderId="1" xfId="1" applyFont="1" applyFill="1" applyBorder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41" fontId="22" fillId="16" borderId="22" xfId="1" applyFont="1" applyFill="1" applyBorder="1" applyAlignment="1">
      <alignment horizontal="center" vertical="center"/>
    </xf>
    <xf numFmtId="41" fontId="22" fillId="16" borderId="1" xfId="1" applyFont="1" applyFill="1" applyBorder="1" applyAlignment="1">
      <alignment horizontal="center" vertical="center"/>
    </xf>
    <xf numFmtId="0" fontId="19" fillId="0" borderId="0" xfId="0" applyFont="1" applyAlignment="1">
      <alignment horizontal="right"/>
    </xf>
    <xf numFmtId="0" fontId="24" fillId="0" borderId="23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10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1" xfId="0" applyFill="1" applyBorder="1">
      <alignment vertical="center"/>
    </xf>
    <xf numFmtId="0" fontId="26" fillId="0" borderId="0" xfId="0" applyFont="1" applyAlignment="1">
      <alignment horizontal="left" vertical="center" shrinkToFit="1"/>
    </xf>
    <xf numFmtId="0" fontId="26" fillId="0" borderId="1" xfId="0" applyFont="1" applyBorder="1" applyAlignment="1">
      <alignment horizontal="left" vertical="center" shrinkToFit="1"/>
    </xf>
    <xf numFmtId="0" fontId="0" fillId="10" borderId="0" xfId="0" applyFill="1">
      <alignment vertical="center"/>
    </xf>
    <xf numFmtId="0" fontId="28" fillId="10" borderId="1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29" fillId="10" borderId="0" xfId="0" applyFont="1" applyFill="1" applyAlignment="1">
      <alignment horizontal="center" vertical="center" wrapText="1" shrinkToFit="1"/>
    </xf>
    <xf numFmtId="0" fontId="29" fillId="10" borderId="1" xfId="0" applyFont="1" applyFill="1" applyBorder="1" applyAlignment="1">
      <alignment horizontal="center" vertical="center" wrapText="1" shrinkToFit="1"/>
    </xf>
    <xf numFmtId="41" fontId="30" fillId="0" borderId="0" xfId="0" applyNumberFormat="1" applyFont="1">
      <alignment vertical="center"/>
    </xf>
    <xf numFmtId="41" fontId="0" fillId="0" borderId="0" xfId="0" applyNumberFormat="1">
      <alignment vertical="center"/>
    </xf>
    <xf numFmtId="41" fontId="30" fillId="0" borderId="0" xfId="1" applyFont="1">
      <alignment vertical="center"/>
    </xf>
    <xf numFmtId="41" fontId="2" fillId="0" borderId="0" xfId="1" applyFont="1">
      <alignment vertical="center"/>
    </xf>
    <xf numFmtId="0" fontId="0" fillId="22" borderId="0" xfId="0" applyFill="1">
      <alignment vertical="center"/>
    </xf>
    <xf numFmtId="0" fontId="31" fillId="0" borderId="0" xfId="0" applyFont="1">
      <alignment vertical="center"/>
    </xf>
    <xf numFmtId="41" fontId="32" fillId="0" borderId="0" xfId="1" applyFont="1" applyAlignment="1">
      <alignment horizontal="center" vertical="center"/>
    </xf>
    <xf numFmtId="41" fontId="31" fillId="0" borderId="0" xfId="1" applyFont="1">
      <alignment vertical="center"/>
    </xf>
    <xf numFmtId="0" fontId="31" fillId="0" borderId="0" xfId="0" applyFont="1" applyAlignment="1">
      <alignment horizontal="left" vertical="center" shrinkToFit="1"/>
    </xf>
    <xf numFmtId="41" fontId="33" fillId="0" borderId="24" xfId="1" applyFont="1" applyBorder="1" applyAlignment="1">
      <alignment horizontal="center" vertical="center"/>
    </xf>
    <xf numFmtId="0" fontId="34" fillId="23" borderId="24" xfId="0" applyFont="1" applyFill="1" applyBorder="1" applyAlignment="1">
      <alignment horizontal="center" vertical="center" wrapText="1"/>
    </xf>
    <xf numFmtId="41" fontId="34" fillId="23" borderId="25" xfId="1" applyFont="1" applyFill="1" applyBorder="1" applyAlignment="1">
      <alignment horizontal="center" vertical="center" wrapText="1"/>
    </xf>
    <xf numFmtId="41" fontId="33" fillId="0" borderId="3" xfId="1" applyFont="1" applyBorder="1" applyAlignment="1">
      <alignment horizontal="center" vertical="center"/>
    </xf>
    <xf numFmtId="41" fontId="35" fillId="0" borderId="3" xfId="1" applyFont="1" applyBorder="1">
      <alignment vertical="center"/>
    </xf>
    <xf numFmtId="41" fontId="33" fillId="0" borderId="3" xfId="1" applyFont="1" applyBorder="1">
      <alignment vertical="center"/>
    </xf>
    <xf numFmtId="0" fontId="33" fillId="0" borderId="3" xfId="0" applyFont="1" applyBorder="1">
      <alignment vertical="center"/>
    </xf>
    <xf numFmtId="0" fontId="32" fillId="0" borderId="0" xfId="0" applyFont="1">
      <alignment vertical="center"/>
    </xf>
    <xf numFmtId="0" fontId="36" fillId="0" borderId="26" xfId="0" applyFont="1" applyBorder="1" applyAlignment="1">
      <alignment horizontal="right" vertical="center" wrapText="1" indent="1"/>
    </xf>
    <xf numFmtId="41" fontId="37" fillId="10" borderId="27" xfId="1" applyFont="1" applyFill="1" applyBorder="1" applyAlignment="1">
      <alignment horizontal="right" vertical="center" wrapText="1" indent="1"/>
    </xf>
    <xf numFmtId="41" fontId="36" fillId="0" borderId="27" xfId="1" applyFont="1" applyBorder="1" applyAlignment="1">
      <alignment horizontal="right" vertical="center" wrapText="1" indent="1"/>
    </xf>
    <xf numFmtId="0" fontId="36" fillId="10" borderId="28" xfId="0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6" fillId="0" borderId="29" xfId="0" applyFont="1" applyBorder="1" applyAlignment="1">
      <alignment horizontal="right" vertical="center" wrapText="1" indent="1"/>
    </xf>
    <xf numFmtId="41" fontId="37" fillId="10" borderId="30" xfId="1" applyFont="1" applyFill="1" applyBorder="1" applyAlignment="1">
      <alignment horizontal="right" vertical="center" wrapText="1" indent="1"/>
    </xf>
    <xf numFmtId="41" fontId="36" fillId="0" borderId="30" xfId="1" applyFont="1" applyBorder="1" applyAlignment="1">
      <alignment horizontal="right" vertical="center" wrapText="1" indent="1"/>
    </xf>
    <xf numFmtId="0" fontId="40" fillId="23" borderId="31" xfId="0" applyFont="1" applyFill="1" applyBorder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41" fontId="36" fillId="0" borderId="30" xfId="1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38" fillId="0" borderId="0" xfId="0" applyFont="1" applyAlignment="1">
      <alignment horizontal="center" vertical="center" wrapText="1"/>
    </xf>
    <xf numFmtId="0" fontId="36" fillId="0" borderId="33" xfId="0" applyFont="1" applyBorder="1" applyAlignment="1">
      <alignment horizontal="right" vertical="center" wrapText="1" indent="1"/>
    </xf>
    <xf numFmtId="41" fontId="36" fillId="0" borderId="34" xfId="1" applyFont="1" applyBorder="1" applyAlignment="1">
      <alignment horizontal="right" vertical="center" wrapText="1" indent="1"/>
    </xf>
    <xf numFmtId="0" fontId="36" fillId="0" borderId="35" xfId="0" applyFont="1" applyBorder="1" applyAlignment="1">
      <alignment horizontal="center" vertical="center" wrapText="1"/>
    </xf>
    <xf numFmtId="41" fontId="40" fillId="23" borderId="37" xfId="1" applyFont="1" applyFill="1" applyBorder="1" applyAlignment="1">
      <alignment horizontal="center" vertical="center" wrapText="1"/>
    </xf>
    <xf numFmtId="41" fontId="32" fillId="0" borderId="23" xfId="1" applyFont="1" applyBorder="1" applyAlignment="1">
      <alignment horizontal="center" vertical="center"/>
    </xf>
    <xf numFmtId="41" fontId="31" fillId="0" borderId="23" xfId="1" applyFont="1" applyBorder="1">
      <alignment vertical="center"/>
    </xf>
    <xf numFmtId="0" fontId="31" fillId="0" borderId="23" xfId="0" applyFont="1" applyBorder="1">
      <alignment vertical="center"/>
    </xf>
    <xf numFmtId="0" fontId="31" fillId="0" borderId="43" xfId="0" applyFont="1" applyBorder="1">
      <alignment vertical="center"/>
    </xf>
    <xf numFmtId="0" fontId="31" fillId="0" borderId="43" xfId="0" applyFont="1" applyBorder="1" applyAlignment="1">
      <alignment horizontal="left" vertical="center" shrinkToFit="1"/>
    </xf>
    <xf numFmtId="41" fontId="43" fillId="24" borderId="44" xfId="1" applyFont="1" applyFill="1" applyBorder="1" applyAlignment="1">
      <alignment horizontal="center" vertical="center"/>
    </xf>
    <xf numFmtId="41" fontId="33" fillId="0" borderId="0" xfId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41" fontId="43" fillId="0" borderId="45" xfId="1" applyFont="1" applyBorder="1" applyAlignment="1">
      <alignment horizontal="center" vertical="center"/>
    </xf>
    <xf numFmtId="41" fontId="43" fillId="0" borderId="0" xfId="1" applyFont="1" applyAlignment="1">
      <alignment horizontal="center" vertical="center"/>
    </xf>
    <xf numFmtId="41" fontId="33" fillId="10" borderId="0" xfId="1" applyFont="1" applyFill="1" applyAlignment="1">
      <alignment horizontal="center" vertical="center"/>
    </xf>
    <xf numFmtId="0" fontId="33" fillId="0" borderId="23" xfId="0" applyFont="1" applyBorder="1">
      <alignment vertical="center"/>
    </xf>
    <xf numFmtId="0" fontId="33" fillId="0" borderId="23" xfId="0" applyFont="1" applyBorder="1" applyAlignment="1">
      <alignment horizontal="center" vertical="center" shrinkToFit="1"/>
    </xf>
    <xf numFmtId="0" fontId="33" fillId="0" borderId="0" xfId="0" applyFont="1" applyAlignment="1">
      <alignment horizontal="center" vertical="center" shrinkToFit="1"/>
    </xf>
    <xf numFmtId="0" fontId="33" fillId="0" borderId="0" xfId="0" applyFont="1">
      <alignment vertical="center"/>
    </xf>
    <xf numFmtId="0" fontId="33" fillId="0" borderId="0" xfId="0" applyFont="1" applyAlignment="1">
      <alignment horizontal="left" vertical="center" shrinkToFit="1"/>
    </xf>
    <xf numFmtId="0" fontId="33" fillId="0" borderId="0" xfId="0" applyFont="1" applyAlignment="1">
      <alignment horizontal="center" vertical="center"/>
    </xf>
    <xf numFmtId="0" fontId="33" fillId="10" borderId="0" xfId="0" applyFont="1" applyFill="1">
      <alignment vertical="center"/>
    </xf>
    <xf numFmtId="41" fontId="33" fillId="0" borderId="0" xfId="0" applyNumberFormat="1" applyFont="1">
      <alignment vertical="center"/>
    </xf>
    <xf numFmtId="41" fontId="33" fillId="0" borderId="0" xfId="0" applyNumberFormat="1" applyFont="1" applyAlignment="1">
      <alignment horizontal="center" vertical="center"/>
    </xf>
    <xf numFmtId="41" fontId="43" fillId="24" borderId="46" xfId="1" applyFont="1" applyFill="1" applyBorder="1" applyAlignment="1">
      <alignment horizontal="center" vertical="center"/>
    </xf>
    <xf numFmtId="0" fontId="33" fillId="0" borderId="0" xfId="0" pivotButton="1" applyFont="1" applyAlignment="1">
      <alignment horizontal="center" vertical="center"/>
    </xf>
    <xf numFmtId="0" fontId="33" fillId="0" borderId="0" xfId="0" pivotButton="1" applyFont="1" applyAlignment="1">
      <alignment horizontal="center" vertical="center" shrinkToFit="1"/>
    </xf>
    <xf numFmtId="0" fontId="0" fillId="0" borderId="0" xfId="0" applyNumberFormat="1">
      <alignment vertical="center"/>
    </xf>
    <xf numFmtId="41" fontId="4" fillId="0" borderId="1" xfId="1" applyFont="1" applyBorder="1">
      <alignment vertical="center"/>
    </xf>
    <xf numFmtId="41" fontId="0" fillId="0" borderId="0" xfId="1" pivotButton="1" applyFont="1">
      <alignment vertical="center"/>
    </xf>
    <xf numFmtId="0" fontId="5" fillId="2" borderId="4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41" fontId="4" fillId="15" borderId="4" xfId="1" applyFont="1" applyFill="1" applyBorder="1" applyAlignment="1">
      <alignment horizontal="center" vertical="center" shrinkToFit="1"/>
    </xf>
    <xf numFmtId="41" fontId="4" fillId="15" borderId="3" xfId="1" applyFont="1" applyFill="1" applyBorder="1" applyAlignment="1">
      <alignment horizontal="center" vertical="center" shrinkToFit="1"/>
    </xf>
    <xf numFmtId="41" fontId="4" fillId="15" borderId="2" xfId="1" applyFont="1" applyFill="1" applyBorder="1" applyAlignment="1">
      <alignment horizontal="center" vertical="center" shrinkToFit="1"/>
    </xf>
    <xf numFmtId="0" fontId="21" fillId="16" borderId="4" xfId="0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40" fillId="23" borderId="42" xfId="0" applyFont="1" applyFill="1" applyBorder="1" applyAlignment="1">
      <alignment horizontal="center" vertical="center" wrapText="1"/>
    </xf>
    <xf numFmtId="0" fontId="40" fillId="23" borderId="38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41" fontId="40" fillId="23" borderId="41" xfId="1" applyFont="1" applyFill="1" applyBorder="1" applyAlignment="1">
      <alignment horizontal="center" vertical="center" wrapText="1"/>
    </xf>
    <xf numFmtId="41" fontId="40" fillId="23" borderId="40" xfId="1" applyFont="1" applyFill="1" applyBorder="1" applyAlignment="1">
      <alignment horizontal="center" vertical="center" wrapText="1"/>
    </xf>
    <xf numFmtId="0" fontId="40" fillId="23" borderId="39" xfId="0" applyFont="1" applyFill="1" applyBorder="1" applyAlignment="1">
      <alignment horizontal="center" vertical="center" wrapText="1"/>
    </xf>
    <xf numFmtId="0" fontId="40" fillId="23" borderId="36" xfId="0" applyFont="1" applyFill="1" applyBorder="1" applyAlignment="1">
      <alignment horizontal="center" vertical="center" wrapText="1"/>
    </xf>
  </cellXfs>
  <cellStyles count="4">
    <cellStyle name="백분율" xfId="2" builtinId="5"/>
    <cellStyle name="쉼표 [0]" xfId="1" builtinId="6"/>
    <cellStyle name="쉼표 [0] 3" xfId="3" xr:uid="{3B44F280-5189-4883-A82F-D5402D764255}"/>
    <cellStyle name="표준" xfId="0" builtinId="0"/>
  </cellStyles>
  <dxfs count="1006"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2060"/>
      </font>
    </dxf>
    <dxf>
      <font>
        <color auto="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FF0000"/>
      </font>
    </dxf>
    <dxf>
      <font>
        <color rgb="FF002060"/>
      </font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font>
        <sz val="22"/>
      </font>
    </dxf>
    <dxf>
      <font>
        <sz val="22"/>
      </font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right"/>
    </dxf>
    <dxf>
      <alignment horizontal="right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font>
        <name val="KoPubWorld돋움체 Medium"/>
        <scheme val="none"/>
      </font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77;&#50976;%20&#46300;&#46972;&#51060;&#48652;\&#50896;&#51452;&#45824;&#54617;&#54785;&#49888;&#51648;&#50896;&#49324;&#50629;&#45800;\2026%20&#45824;&#54617;&#54785;&#49888;&#51648;&#50896;&#49324;&#50629;\01.%20&#50696;&#49328;\&#48512;&#49436;&#50836;&#52397;&#51088;&#47308;\&#49440;&#48176;&#51221;&#49888;&#52397;&#50577;&#49885;_2026%20&#54785;&#49888;&#51648;&#50896;&#49324;&#50629;%20&#50696;&#49328;&#45236;&#50669;(&#50504;)_IR&#49468;&#53552;(260414)_&#44048;&#50529;%20&#48152;&#50689;_B-1-&#4403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BizboxA/2026%20&#54785;&#49888;&#51648;&#50896;&#49324;&#50629;%20&#50696;&#49328;&#45236;&#50669;(&#50504;)_&#47672;&#47112;&#51060;&#48393;&#49324;&#49468;&#53552;_&#44592;&#53440;&#54785;&#49888;_2026.4.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예산작성요령"/>
      <sheetName val="★예산내역(부서작성내역)"/>
      <sheetName val="★예산내역(부서작성내역)_조정"/>
      <sheetName val="코드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실험실습비/학부</v>
          </cell>
          <cell r="C3">
            <v>4323101</v>
          </cell>
          <cell r="E3" t="str">
            <v>치위생학과</v>
          </cell>
          <cell r="F3" t="str">
            <v>2805</v>
          </cell>
        </row>
        <row r="4">
          <cell r="B4" t="str">
            <v>교외장학금</v>
          </cell>
          <cell r="C4">
            <v>4321701</v>
          </cell>
          <cell r="E4" t="str">
            <v>임상병리학</v>
          </cell>
          <cell r="F4" t="str">
            <v>2903</v>
          </cell>
        </row>
        <row r="5">
          <cell r="B5" t="str">
            <v>기타운영비:부서별</v>
          </cell>
          <cell r="C5">
            <v>4241130</v>
          </cell>
          <cell r="E5" t="str">
            <v>물리치료학과</v>
          </cell>
          <cell r="F5" t="str">
            <v>2916</v>
          </cell>
        </row>
        <row r="6">
          <cell r="B6" t="str">
            <v>업무용기계기구구입지출</v>
          </cell>
          <cell r="C6">
            <v>1314903</v>
          </cell>
          <cell r="E6" t="str">
            <v>작업치료학과</v>
          </cell>
          <cell r="F6" t="str">
            <v>2917</v>
          </cell>
        </row>
        <row r="7">
          <cell r="B7" t="str">
            <v>업무용비품구입지출</v>
          </cell>
          <cell r="C7">
            <v>1315903</v>
          </cell>
          <cell r="E7" t="str">
            <v>정경대학원</v>
          </cell>
          <cell r="F7" t="str">
            <v>7810</v>
          </cell>
        </row>
        <row r="8">
          <cell r="B8" t="str">
            <v>교원기타수당</v>
          </cell>
          <cell r="C8">
            <v>4113401</v>
          </cell>
          <cell r="E8" t="str">
            <v>일반대학원</v>
          </cell>
          <cell r="F8" t="str">
            <v>7840</v>
          </cell>
        </row>
        <row r="9">
          <cell r="B9" t="str">
            <v>행정사무직수당:부서</v>
          </cell>
          <cell r="C9">
            <v>4123802</v>
          </cell>
          <cell r="E9" t="str">
            <v>혁신전략기획팀</v>
          </cell>
          <cell r="F9" t="str">
            <v>8621</v>
          </cell>
        </row>
        <row r="10">
          <cell r="B10" t="str">
            <v>교원기타수당</v>
          </cell>
          <cell r="C10">
            <v>4113401</v>
          </cell>
          <cell r="E10" t="str">
            <v>IR센터</v>
          </cell>
          <cell r="F10" t="str">
            <v>8623</v>
          </cell>
        </row>
        <row r="11">
          <cell r="B11" t="str">
            <v>건축물관리비:기타</v>
          </cell>
          <cell r="C11">
            <v>4211402</v>
          </cell>
          <cell r="E11" t="str">
            <v>대외협력팀</v>
          </cell>
          <cell r="F11" t="str">
            <v>8627</v>
          </cell>
        </row>
        <row r="12">
          <cell r="B12" t="str">
            <v>기타학생경비:부서별</v>
          </cell>
          <cell r="C12">
            <v>4329701</v>
          </cell>
          <cell r="E12" t="str">
            <v>교무팀</v>
          </cell>
          <cell r="F12" t="str">
            <v>8631</v>
          </cell>
        </row>
        <row r="13">
          <cell r="B13" t="str">
            <v>전기수도료:전기료</v>
          </cell>
          <cell r="C13">
            <v>4226101</v>
          </cell>
          <cell r="E13" t="str">
            <v>학사지원팀</v>
          </cell>
          <cell r="F13" t="str">
            <v>8634</v>
          </cell>
        </row>
        <row r="14">
          <cell r="B14" t="str">
            <v>교육용기계기구구입지출</v>
          </cell>
          <cell r="C14">
            <v>1314901</v>
          </cell>
          <cell r="E14" t="str">
            <v>RC융합대학</v>
          </cell>
          <cell r="F14" t="str">
            <v>8639</v>
          </cell>
        </row>
        <row r="15">
          <cell r="B15" t="str">
            <v>특별강의료:특별강의료</v>
          </cell>
          <cell r="C15">
            <v>4116101</v>
          </cell>
          <cell r="E15" t="str">
            <v>학생지원팀</v>
          </cell>
          <cell r="F15" t="str">
            <v>8641</v>
          </cell>
        </row>
        <row r="16">
          <cell r="B16" t="str">
            <v>비전임교원보험통합</v>
          </cell>
          <cell r="C16">
            <v>4118509</v>
          </cell>
          <cell r="E16" t="str">
            <v>심리상담센터</v>
          </cell>
          <cell r="F16" t="str">
            <v>8647</v>
          </cell>
        </row>
        <row r="17">
          <cell r="B17" t="str">
            <v>임시직/급여:보험통합</v>
          </cell>
          <cell r="C17">
            <v>4125509</v>
          </cell>
          <cell r="E17" t="str">
            <v>인사총무팀</v>
          </cell>
          <cell r="F17" t="str">
            <v>8651</v>
          </cell>
        </row>
        <row r="18">
          <cell r="B18" t="str">
            <v>일반용역비:부서별</v>
          </cell>
          <cell r="C18">
            <v>4233201</v>
          </cell>
          <cell r="E18" t="str">
            <v>인권센터</v>
          </cell>
          <cell r="F18" t="str">
            <v>8655</v>
          </cell>
        </row>
        <row r="19">
          <cell r="B19" t="str">
            <v>기타운영비:부서별</v>
          </cell>
          <cell r="C19">
            <v>4241130</v>
          </cell>
          <cell r="E19" t="str">
            <v>시설관리팀</v>
          </cell>
          <cell r="F19" t="str">
            <v>8671</v>
          </cell>
        </row>
        <row r="20">
          <cell r="B20" t="str">
            <v>교원급여/본봉</v>
          </cell>
          <cell r="C20">
            <v>4111101</v>
          </cell>
          <cell r="E20" t="str">
            <v>안전관리팀</v>
          </cell>
          <cell r="F20" t="str">
            <v>8673</v>
          </cell>
        </row>
        <row r="21">
          <cell r="B21" t="str">
            <v>비전임교원인건비</v>
          </cell>
          <cell r="C21">
            <v>4118701</v>
          </cell>
          <cell r="E21" t="str">
            <v>미래융합교육혁신원</v>
          </cell>
          <cell r="F21" t="str">
            <v>8701</v>
          </cell>
        </row>
        <row r="22">
          <cell r="B22" t="str">
            <v>비전임교원수당</v>
          </cell>
          <cell r="C22">
            <v>4118702</v>
          </cell>
          <cell r="E22" t="str">
            <v>창업교육센터</v>
          </cell>
          <cell r="F22" t="str">
            <v>8710</v>
          </cell>
        </row>
        <row r="23">
          <cell r="B23" t="str">
            <v>직원제수당:시간외수당</v>
          </cell>
          <cell r="C23">
            <v>4123301</v>
          </cell>
          <cell r="E23" t="str">
            <v>경력개발팀</v>
          </cell>
          <cell r="F23" t="str">
            <v>8711</v>
          </cell>
        </row>
        <row r="24">
          <cell r="B24" t="str">
            <v>행정사무직 수당</v>
          </cell>
          <cell r="C24">
            <v>4123801</v>
          </cell>
          <cell r="E24" t="str">
            <v>진로교육센터</v>
          </cell>
          <cell r="F24" t="str">
            <v>8714</v>
          </cell>
        </row>
        <row r="25">
          <cell r="B25" t="str">
            <v>임시직/급여</v>
          </cell>
          <cell r="C25">
            <v>4125101</v>
          </cell>
          <cell r="E25" t="str">
            <v>머레이봉사센터</v>
          </cell>
          <cell r="F25" t="str">
            <v>8717</v>
          </cell>
        </row>
        <row r="26">
          <cell r="B26" t="str">
            <v>임시직/수당</v>
          </cell>
          <cell r="C26">
            <v>4125301</v>
          </cell>
          <cell r="E26" t="str">
            <v>현장실습지원센터</v>
          </cell>
          <cell r="F26" t="str">
            <v>8718</v>
          </cell>
        </row>
        <row r="27">
          <cell r="B27" t="str">
            <v>임시직수당:부서별</v>
          </cell>
          <cell r="C27">
            <v>4125302</v>
          </cell>
          <cell r="E27" t="str">
            <v>미래대학혁신지원사업단</v>
          </cell>
          <cell r="F27">
            <v>8719</v>
          </cell>
        </row>
        <row r="28">
          <cell r="B28" t="str">
            <v>직원퇴직:임시직퇴직</v>
          </cell>
          <cell r="C28">
            <v>4125602</v>
          </cell>
          <cell r="E28" t="str">
            <v>미래평생교육원</v>
          </cell>
          <cell r="F28" t="str">
            <v>8725</v>
          </cell>
        </row>
        <row r="29">
          <cell r="B29" t="str">
            <v>기타</v>
          </cell>
          <cell r="C29" t="str">
            <v>기타</v>
          </cell>
          <cell r="E29" t="str">
            <v>원주박물관</v>
          </cell>
          <cell r="F29" t="str">
            <v>8752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★예산내역(부서작성내역)"/>
      <sheetName val="코드"/>
    </sheetNames>
    <sheetDataSet>
      <sheetData sheetId="0"/>
      <sheetData sheetId="1"/>
      <sheetData sheetId="2">
        <row r="3">
          <cell r="E3" t="str">
            <v>치위생학과</v>
          </cell>
          <cell r="F3" t="str">
            <v>2805</v>
          </cell>
        </row>
        <row r="4">
          <cell r="E4" t="str">
            <v>임상병리학</v>
          </cell>
          <cell r="F4" t="str">
            <v>2903</v>
          </cell>
        </row>
        <row r="5">
          <cell r="E5" t="str">
            <v>물리치료학과</v>
          </cell>
          <cell r="F5" t="str">
            <v>2916</v>
          </cell>
        </row>
        <row r="6">
          <cell r="E6" t="str">
            <v>작업치료학과</v>
          </cell>
          <cell r="F6" t="str">
            <v>2917</v>
          </cell>
        </row>
        <row r="7">
          <cell r="E7" t="str">
            <v>정경대학원</v>
          </cell>
          <cell r="F7" t="str">
            <v>7810</v>
          </cell>
        </row>
        <row r="8">
          <cell r="E8" t="str">
            <v>일반대학원</v>
          </cell>
          <cell r="F8" t="str">
            <v>7840</v>
          </cell>
        </row>
        <row r="9">
          <cell r="E9" t="str">
            <v>혁신전략기획팀</v>
          </cell>
          <cell r="F9" t="str">
            <v>8621</v>
          </cell>
        </row>
        <row r="10">
          <cell r="E10" t="str">
            <v>IR센터</v>
          </cell>
          <cell r="F10" t="str">
            <v>8623</v>
          </cell>
        </row>
        <row r="11">
          <cell r="E11" t="str">
            <v>대외협력팀</v>
          </cell>
          <cell r="F11" t="str">
            <v>8627</v>
          </cell>
        </row>
        <row r="12">
          <cell r="E12" t="str">
            <v>교무팀</v>
          </cell>
          <cell r="F12" t="str">
            <v>8631</v>
          </cell>
        </row>
        <row r="13">
          <cell r="E13" t="str">
            <v>학사지원팀</v>
          </cell>
          <cell r="F13" t="str">
            <v>8634</v>
          </cell>
        </row>
        <row r="14">
          <cell r="E14" t="str">
            <v>RC융합대학</v>
          </cell>
          <cell r="F14" t="str">
            <v>8639</v>
          </cell>
        </row>
        <row r="15">
          <cell r="E15" t="str">
            <v>학생지원팀</v>
          </cell>
          <cell r="F15" t="str">
            <v>8641</v>
          </cell>
        </row>
        <row r="16">
          <cell r="E16" t="str">
            <v>심리상담센터</v>
          </cell>
          <cell r="F16" t="str">
            <v>8647</v>
          </cell>
        </row>
        <row r="17">
          <cell r="E17" t="str">
            <v>인사총무팀</v>
          </cell>
          <cell r="F17" t="str">
            <v>8651</v>
          </cell>
        </row>
        <row r="18">
          <cell r="E18" t="str">
            <v>인권센터</v>
          </cell>
          <cell r="F18" t="str">
            <v>8655</v>
          </cell>
        </row>
        <row r="19">
          <cell r="E19" t="str">
            <v>시설관리팀</v>
          </cell>
          <cell r="F19" t="str">
            <v>8671</v>
          </cell>
        </row>
        <row r="20">
          <cell r="E20" t="str">
            <v>안전관리팀</v>
          </cell>
          <cell r="F20" t="str">
            <v>8673</v>
          </cell>
        </row>
        <row r="21">
          <cell r="E21" t="str">
            <v>미래융합교육혁신원</v>
          </cell>
          <cell r="F21" t="str">
            <v>8701</v>
          </cell>
        </row>
        <row r="22">
          <cell r="E22" t="str">
            <v>창업교육센터</v>
          </cell>
          <cell r="F22" t="str">
            <v>8710</v>
          </cell>
        </row>
        <row r="23">
          <cell r="E23" t="str">
            <v>경력개발팀</v>
          </cell>
          <cell r="F23" t="str">
            <v>8711</v>
          </cell>
        </row>
        <row r="24">
          <cell r="E24" t="str">
            <v>진로교육센터</v>
          </cell>
          <cell r="F24" t="str">
            <v>8714</v>
          </cell>
        </row>
        <row r="25">
          <cell r="E25" t="str">
            <v>머레이봉사센터</v>
          </cell>
          <cell r="F25" t="str">
            <v>8717</v>
          </cell>
        </row>
        <row r="26">
          <cell r="E26" t="str">
            <v>현장실습지원센터</v>
          </cell>
          <cell r="F26" t="str">
            <v>8718</v>
          </cell>
        </row>
        <row r="27">
          <cell r="E27" t="str">
            <v>미래대학혁신지원사업단</v>
          </cell>
          <cell r="F27">
            <v>8719</v>
          </cell>
        </row>
        <row r="28">
          <cell r="E28" t="str">
            <v>미래평생교육원</v>
          </cell>
          <cell r="F28" t="str">
            <v>8725</v>
          </cell>
        </row>
        <row r="29">
          <cell r="E29" t="str">
            <v>원주박물관</v>
          </cell>
          <cell r="F29" t="str">
            <v>8752</v>
          </cell>
        </row>
      </sheetData>
    </sheetDataSet>
  </externalBook>
</externalLink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user" refreshedDate="46255.47816111111" createdVersion="7" refreshedVersion="7" minRefreshableVersion="3" recordCount="460" xr:uid="{010D9E26-728B-476E-931B-CEB14E88EA31}">
  <cacheSource type="worksheet">
    <worksheetSource ref="M100" sheet="예산내역(11차배정후)"/>
  </cacheSource>
  <cacheFields count="20">
    <cacheField name="영역" numFmtId="0">
      <sharedItems containsBlank="1"/>
    </cacheField>
    <cacheField name="부서_x000a_(팀명)" numFmtId="0">
      <sharedItems containsBlank="1" count="24">
        <m/>
        <s v="학사지원팀"/>
        <s v="현장실습지원센터"/>
        <s v="IR센터"/>
        <s v="경력개발팀"/>
        <s v="심리상담센터"/>
        <s v="미래융합교육혁신원"/>
        <s v="RC융합대학"/>
        <s v="교무팀"/>
        <s v="혁신전략기획팀"/>
        <s v="미래평생교육원"/>
        <s v="미래대학혁신지원사업단"/>
        <s v="정보통신팀"/>
        <s v="안전관리팀"/>
        <s v="인권센터"/>
        <s v="시설관리팀"/>
        <s v="원주박물관"/>
        <s v="대외협력팀"/>
        <s v="인사총무팀"/>
        <s v="머레이봉사센터"/>
        <s v="미배정"/>
        <s v="전기요금"/>
        <s v="인건비지원"/>
        <s v="보건과학대학" u="1"/>
      </sharedItems>
    </cacheField>
    <cacheField name="부서코드" numFmtId="0">
      <sharedItems containsBlank="1" containsMixedTypes="1" containsNumber="1" containsInteger="1" minValue="8693" maxValue="8719"/>
    </cacheField>
    <cacheField name="세부과제_x000a_(드롭박스)" numFmtId="0">
      <sharedItems containsBlank="1" count="20">
        <m/>
        <s v="[A-1]AI기반 학사제도 다양화"/>
        <s v="[A-2]AI 융합 전공 혁신"/>
        <s v="[A-3]미래를 대비하는 데이터 기반 교육 혁신"/>
        <s v="[B-1]학생 성공 AI에듀가이드 고도화"/>
        <s v="[B-2]AI 온디맨드 경력개발 지원체계 구축"/>
        <s v="[B-3]마음건강 마이크로케어 플랫폼 고도화"/>
        <s v="[C-1]AI 기반 교육과정 혁신 및 수업모델 개발"/>
        <s v="[C-2]AI-Edutech 기반 교수-학습 역량 강화"/>
        <s v="[C-3]AI-Data 기반 교육과정 성과 관리"/>
        <s v="[D-1]포용과 통합의 RC실천교육 모델"/>
        <s v="[D-2]진단-맞춤형 기초학습 생태계 구축"/>
        <s v="[D-3]데이터기반 자기주도 전공진로 설계 지원"/>
        <s v="[E-1]교원 인사제도 및 학과평가 체계 개선"/>
        <s v="[E-2]디지털 기반 교육자원 재구조화"/>
        <s v="[E-3]실시간 성과 분석 환류 IR시스템 구축"/>
        <s v="[F-1]지역대학 공유·협력 활성화 및 성과 확산"/>
        <s v="[F-2]스마트 ESG 캠퍼스 조성"/>
        <s v="[F-3]지속가능한 발전을 위한 글로벌 사회 혁신"/>
        <s v="사업관리 및 운영"/>
      </sharedItems>
    </cacheField>
    <cacheField name="추진내용_x000a_(드롭박스)" numFmtId="0">
      <sharedItems containsBlank="1" count="54">
        <m/>
        <s v="가. 전공 조합의 다양화를 통한 학사제도 고도화"/>
        <s v="나. 학생중심 과목개설 및 도전학기제 도입"/>
        <s v="다. 자기설계 전공 고도화"/>
        <s v="가. AI융합 공통교과목 신설"/>
        <s v="나. 공통교과목 운영 고도화"/>
        <s v="다. 전공 맞춤형 실무역량 강화"/>
        <s v="가. 전공 간 융합을 위한 행정지원체계 강화"/>
        <s v="나. 데이터 기반 전공쏠림 대응"/>
        <s v="다. 데이터 기반 유연학사제도 고도화"/>
        <s v="가. AI 기능 고도화 및 통합 AI에듀가이드 제공"/>
        <s v="나. 사용자 편의성을 확대한 AI에듀가이드 구현"/>
        <s v="다. 학생 성공 선순환 고리 형성"/>
        <s v="가. AI기반 진로·취업 지원을 위한 경력개발 데이터 구축"/>
        <s v="나. 온디맨드 경력개발 서비스 운영"/>
        <s v="다. AI 온디맨드 경력개발 성과관리"/>
        <s v="가.마음건강 진단 및 예방체계 활성화"/>
        <s v="나. 다양성 존중 마이크로케어 지원체계 구축"/>
        <s v="다. 캠퍼스-지역사회 협력 마이크로케어 확산"/>
        <s v="가. AX 시대 역량기반 전공교육과정 혁신"/>
        <s v="나. AI 기반 전공 선택 지원 및 융합전공 확대"/>
        <s v="다. 현장·경험 기반 6P 혁신 수업모델 개발"/>
        <s v="가. AI-Edutech 기반 교수자 수업 혁신 지원"/>
        <s v="나. AI-Edutech 기반 학생성공(학습분야) 지원"/>
        <s v="다. 교수-학습 개선 성과 확산 및 지속가능 시스템 강화"/>
        <s v="가. AI·데이터 기반 교과교육과정의 적합성 및 품질관리"/>
        <s v="나. AI·데이터 기반 ECA프로그램 통합 및 성과 관리"/>
        <s v="다. AI·데이터 기반 초개인화 학생 역량 관리"/>
        <s v="가. 포용역량 강화를 위한 RC 프로그램 고도화"/>
        <s v="나. 공동체 기반 RC 참여·실천 활동 확대"/>
        <s v="다. RC실천교육 성과 공유 및 비전 확산"/>
        <s v="가. 신입생 진단 맞춤형 기초학습 시스템 연구"/>
        <s v="나. 기초·교양 교육과정 체계 정비 및 다양화"/>
        <s v="다. 데이터 기반 성과관리 및 환류 체계 강화 방안 연구"/>
        <s v="가. 데이터 기반 전공·진로 탐색 체계 개선"/>
        <s v="나. 전공·진로 탐색 경험 확대"/>
        <s v="다. 맞춤형 진단을 통한 전공·교양 설계 고도화"/>
        <s v="가. 교원 인사제도 개선"/>
        <s v="나. 학부(과) 성과평가제도 개선"/>
        <s v="가. 공유공간 확대를 통한 운영 효율화"/>
        <s v="나. 수요자 중심의 교육환경 개선"/>
        <s v="가. IR 거버넌스 및 운영 체계 확립"/>
        <s v="나. 데이터 통합 및 시각화 기반 성과 분석"/>
        <s v="다. 실시간 환류 및 공유 시스템 구축"/>
        <s v="가. 대학 간 교육과정 공유 "/>
        <s v="나. 인프라 공유·협력 체계 구축"/>
        <s v="다. 공유·협력 체계 효율화 방안 모색"/>
        <s v="가. 안전한 캠퍼스 조성"/>
        <s v="나. 문화·소통·참여를 통한 사회 기여"/>
        <s v="다. 운영체계 및 보고체계 정비"/>
        <s v="가. SDGs 기반 글로벌 공동 수업 혁신"/>
        <s v="나. SDGs 연계 글로벌 사회문제 해결"/>
        <s v="다. SDGs 성과확산 및 THE Impact 랭킹 제고"/>
        <s v="사업관리 및 운영"/>
      </sharedItems>
    </cacheField>
    <cacheField name="추진방법" numFmtId="0">
      <sharedItems containsBlank="1"/>
    </cacheField>
    <cacheField name="세부추진방법" numFmtId="0">
      <sharedItems containsBlank="1"/>
    </cacheField>
    <cacheField name="운영내용" numFmtId="0">
      <sharedItems containsBlank="1"/>
    </cacheField>
    <cacheField name="한국연구재단비목_x000a_(드롭박스)" numFmtId="0">
      <sharedItems containsBlank="1"/>
    </cacheField>
    <cacheField name="교내계정과목_x000a_(드롭박스)" numFmtId="0">
      <sharedItems containsBlank="1" count="19">
        <m/>
        <s v="기타운영비:부서별"/>
        <s v="교원기타수당"/>
        <s v="교외장학금"/>
        <s v="일반용역비:부서별"/>
        <s v="교육용기계기구구입지출"/>
        <s v="업무용비품구입지출"/>
        <s v="업무용기계기구구입지출"/>
        <s v="특별강의료:특별강의료"/>
        <s v="건축물관리비:기타"/>
        <s v="소모품비:각부서"/>
        <s v="교육용비품구입지출"/>
        <s v="행정사무직수당:부서"/>
        <s v="임시직/급여"/>
        <s v="임시직수당:부서별"/>
        <s v="행정사무직 수당"/>
        <s v="임시직/급여:보험통합"/>
        <s v="전기수도료:전기료"/>
        <s v="교원급여/본봉"/>
      </sharedItems>
    </cacheField>
    <cacheField name="계정코드" numFmtId="0">
      <sharedItems containsBlank="1" containsMixedTypes="1" containsNumber="1" containsInteger="1" minValue="1314901" maxValue="4321701" count="20">
        <m/>
        <n v="4241130"/>
        <n v="4113401"/>
        <e v="#N/A"/>
        <n v="4321701"/>
        <n v="4233201"/>
        <n v="1314901"/>
        <n v="1315903"/>
        <n v="1314903"/>
        <n v="4116101"/>
        <n v="4211402"/>
        <n v="4223401"/>
        <n v="1315901"/>
        <n v="4123802"/>
        <n v="4125101"/>
        <n v="4125302"/>
        <n v="4123801"/>
        <n v="4125509"/>
        <n v="4226101"/>
        <n v="4111101"/>
      </sharedItems>
    </cacheField>
    <cacheField name="세목_x000a_(사업단지침참고)" numFmtId="0">
      <sharedItems containsBlank="1"/>
    </cacheField>
    <cacheField name="자금코드" numFmtId="0">
      <sharedItems containsBlank="1"/>
    </cacheField>
    <cacheField name="산출내역" numFmtId="41">
      <sharedItems containsBlank="1" containsMixedTypes="1" containsNumber="1" containsInteger="1" minValue="0" maxValue="785500000"/>
    </cacheField>
    <cacheField name="산출내역2" numFmtId="41">
      <sharedItems containsBlank="1" containsMixedTypes="1" containsNumber="1" containsInteger="1" minValue="0" maxValue="2000"/>
    </cacheField>
    <cacheField name="산출내역3" numFmtId="41">
      <sharedItems containsBlank="1" containsMixedTypes="1" containsNumber="1" containsInteger="1" minValue="0" maxValue="2336"/>
    </cacheField>
    <cacheField name="최초예산" numFmtId="41">
      <sharedItems containsString="0" containsBlank="1" containsNumber="1" containsInteger="1" minValue="0" maxValue="800000000"/>
    </cacheField>
    <cacheField name="선배정액" numFmtId="41">
      <sharedItems containsString="0" containsBlank="1" containsNumber="1" containsInteger="1" minValue="0" maxValue="500000000"/>
    </cacheField>
    <cacheField name="차수" numFmtId="0">
      <sharedItems containsBlank="1"/>
    </cacheField>
    <cacheField name="배정율" numFmtId="9">
      <sharedItems containsBlank="1" containsMixedTypes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6.399450231482" createdVersion="7" refreshedVersion="7" minRefreshableVersion="3" recordCount="451" xr:uid="{B3108CDE-DAA4-4D46-A160-466281931386}">
  <cacheSource type="worksheet">
    <worksheetSource ref="A2:S455" sheet="예산내역(사업계획서)"/>
  </cacheSource>
  <cacheFields count="19">
    <cacheField name="영역1" numFmtId="0">
      <sharedItems containsBlank="1" count="4">
        <s v="교육"/>
        <s v="기타"/>
        <m/>
        <s v="사업관리"/>
      </sharedItems>
    </cacheField>
    <cacheField name="영역" numFmtId="0">
      <sharedItems containsBlank="1"/>
    </cacheField>
    <cacheField name="부서_x000a_(팀명)" numFmtId="0">
      <sharedItems containsBlank="1"/>
    </cacheField>
    <cacheField name="부서코드" numFmtId="0">
      <sharedItems containsBlank="1" containsMixedTypes="1" containsNumber="1" containsInteger="1" minValue="8692" maxValue="8719"/>
    </cacheField>
    <cacheField name="과제명" numFmtId="0">
      <sharedItems/>
    </cacheField>
    <cacheField name="세부과제_x000a_(드롭박스)" numFmtId="0">
      <sharedItems containsBlank="1"/>
    </cacheField>
    <cacheField name="추진내용_x000a_(드롭박스)" numFmtId="0">
      <sharedItems containsBlank="1"/>
    </cacheField>
    <cacheField name="추진방법" numFmtId="0">
      <sharedItems containsBlank="1"/>
    </cacheField>
    <cacheField name="세부추진방법" numFmtId="0">
      <sharedItems containsBlank="1"/>
    </cacheField>
    <cacheField name="운영내용" numFmtId="0">
      <sharedItems containsBlank="1"/>
    </cacheField>
    <cacheField name="한국연구재단비목_x000a_(드롭박스)" numFmtId="0">
      <sharedItems containsBlank="1" count="7">
        <s v="교육연구프로그램개발운영비"/>
        <s v="장학금"/>
        <s v="인건비"/>
        <s v="교육연구환경개선비"/>
        <m/>
        <s v="실험실습장비및기자재구입비"/>
        <s v="그 밖의 사업운영 경비"/>
      </sharedItems>
    </cacheField>
    <cacheField name="교내계정과목_x000a_(드롭박스)" numFmtId="0">
      <sharedItems containsBlank="1"/>
    </cacheField>
    <cacheField name="계정코드" numFmtId="0">
      <sharedItems containsBlank="1" containsMixedTypes="1" containsNumber="1" containsInteger="1" minValue="1314901" maxValue="4321701"/>
    </cacheField>
    <cacheField name="세목_x000a_(사업단지침참고)" numFmtId="0">
      <sharedItems containsBlank="1"/>
    </cacheField>
    <cacheField name="자금코드" numFmtId="0">
      <sharedItems containsBlank="1"/>
    </cacheField>
    <cacheField name="산출내역" numFmtId="41">
      <sharedItems containsString="0" containsBlank="1" containsNumber="1" containsInteger="1" minValue="0" maxValue="785500000"/>
    </cacheField>
    <cacheField name="산출내역2" numFmtId="41">
      <sharedItems containsString="0" containsBlank="1" containsNumber="1" containsInteger="1" minValue="0" maxValue="2000"/>
    </cacheField>
    <cacheField name="산출내역3" numFmtId="41">
      <sharedItems containsString="0" containsBlank="1" containsNumber="1" containsInteger="1" minValue="0" maxValue="2336"/>
    </cacheField>
    <cacheField name="최초예산" numFmtId="41">
      <sharedItems containsString="0" containsBlank="1" containsNumber="1" minValue="0" maxValue="8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">
  <r>
    <x v="0"/>
    <s v="A"/>
    <s v="학사지원팀"/>
    <s v="8634"/>
    <s v="[A-1]"/>
    <s v="[A-1]AI기반 학사제도 다양화"/>
    <s v="가. 전공 조합의 다양화를 통한 학사제도 고도화"/>
    <s v="다전공 융합전공 자기설계 전공 등 제도 정비"/>
    <s v="6개 전공 논의를 바탕으로 TFT회의 진행하여 융복합전공 개설 지원"/>
    <s v="6개 전공조합 논의 진행(TFT) 및 융복합 전공개설 지원"/>
    <x v="0"/>
    <s v="기타운영비:부서별"/>
    <n v="4241130"/>
    <s v="운영비"/>
    <s v="NDZ251111"/>
    <n v="30000"/>
    <n v="20"/>
    <n v="2"/>
    <n v="1200000"/>
  </r>
  <r>
    <x v="0"/>
    <s v="A"/>
    <s v="학사지원팀"/>
    <s v="8634"/>
    <s v="[A-1]"/>
    <s v="[A-1]AI기반 학사제도 다양화"/>
    <s v="가. 전공 조합의 다양화를 통한 학사제도 고도화"/>
    <s v="다전공 융합전공 자기설계 전공 등 제도 정비"/>
    <s v="6개 전공 논의를 바탕으로 TFT회의 진행하여 융복합전공 개설 지원"/>
    <s v="6개 전공조합 논의 진행 및 융복합 전공 개설 지원(교과목 개발/개선 지원)"/>
    <x v="0"/>
    <s v="교원기타수당"/>
    <n v="4113401"/>
    <s v="교과목개발개선비"/>
    <s v="NDZ251111"/>
    <n v="3000000"/>
    <n v="4"/>
    <n v="1"/>
    <n v="12000000"/>
  </r>
  <r>
    <x v="0"/>
    <s v="A"/>
    <s v="학사지원팀"/>
    <s v="8634"/>
    <s v="[A-1]"/>
    <s v="[A-1]AI기반 학사제도 다양화"/>
    <s v="가. 전공 조합의 다양화를 통한 학사제도 고도화"/>
    <s v="다전공 융합전공 자기설계 전공 등 제도 정비"/>
    <s v="6개 전공조합 모델별 이수 로드맵 시각화 작업 및 각 단과대학 배포"/>
    <s v="6개 전공조합 모델별 이수 로드맵 시각화 작업 및 단과대학 배포"/>
    <x v="0"/>
    <s v="기타운영비:부서별"/>
    <n v="4241130"/>
    <s v="운영비"/>
    <s v="NDZ251111"/>
    <n v="30000"/>
    <n v="20"/>
    <n v="1"/>
    <n v="600000"/>
  </r>
  <r>
    <x v="0"/>
    <s v="A"/>
    <s v="학사지원팀"/>
    <s v="8634"/>
    <s v="[A-1]"/>
    <s v="[A-1]AI기반 학사제도 다양화"/>
    <s v="가. 전공 조합의 다양화를 통한 학사제도 고도화"/>
    <s v="학생중심 전공 이수경로 제시(AI기반 조합 알고리즘 제시 및 관리)"/>
    <s v="AI기반 전공 조합 알고리즘 활용 전공조합 지원(각 학과, TFT등)"/>
    <s v="AI기반 전공 알고리즘 활용 전공조합 TFT"/>
    <x v="0"/>
    <s v="기타운영비:부서별"/>
    <n v="4241130"/>
    <s v="운영비"/>
    <s v="NDZ251111"/>
    <n v="30000"/>
    <n v="20"/>
    <n v="1"/>
    <n v="600000"/>
  </r>
  <r>
    <x v="0"/>
    <s v="A"/>
    <s v="학사지원팀"/>
    <s v="8634"/>
    <s v="[A-1]"/>
    <s v="[A-1]AI기반 학사제도 다양화"/>
    <s v="가. 전공 조합의 다양화를 통한 학사제도 고도화"/>
    <s v="전공조합 운영 체계화로 학생진로 맞춤 선택형 전공설계 지원"/>
    <s v="연구보고서 기반으로 자료 정비 및 가이드라인 작성하여 단과대학 간담회 진행"/>
    <s v="연구보고서 내용 각 단과대학과 공유 및 차기 전공조합 모델 제시"/>
    <x v="0"/>
    <s v="기타운영비:부서별"/>
    <n v="4241130"/>
    <s v="운영비"/>
    <s v="NDZ251111"/>
    <n v="30000"/>
    <n v="30"/>
    <n v="1"/>
    <n v="900000"/>
  </r>
  <r>
    <x v="0"/>
    <s v="A"/>
    <s v="학사지원팀"/>
    <s v="8634"/>
    <s v="[A-1]"/>
    <s v="[A-1]AI기반 학사제도 다양화"/>
    <s v="나. 학생중심 과목개설 및 도전학기제 도입"/>
    <s v="온디맨드과목 및 전공개설(학생수요 반영 반응형 교과체계 도입)"/>
    <s v="학생 20명 이상 요청시 반응형으로 전공신설 학사제도 구축"/>
    <s v="온디맨드 과목 개설 관련 회의 진행"/>
    <x v="0"/>
    <s v="기타운영비:부서별"/>
    <n v="4241130"/>
    <s v="운영비"/>
    <s v="NDZ251111"/>
    <n v="30000"/>
    <n v="20"/>
    <n v="1"/>
    <n v="600000"/>
  </r>
  <r>
    <x v="0"/>
    <s v="A"/>
    <s v="학사지원팀"/>
    <s v="8634"/>
    <s v="[A-1]"/>
    <s v="[A-1]AI기반 학사제도 다양화"/>
    <s v="나. 학생중심 과목개설 및 도전학기제 도입"/>
    <s v="온디맨드과목 및 전공개설(학생수요 반영 반응형 교과체계 도입)"/>
    <s v="학생 20명 이상 요청시 반응형으로 전공신설 학사제도 구축, 도전적 환경 조성 및 경험중심 학습기회 제공"/>
    <s v="반응형 교과 전공개설 및 도전학기제 운영 규정 정리"/>
    <x v="0"/>
    <s v="기타운영비:부서별"/>
    <n v="4241130"/>
    <s v="운영비"/>
    <s v="NDZ251111"/>
    <n v="30000"/>
    <n v="30"/>
    <n v="2"/>
    <n v="1800000"/>
  </r>
  <r>
    <x v="0"/>
    <s v="A"/>
    <s v="학사지원팀"/>
    <s v="8634"/>
    <s v="[A-1]"/>
    <s v="[A-1]AI기반 학사제도 다양화"/>
    <s v="나. 학생중심 과목개설 및 도전학기제 도입"/>
    <s v="온디맨드과목 및 전공개설(학생수요 반영 반응형 교과체계 도입)"/>
    <s v="반응형 교과 및 전공개설을 위한 TFT실시"/>
    <s v="도전학기제 규정 마련 및 심화전공/심화트랙/연계전공 과정 정비"/>
    <x v="0"/>
    <s v="기타운영비:부서별"/>
    <n v="4241130"/>
    <s v="운영비"/>
    <s v="NDZ251111"/>
    <n v="30000"/>
    <n v="15"/>
    <n v="1"/>
    <n v="450000"/>
  </r>
  <r>
    <x v="0"/>
    <s v="A"/>
    <s v="학사지원팀"/>
    <s v="8634"/>
    <s v="[A-1]"/>
    <s v="[A-1]AI기반 학사제도 다양화"/>
    <s v="나. 학생중심 과목개설 및 도전학기제 도입"/>
    <s v="지역과 세계를 캠퍼스로 하는 도전학기제 도입"/>
    <s v="분야별(첨단, 지역사회, 스토리텔링, 창업, 글로벌협력 등) 프로젝트 수행학기 도전적 환경조성으로 적성계발 및 경험학습기회 제공"/>
    <s v="도전학기제 사전 검증을 위한 관련부서 및 학부(과)회의 진행 "/>
    <x v="0"/>
    <s v="기타운영비:부서별"/>
    <n v="4241130"/>
    <s v="운영비"/>
    <s v="NDZ251111"/>
    <n v="30000"/>
    <n v="30"/>
    <n v="1"/>
    <n v="900000"/>
  </r>
  <r>
    <x v="0"/>
    <s v="A"/>
    <s v="학사지원팀"/>
    <s v="8634"/>
    <s v="[A-1]"/>
    <s v="[A-1]AI기반 학사제도 다양화"/>
    <s v="나. 학생중심 과목개설 및 도전학기제 도입"/>
    <s v="온디맨드과목 및 전공개설(학생수요 반영 반응형 교과체계 도입)"/>
    <s v="반응형 교과 및 전공개설을 위한 TFT실시"/>
    <s v="도전학기제 규정 마련 및 심화전공/심화트랙/연계전공 과정 정비"/>
    <x v="0"/>
    <s v="교원기타수당"/>
    <n v="4113401"/>
    <s v="연구비"/>
    <s v="NDZ251111"/>
    <n v="3000000"/>
    <n v="2"/>
    <n v="1"/>
    <n v="6000000"/>
  </r>
  <r>
    <x v="0"/>
    <s v="A"/>
    <s v="학사지원팀"/>
    <s v="8634"/>
    <s v="[A-1]"/>
    <s v="[A-1]AI기반 학사제도 다양화"/>
    <s v="다. 자기설계 전공 고도화"/>
    <s v="자기설계전공 설계, 심사, 이수지원체계 구축"/>
    <s v="제1전공 연계한 세가지 조합유형 제도화"/>
    <s v="자기설계전공(학생설계전공) 공모전 기반 각 학부(과) 회의 "/>
    <x v="0"/>
    <s v="기타운영비:부서별"/>
    <n v="4241130"/>
    <s v="운영비"/>
    <s v="NDZ251111"/>
    <n v="30000"/>
    <n v="30"/>
    <n v="1"/>
    <n v="900000"/>
  </r>
  <r>
    <x v="0"/>
    <s v="A"/>
    <s v="학사지원팀"/>
    <s v="8634"/>
    <s v="[A-1]"/>
    <s v="[A-1]AI기반 학사제도 다양화"/>
    <s v="다. 자기설계 전공 고도화"/>
    <s v="자기설계전공 설계, 심사, 이수지원체계 구축"/>
    <s v="교과목 구성지침, 가이드, 사례집제공, 타 대학 사례 조사 등"/>
    <s v="교과목 구성가이드 비교, 검토(타 대학 사례 분석 등) "/>
    <x v="0"/>
    <s v="기타운영비:부서별"/>
    <n v="4241130"/>
    <s v="운영비"/>
    <s v="NDZ251111"/>
    <n v="30000"/>
    <n v="30"/>
    <n v="1"/>
    <n v="900000"/>
  </r>
  <r>
    <x v="0"/>
    <s v="A"/>
    <s v="학사지원팀"/>
    <s v="8634"/>
    <s v="[A-1]"/>
    <s v="[A-1]AI기반 학사제도 다양화"/>
    <s v="다. 자기설계 전공 고도화"/>
    <s v="자기설계전공 인증 및 활용도 제고"/>
    <s v="자기설계전공 심사위원회 제도정비 심사기준마련"/>
    <s v="자기설계전공(학생설계전공) 관련 시행세칙 및 위원회(TFT) 진행"/>
    <x v="0"/>
    <s v="기타운영비:부서별"/>
    <n v="4241130"/>
    <s v="운영비"/>
    <s v="NDZ251111"/>
    <n v="30000"/>
    <n v="30"/>
    <n v="1"/>
    <n v="900000"/>
  </r>
  <r>
    <x v="0"/>
    <s v="A"/>
    <s v="학사지원팀"/>
    <s v="8634"/>
    <s v="[A-1]"/>
    <s v="[A-1]AI기반 학사제도 다양화"/>
    <s v="다. 자기설계 전공 고도화"/>
    <s v="자기설계전공 인증 및 활용도 제고"/>
    <s v="우수사례발굴, 홍보, 확산 및 미비점보완 활용도제고"/>
    <s v="학생 중심 자기설계전공 구체화 지원 "/>
    <x v="0"/>
    <s v="기타운영비:부서별"/>
    <n v="4241130"/>
    <s v="운영비"/>
    <s v="NDZ251111"/>
    <n v="30000"/>
    <n v="15"/>
    <n v="2"/>
    <n v="900000"/>
  </r>
  <r>
    <x v="0"/>
    <s v="A"/>
    <s v="학사지원팀"/>
    <s v="8634"/>
    <s v="[A-1]"/>
    <s v="[A-1]AI기반 학사제도 다양화"/>
    <s v="다. 자기설계 전공 고도화"/>
    <s v="자기설계전공 인증 및 활용도 제고"/>
    <s v="교과목 구성지침, 가이드, 사례집제공, 타 대학 사례 조사 및 우수사례발굴, 홍보, 확산 및 미비점보완 활용도제고"/>
    <s v="교과목 구성가이드 비교, 검토(타 대학 사례 분석 등) 및 학생 중심 자기설계전공 구체화 지원을 위한 인쇄물 제작 "/>
    <x v="0"/>
    <s v="기타운영비:부서별"/>
    <n v="4241130"/>
    <s v="운영비"/>
    <s v="NDZ251111"/>
    <n v="1000000"/>
    <n v="1"/>
    <n v="1"/>
    <n v="1000000"/>
  </r>
  <r>
    <x v="0"/>
    <s v="A"/>
    <s v="학사지원팀"/>
    <s v="8634"/>
    <s v="[A-2]"/>
    <s v="[A-2]AI 융합 전공 혁신"/>
    <s v="가. AI융합 공통교과목 신설"/>
    <s v="계열별 AI전공 교과목 도입을 위한 체계수립 및 의견수렴"/>
    <s v="계열별 AI프롬프트 활용 가이드제시 및 개발 "/>
    <s v="AI 프롬프트 가이드 적용을 위한 사전 검증 진행"/>
    <x v="0"/>
    <s v="기타운영비:부서별"/>
    <n v="4241130"/>
    <s v="운영비"/>
    <s v="NDZ251121"/>
    <n v="30000"/>
    <n v="30"/>
    <n v="1"/>
    <n v="900000"/>
  </r>
  <r>
    <x v="0"/>
    <s v="A"/>
    <s v="학사지원팀"/>
    <s v="8634"/>
    <s v="[A-2]"/>
    <s v="[A-2]AI 융합 전공 혁신"/>
    <s v="가. AI융합 공통교과목 신설"/>
    <s v="계열별 AI전공 교과목 도입을 위한 체계수립 및 의견수렴"/>
    <s v="AI담당 교수진 워크숍 및 연수 프로그램 운영"/>
    <s v="AI 교육관련 외부강사 초청 및 강의 프로그램 진행"/>
    <x v="0"/>
    <s v="기타운영비:부서별"/>
    <n v="4241130"/>
    <s v="전문가활용비"/>
    <s v="NDZ251121"/>
    <n v="300000"/>
    <n v="2"/>
    <n v="2"/>
    <n v="1200000"/>
  </r>
  <r>
    <x v="0"/>
    <s v="A"/>
    <s v="학사지원팀"/>
    <s v="8634"/>
    <s v="[A-2]"/>
    <s v="[A-2]AI 융합 전공 혁신"/>
    <s v="가. AI융합 공통교과목 신설"/>
    <s v="AI기반 전공 매쉬업을 통한 혁신적 융합전공 개발"/>
    <s v="수업계획서와 주차별 내용분석으로 미래예측형 융합전공개발"/>
    <s v="연구보고서 연구 결과 기반 매쉬업 알고리즘 구성 TFT 진행"/>
    <x v="0"/>
    <s v="기타운영비:부서별"/>
    <n v="4241130"/>
    <s v="운영비"/>
    <s v="NDZ251121"/>
    <n v="30000"/>
    <n v="20"/>
    <n v="2"/>
    <n v="1200000"/>
  </r>
  <r>
    <x v="0"/>
    <s v="A"/>
    <s v="학사지원팀"/>
    <s v="8634"/>
    <s v="[A-2]"/>
    <s v="[A-2]AI 융합 전공 혁신"/>
    <s v="가. AI융합 공통교과목 신설"/>
    <s v="AI기반 전공 매쉬업을 통한 혁신적 융합전공 개발"/>
    <s v="내/외부 환경 분석에 기반한 유망 AI융합전공 분야예측과 과목 및 마이크로전공 고도화"/>
    <s v="마이크로전공 추가 개발 지원을 위한 학부(과)장 회의 진행"/>
    <x v="0"/>
    <s v="기타운영비:부서별"/>
    <n v="4241130"/>
    <s v="운영비"/>
    <s v="NDZ251121"/>
    <n v="30000"/>
    <n v="30"/>
    <n v="1"/>
    <n v="900000"/>
  </r>
  <r>
    <x v="0"/>
    <s v="A"/>
    <s v="학사지원팀"/>
    <s v="8634"/>
    <s v="[A-2]"/>
    <s v="[A-2]AI 융합 전공 혁신"/>
    <s v="가. AI융합 공통교과목 신설"/>
    <s v="AI기반 전공 매쉬업을 통한 혁신적 융합전공 개발"/>
    <s v="수업계획서와 주차별 내용분석으로 미래예측형 융합전공개발"/>
    <s v="연구보고서 연구 결과 기반 매쉬업 알고리즘 구성을 위한 연구 진행"/>
    <x v="0"/>
    <s v="교원기타수당"/>
    <n v="4113401"/>
    <s v="연구비"/>
    <s v="NDZ251121"/>
    <n v="3000000"/>
    <n v="2"/>
    <n v="1"/>
    <n v="6000000"/>
  </r>
  <r>
    <x v="0"/>
    <s v="A"/>
    <s v="학사지원팀"/>
    <s v="8634"/>
    <s v="[A-2]"/>
    <s v="[A-2]AI 융합 전공 혁신"/>
    <s v="가. AI융합 공통교과목 신설"/>
    <s v="AI기반 전공 매쉬업을 통한 혁신적 융합전공 개발"/>
    <s v="내/외부 환경 분석에 기반한 유망 AI융합전공 분야예측과 과목 및 마이크로전공 고도화"/>
    <s v="마이크로전공 추가 개발 지원을 위한 연구보고서 작성 "/>
    <x v="0"/>
    <s v="교원기타수당"/>
    <n v="4113401"/>
    <s v="연구비"/>
    <s v="NDZ251121"/>
    <n v="3000000"/>
    <n v="2"/>
    <n v="1"/>
    <n v="6000000"/>
  </r>
  <r>
    <x v="0"/>
    <s v="A"/>
    <s v="학사지원팀"/>
    <s v="8634"/>
    <s v="[A-2]"/>
    <s v="[A-2]AI 융합 전공 혁신"/>
    <s v="나. 공통교과목 운영 고도화"/>
    <s v="전공간 공통(Cross-listing)교과목 확대 및 체계화"/>
    <s v="전공교육과정 분석 및 유사과목 공통교과목화"/>
    <s v="강의시수 예산배분, 업적평가 반영 등 정책 논의"/>
    <x v="0"/>
    <s v="기타운영비:부서별"/>
    <n v="4241130"/>
    <s v="운영비"/>
    <s v="NDZ251121"/>
    <n v="30000"/>
    <n v="30"/>
    <n v="1"/>
    <n v="900000"/>
  </r>
  <r>
    <x v="0"/>
    <s v="A"/>
    <s v="학사지원팀"/>
    <s v="8634"/>
    <s v="[A-2]"/>
    <s v="[A-2]AI 융합 전공 혁신"/>
    <s v="나. 공통교과목 운영 고도화"/>
    <s v="전공간 공통(Cross-listing)교과목 확대 및 체계화"/>
    <s v="공통교과목 Cross-listing Gallery 플랫폼 구축 "/>
    <s v="인기강의 대형화 또는 온라인강의 전환 논의를 위한 회의"/>
    <x v="0"/>
    <s v="기타운영비:부서별"/>
    <n v="4241130"/>
    <s v="운영비"/>
    <s v="NDZ251121"/>
    <n v="30000"/>
    <n v="30"/>
    <n v="1"/>
    <n v="900000"/>
  </r>
  <r>
    <x v="0"/>
    <s v="A"/>
    <s v="학사지원팀"/>
    <s v="8634"/>
    <s v="[A-2]"/>
    <s v="[A-2]AI 융합 전공 혁신"/>
    <s v="나. 공통교과목 운영 고도화"/>
    <s v="산학협력 교육강화와 산학 JA교과목 확대"/>
    <s v="산업현장 전문가의 JA교원화로 실무인재 양성"/>
    <s v="관련학과(JA교원 배치) 회의를 통한 방향성 수립 및 추진, A-3-가 JA교원 연구 내용 각 대학 실무자에 공유"/>
    <x v="0"/>
    <s v="기타운영비:부서별"/>
    <n v="4241130"/>
    <s v="운영비"/>
    <s v="NDZ251121"/>
    <n v="30000"/>
    <n v="30"/>
    <n v="1"/>
    <n v="900000"/>
  </r>
  <r>
    <x v="0"/>
    <s v="A"/>
    <s v="학사지원팀"/>
    <s v="8634"/>
    <s v="[A-2]"/>
    <s v="[A-2]AI 융합 전공 혁신"/>
    <s v="나. 공통교과목 운영 고도화"/>
    <s v="산학협력 교육강화와 산학 JA교과목 확대"/>
    <s v="AX시대 핵심기술기업과 협력교육과정 개설"/>
    <s v="전략적 AI, IOT, 블록체인, 메타버스 등 보유기업 니즈분석을 위한 유관부서(전공) 회의 및 협력교율과정 개설 추진 "/>
    <x v="0"/>
    <s v="기타운영비:부서별"/>
    <n v="4241130"/>
    <s v="운영비"/>
    <s v="NDZ251121"/>
    <n v="30000"/>
    <n v="20"/>
    <n v="1"/>
    <n v="600000"/>
  </r>
  <r>
    <x v="0"/>
    <s v="A"/>
    <s v="현장실습지원센터"/>
    <s v="8718"/>
    <s v="[A-2]"/>
    <s v="[A-2]AI 융합 전공 혁신"/>
    <s v="다. 전공 맞춤형 실무역량 강화"/>
    <s v="캡스톤디자인 교과목 고도화"/>
    <s v="캡스톤디자인 교과목 운영 지원"/>
    <s v="2026학년도 캡스톤디자인 학생 물품 지원비(일반형, 기업연계형 등) "/>
    <x v="0"/>
    <s v="기타운영비:부서별"/>
    <n v="4241130"/>
    <s v="학생교육활동지원비"/>
    <s v="NDZ251121"/>
    <n v="200000"/>
    <n v="310"/>
    <n v="2"/>
    <n v="124000000"/>
  </r>
  <r>
    <x v="0"/>
    <s v="A"/>
    <s v="현장실습지원센터"/>
    <s v="8718"/>
    <s v="[A-2]"/>
    <s v="[A-2]AI 융합 전공 혁신"/>
    <s v="다. 전공 맞춤형 실무역량 강화"/>
    <s v="캡스톤디자인 교과목 고도화"/>
    <s v="캡스톤디자인 교과목 운영 지원"/>
    <s v="2026학년도 캡스톤디자인 교과목 운영비(소모품,인쇄제본비,회의비) "/>
    <x v="0"/>
    <s v="기타운영비:부서별"/>
    <n v="4241130"/>
    <s v="운영비"/>
    <s v="NDZ251121"/>
    <n v="300000"/>
    <n v="1"/>
    <n v="2"/>
    <n v="2800000"/>
  </r>
  <r>
    <x v="0"/>
    <s v="A"/>
    <s v="현장실습지원센터"/>
    <s v="8718"/>
    <s v="[A-2]"/>
    <s v="[A-2]AI 융합 전공 혁신"/>
    <s v="다. 전공 맞춤형 실무역량 강화"/>
    <s v="캡스톤디자인 교과목 고도화"/>
    <s v="캡스톤디자인 교내 경진대회 운영"/>
    <s v="2026학년도 캡스톤디자인 교내 경진대회 시상금"/>
    <x v="1"/>
    <s v="교외장학금"/>
    <n v="4321701"/>
    <s v="시상금"/>
    <s v="NDZ251125"/>
    <n v="300000"/>
    <n v="10"/>
    <n v="2"/>
    <n v="4000000"/>
  </r>
  <r>
    <x v="0"/>
    <s v="A"/>
    <s v="현장실습지원센터"/>
    <s v="8718"/>
    <s v="[A-2]"/>
    <s v="[A-2]AI 융합 전공 혁신"/>
    <s v="다. 전공 맞춤형 실무역량 강화"/>
    <s v="캡스톤디자인 교과목 고도화"/>
    <s v="캡스톤디자인 교내 경진대회 운영"/>
    <s v="2026학년도 캡스톤디자인 교내 경진대회 경품"/>
    <x v="0"/>
    <s v="기타운영비:부서별"/>
    <n v="4241130"/>
    <s v="기념품비"/>
    <s v="NDZ251121"/>
    <m/>
    <m/>
    <m/>
    <n v="1000000"/>
  </r>
  <r>
    <x v="0"/>
    <s v="A"/>
    <s v="현장실습지원센터"/>
    <s v="8718"/>
    <s v="[A-2]"/>
    <s v="[A-2]AI 융합 전공 혁신"/>
    <s v="다. 전공 맞춤형 실무역량 강화"/>
    <s v="캡스톤디자인 교과목 고도화"/>
    <s v="캡스톤디자인 교내 경진대회 운영"/>
    <s v="2026학년도 캡스톤디자인 교내 경진대회 행사 식대(도시락)"/>
    <x v="0"/>
    <s v="기타운영비:부서별"/>
    <n v="4241130"/>
    <s v="행사비"/>
    <s v="NDZ251121"/>
    <m/>
    <m/>
    <m/>
    <n v="2000000"/>
  </r>
  <r>
    <x v="0"/>
    <s v="A"/>
    <s v="현장실습지원센터"/>
    <s v="8718"/>
    <s v="[A-2]"/>
    <s v="[A-2]AI 융합 전공 혁신"/>
    <s v="다. 전공 맞춤형 실무역량 강화"/>
    <s v="캡스톤디자인 교과목 고도화"/>
    <s v="캡스톤디자인 교내 경진대회 운영"/>
    <s v="2026학년도 캡스톤디자인 교내 경진대회 평가위원 수당 "/>
    <x v="0"/>
    <s v="기타운영비:부서별"/>
    <n v="4241130"/>
    <s v="전문가활용비"/>
    <s v="NDZ251121"/>
    <n v="300000"/>
    <n v="3"/>
    <n v="2"/>
    <n v="900000"/>
  </r>
  <r>
    <x v="0"/>
    <s v="A"/>
    <s v="현장실습지원센터"/>
    <s v="8718"/>
    <s v="[A-2]"/>
    <s v="[A-2]AI 융합 전공 혁신"/>
    <s v="다. 전공 맞춤형 실무역량 강화"/>
    <s v="캡스톤디자인 교과목 고도화"/>
    <s v="캡스톤디자인 교내 경진대회 운영"/>
    <s v="2026학년도 캡스톤디자인 교내 경진대회 운영비(인쇄비,소모품비,회의비)"/>
    <x v="0"/>
    <s v="기타운영비:부서별"/>
    <n v="4241130"/>
    <s v="운영비"/>
    <s v="NDZ251121"/>
    <n v="150000"/>
    <n v="1"/>
    <n v="2"/>
    <n v="2300000"/>
  </r>
  <r>
    <x v="0"/>
    <s v="A"/>
    <s v="현장실습지원센터"/>
    <s v="8718"/>
    <s v="[A-2]"/>
    <s v="[A-2]AI 융합 전공 혁신"/>
    <s v="다. 전공 맞춤형 실무역량 강화"/>
    <s v="캡스톤디자인 교과목 고도화"/>
    <s v="행정인력지원★"/>
    <s v="★(전담인력 1인) 대학혁신지원사업팀 배정(이소원&gt;최정우)"/>
    <x v="2"/>
    <s v="임시직/급여"/>
    <n v="4125101"/>
    <s v="급여"/>
    <s v="NDZ251004"/>
    <m/>
    <m/>
    <m/>
    <n v="30000000"/>
  </r>
  <r>
    <x v="0"/>
    <s v="A"/>
    <s v="학사지원팀"/>
    <s v="8634"/>
    <s v="[A-3]"/>
    <s v="[A-3]미래를 대비하는 데이터 기반 교육 혁신"/>
    <s v="가. 전공 간 융합을 위한 행정지원체계 강화"/>
    <s v="전공간 경계를 넘는 융합을 촉진하는 지원체계 구축"/>
    <s v="행정인력지원★"/>
    <s v="★(전담인력 1인) 대학혁신지원사업팀 배정(정승환)"/>
    <x v="2"/>
    <s v="임시직/급여"/>
    <n v="4125101"/>
    <s v="급여"/>
    <s v="NDZ251004"/>
    <m/>
    <m/>
    <m/>
    <n v="30000000"/>
  </r>
  <r>
    <x v="0"/>
    <s v="A"/>
    <s v="학사지원팀"/>
    <s v="8634"/>
    <s v="[A-3]"/>
    <s v="[A-3]미래를 대비하는 데이터 기반 교육 혁신"/>
    <s v="가. 전공 간 융합을 위한 행정지원체계 강화"/>
    <s v="전공간 경계를 넘는 융합을 촉진하는 지원체계 구축"/>
    <s v="다전공(융복합 및 자기설계전공 등)을 위한 행정지원 신설 및 융합전공 생애주기 지원체계 구축"/>
    <s v="융복합 전공 지원체계 추진 및 융합전공 생애주기 지원체계 구축 회의"/>
    <x v="0"/>
    <s v="기타운영비:부서별"/>
    <n v="4241130"/>
    <s v="운영비"/>
    <s v="NDZ251131"/>
    <n v="30000"/>
    <n v="30"/>
    <n v="1"/>
    <n v="900000"/>
  </r>
  <r>
    <x v="0"/>
    <s v="A"/>
    <s v="학사지원팀"/>
    <s v="8634"/>
    <s v="[A-3]"/>
    <s v="[A-3]미래를 대비하는 데이터 기반 교육 혁신"/>
    <s v="가. 전공 간 융합을 위한 행정지원체계 강화"/>
    <s v="융합전공 참여교원간 내부 JA교원 체계 구축"/>
    <s v="융합전공 참여교원간 내부 JA교원 지정 체계 구축"/>
    <s v="A-3-가 연구보고서 내용 정리 후 공유를 통해 융합전공 참여교원 간 내부 JA 교원 지정 체계 구축 추진"/>
    <x v="0"/>
    <s v="기타운영비:부서별"/>
    <n v="4241130"/>
    <s v="운영비"/>
    <s v="NDZ251131"/>
    <n v="30000"/>
    <n v="30"/>
    <n v="1"/>
    <n v="900000"/>
  </r>
  <r>
    <x v="0"/>
    <s v="A"/>
    <s v="학사지원팀"/>
    <s v="8634"/>
    <s v="[A-3]"/>
    <s v="[A-3]미래를 대비하는 데이터 기반 교육 혁신"/>
    <s v="가. 전공 간 융합을 위한 행정지원체계 강화"/>
    <s v="수요기반 융합전공 인큐베이팅으로 확대기반 마련"/>
    <s v="인큐베이팅 성과 창출 지원을 위한 다양한 지원방안 확보"/>
    <s v="전공신설, 폐지, 설계전문성, 취업경쟁력 제고를 위한 협력부서 TFT 진행"/>
    <x v="0"/>
    <s v="기타운영비:부서별"/>
    <n v="4241130"/>
    <s v="운영비"/>
    <s v="NDZ251131"/>
    <n v="30000"/>
    <n v="30"/>
    <n v="1"/>
    <n v="900000"/>
  </r>
  <r>
    <x v="0"/>
    <s v="A"/>
    <s v="학사지원팀"/>
    <s v="8634"/>
    <s v="[A-3]"/>
    <s v="[A-3]미래를 대비하는 데이터 기반 교육 혁신"/>
    <s v="나. 데이터 기반 전공쏠림 대응"/>
    <s v="역동적 전공균형 시스템으로 쏠림현상 대응"/>
    <s v="전공지원 추세분석을 기반으로 미래 전공수요 대응"/>
    <s v="가변적 정원관리/마이크로전공/융합전공 수요분산 TFT"/>
    <x v="0"/>
    <s v="기타운영비:부서별"/>
    <n v="4241130"/>
    <s v="운영비"/>
    <s v="NDZ251131"/>
    <n v="30000"/>
    <n v="30"/>
    <n v="1"/>
    <n v="900000"/>
  </r>
  <r>
    <x v="0"/>
    <s v="A"/>
    <s v="학사지원팀"/>
    <s v="8634"/>
    <s v="[A-3]"/>
    <s v="[A-3]미래를 대비하는 데이터 기반 교육 혁신"/>
    <s v="나. 데이터 기반 전공쏠림 대응"/>
    <s v="역동적 전공균형 시스템으로 쏠림현상 대응"/>
    <s v="데이터 분석결과 기반 탄력적 학사운영체제 구축"/>
    <s v="데이터 분석을 통한 전공별 선호도 차이에 따른 운영방안 모색 회의 / 데이터 분석 결과 진단 및 정책화 상설 TFT 구축 시도를 위한 회의"/>
    <x v="0"/>
    <s v="기타운영비:부서별"/>
    <n v="4241130"/>
    <s v="운영비"/>
    <s v="NDZ251131"/>
    <n v="30000"/>
    <n v="30"/>
    <n v="1"/>
    <n v="900000"/>
  </r>
  <r>
    <x v="0"/>
    <s v="A"/>
    <s v="학사지원팀"/>
    <s v="8634"/>
    <s v="[A-3]"/>
    <s v="[A-3]미래를 대비하는 데이터 기반 교육 혁신"/>
    <s v="나. 데이터 기반 전공쏠림 대응"/>
    <s v="데이터 기반 학사지원 최적화/스마트강의실배정/기획처연계"/>
    <s v="전공별 강의유형 종합분석 및 최적화 시행"/>
    <s v="A-3-나 연구보고서 참고하여 스마트강의실배정(안) 배포(기획처와 회의 진행)"/>
    <x v="0"/>
    <s v="기타운영비:부서별"/>
    <n v="4241130"/>
    <s v="운영비"/>
    <s v="NDZ251131"/>
    <n v="30000"/>
    <n v="10"/>
    <n v="2"/>
    <n v="600000"/>
  </r>
  <r>
    <x v="0"/>
    <s v="A"/>
    <s v="학사지원팀"/>
    <s v="8634"/>
    <s v="[A-3]"/>
    <s v="[A-3]미래를 대비하는 데이터 기반 교육 혁신"/>
    <s v="다. 데이터 기반 유연학사제도 고도화"/>
    <s v="규정단순화 및 편의성 포함 학생친화 졸업 요건 정비"/>
    <s v="이수규정과 체계 단순화 및 시각화자료 개발 배포 "/>
    <s v="현 학사정보시스템의 계량 지표를 기반으로 고도화 방안 강구를 위한 회의 진행"/>
    <x v="0"/>
    <s v="기타운영비:부서별"/>
    <n v="4241130"/>
    <s v="운영비"/>
    <s v="NDZ251131"/>
    <n v="30000"/>
    <n v="10"/>
    <n v="2"/>
    <n v="600000"/>
  </r>
  <r>
    <x v="0"/>
    <s v="A"/>
    <s v="학사지원팀"/>
    <s v="8634"/>
    <s v="[A-3]"/>
    <s v="[A-3]미래를 대비하는 데이터 기반 교육 혁신"/>
    <s v="다. 데이터 기반 유연학사제도 고도화"/>
    <s v="규정단순화 및 편의성 포함 학생친화 졸업 요건 정비"/>
    <s v="이수규정과 체계 단순화 및 시각화자료 개발 배포 "/>
    <s v="단순화 된 졸업요건 자료 개발 및 배포"/>
    <x v="0"/>
    <s v="기타운영비:부서별"/>
    <n v="4241130"/>
    <s v="운영비"/>
    <s v="NDZ251131"/>
    <n v="30000"/>
    <n v="10"/>
    <n v="2"/>
    <n v="600000"/>
  </r>
  <r>
    <x v="0"/>
    <s v="A"/>
    <s v="학사지원팀"/>
    <s v="8634"/>
    <s v="[A-3]"/>
    <s v="[A-3]미래를 대비하는 데이터 기반 교육 혁신"/>
    <s v="다. 데이터 기반 유연학사제도 고도화"/>
    <s v="규정단순화 및 편의성 포함 학생친화 졸업 요건 정비"/>
    <s v="학생별 온라인 실시간 이수 현황 확인 등 전자행정 확대"/>
    <s v="학사포탈 시스템 고도화를 통한 온라인이수 현황 확인 보완 등 개선 추진"/>
    <x v="0"/>
    <s v="기타운영비:부서별"/>
    <n v="4241130"/>
    <s v="운영비"/>
    <s v="NDZ251131"/>
    <n v="30000"/>
    <n v="30"/>
    <n v="2"/>
    <n v="1800000"/>
  </r>
  <r>
    <x v="0"/>
    <s v="A"/>
    <s v="학사지원팀"/>
    <s v="8634"/>
    <s v="[A-3]"/>
    <s v="[A-3]미래를 대비하는 데이터 기반 교육 혁신"/>
    <s v="다. 데이터 기반 유연학사제도 고도화"/>
    <s v="규정단순화 및 편의성 포함 학생친화 졸업 요건 정비"/>
    <s v="학생별 온라인 실시간 이수 현황 확인 등 전자행정 확대"/>
    <s v="연세대학교 통합앱 개발 사업 추진에 따라 용역계약 예정(미래캠퍼스 예산 비율 23.8%)"/>
    <x v="3"/>
    <s v="일반용역비:부서별"/>
    <n v="4233201"/>
    <s v="용역비"/>
    <s v="NDZ251133"/>
    <n v="269000000"/>
    <n v="1"/>
    <n v="1"/>
    <n v="269000000"/>
  </r>
  <r>
    <x v="0"/>
    <s v="A"/>
    <s v="학사지원팀"/>
    <s v="8634"/>
    <s v="[A-3]"/>
    <s v="[A-3]미래를 대비하는 데이터 기반 교육 혁신"/>
    <s v="다. 데이터 기반 유연학사제도 고도화"/>
    <s v="규정단순화 및 편의성 포함 학생친화 졸업 요건 정비"/>
    <s v="학생별 온라인 실시간 이수 현황 확인 등 전자행정 확대"/>
    <s v="*증명발급시스템"/>
    <x v="3"/>
    <s v="일반용역비:부서별"/>
    <n v="4233201"/>
    <s v="용역비"/>
    <s v="NDZ251133"/>
    <m/>
    <m/>
    <m/>
    <n v="12100000.000000002"/>
  </r>
  <r>
    <x v="0"/>
    <s v="A"/>
    <s v="학사지원팀"/>
    <s v="8634"/>
    <s v="[A-3]"/>
    <s v="[A-3]미래를 대비하는 데이터 기반 교육 혁신"/>
    <s v="다. 데이터 기반 유연학사제도 고도화"/>
    <s v="성과지표 기반 환류를 통한 유연학사 체계 수립"/>
    <s v="학사제도 참여율, 졸업충족률, 전공 간 이동 등 측정 KPI 정의"/>
    <s v="데이터 분석 결과 공유 및 환류를 위해 관련부서 회의 개최"/>
    <x v="0"/>
    <s v="기타운영비:부서별"/>
    <n v="4241130"/>
    <s v="운영비"/>
    <s v="NDZ251131"/>
    <n v="30000"/>
    <n v="15"/>
    <n v="2"/>
    <n v="900000"/>
  </r>
  <r>
    <x v="0"/>
    <s v="A"/>
    <s v="학사지원팀"/>
    <s v="8634"/>
    <s v="[A-3]"/>
    <s v="[A-3]미래를 대비하는 데이터 기반 교육 혁신"/>
    <s v="다. 데이터 기반 유연학사제도 고도화"/>
    <s v="성과지표 기반 환류를 통한 유연학사 체계 수립"/>
    <s v="데이터성과와 제도개선의 선순환 학사운영체계확립"/>
    <s v="데이터 성과와 제도개선의 선순환 학사운영체계 확립을 위한 회의"/>
    <x v="0"/>
    <s v="기타운영비:부서별"/>
    <n v="4241130"/>
    <s v="운영비"/>
    <s v="NDZ251131"/>
    <n v="30000"/>
    <n v="15"/>
    <n v="2"/>
    <n v="900000"/>
  </r>
  <r>
    <x v="0"/>
    <s v="B"/>
    <s v="IR센터"/>
    <s v="8623"/>
    <s v="[B-1]"/>
    <s v="[B-1]학생 성공 AI에듀가이드 고도화"/>
    <s v="가. AI 기능 고도화 및 통합 AI에듀가이드 제공"/>
    <s v="With-YONSEI 개편을 위한 TF운영,_x000a_추천 AI시스템 구현을 위한 업체 및 부서회의"/>
    <s v="행정인력지원★"/>
    <s v="★(전담인력 1인) 대학혁신지원사업팀 배정(심동현)"/>
    <x v="2"/>
    <s v="임시직/급여"/>
    <n v="4125101"/>
    <s v="급여"/>
    <s v="NDZ251004"/>
    <m/>
    <m/>
    <m/>
    <n v="30000000"/>
  </r>
  <r>
    <x v="0"/>
    <s v="B"/>
    <s v="IR센터"/>
    <s v="8623"/>
    <s v="[B-1]"/>
    <s v="[B-1]학생 성공 AI에듀가이드 고도화"/>
    <s v="가. AI 기능 고도화 및 통합 AI에듀가이드 제공"/>
    <s v="With-YONSEI 개편을 위한 TF운영,_x000a_추천 AI시스템 구현을 위한 업체 및 부서회의"/>
    <s v="연구인력지원★"/>
    <s v="★(전담인력 1인) 대학혁신지원사업팀 배정(임성환)"/>
    <x v="2"/>
    <s v="비전임교원인건비"/>
    <n v="4118701"/>
    <s v="급여"/>
    <s v="NDZ251004"/>
    <m/>
    <m/>
    <m/>
    <n v="31836000"/>
  </r>
  <r>
    <x v="0"/>
    <s v="B"/>
    <s v="IR센터"/>
    <s v="8623"/>
    <s v="[B-1]"/>
    <s v="[B-1]학생 성공 AI에듀가이드 고도화"/>
    <s v="가. AI 기능 고도화 및 통합 AI에듀가이드 제공"/>
    <s v="With-YONSEI 개편을 위한 TF운영,_x000a_추천 AI시스템 구현을 위한 업체 및 부서회의"/>
    <s v="TF팀, 업체, 관련 부서 회의"/>
    <s v="TF운영, 관련 부서 회의비"/>
    <x v="0"/>
    <s v="기타운영비:부서별"/>
    <n v="4241130"/>
    <s v="운영비"/>
    <s v="NDZ251211"/>
    <n v="250000"/>
    <n v="1"/>
    <n v="6"/>
    <n v="6000000"/>
  </r>
  <r>
    <x v="0"/>
    <s v="B"/>
    <s v="IR센터"/>
    <s v="8623"/>
    <s v="[B-1]"/>
    <s v="[B-1]학생 성공 AI에듀가이드 고도화"/>
    <s v="가. AI 기능 고도화 및 통합 AI에듀가이드 제공"/>
    <s v="With-YONSEI 고도화, 교육성과관리 제고"/>
    <s v="With-YONSEI 고도화, 교육성과관리 제고관련 출장"/>
    <s v="With-YONSEI, 교육성과관리 출장비"/>
    <x v="0"/>
    <s v="기타운영비:부서별"/>
    <n v="4241130"/>
    <s v="출장비"/>
    <s v="NDZ251211"/>
    <n v="85000"/>
    <n v="1"/>
    <n v="5"/>
    <n v="935000"/>
  </r>
  <r>
    <x v="0"/>
    <s v="B"/>
    <s v="IR센터"/>
    <s v="8623"/>
    <s v="[B-1]"/>
    <s v="[B-1]학생 성공 AI에듀가이드 고도화"/>
    <s v="가. AI 기능 고도화 및 통합 AI에듀가이드 제공"/>
    <s v="AI에듀가이드 고도화 및 효과성 분석"/>
    <s v="AI에듀가이드 효과성 분석"/>
    <s v="AI 에듀가이드 효과 분석"/>
    <x v="0"/>
    <s v="일반용역비:부서별"/>
    <n v="4233201"/>
    <s v="용역비"/>
    <s v="NDZ251211"/>
    <n v="2000000"/>
    <n v="1"/>
    <n v="1"/>
    <n v="2000000"/>
  </r>
  <r>
    <x v="0"/>
    <s v="B"/>
    <s v="IR센터"/>
    <s v="8623"/>
    <s v="[B-1]"/>
    <s v="[B-1]학생 성공 AI에듀가이드 고도화"/>
    <s v="나. 사용자 편의성을 확대한 AI에듀가이드 구현"/>
    <s v="With-YONSEI 통합관리시스템 기능 고도화"/>
    <s v="With-YONSEI 유지보수"/>
    <s v="With-YONSEI 유지 보수_x000a_With-YONSEI 운영 통신료(SMS, 카카오톡 등)_x000a_With-YONSEI 서버 이전 및 재구성 작업_x000a_시스템 개편/고도화(시스템 개발)"/>
    <x v="3"/>
    <s v="일반용역비:부서별"/>
    <n v="4233201"/>
    <s v="용역비"/>
    <s v="NDZ251213"/>
    <n v="1600000"/>
    <n v="1"/>
    <n v="12"/>
    <n v="314200000"/>
  </r>
  <r>
    <x v="0"/>
    <s v="B"/>
    <s v="IR센터"/>
    <s v="8623"/>
    <s v="[B-1]"/>
    <s v="[B-1]학생 성공 AI에듀가이드 고도화"/>
    <s v="다. 학생 성공 선순환 고리 형성"/>
    <s v="AI에듀가이드 운영 성과분석을 위한 With-YONSEI 만족도 조사"/>
    <s v="With-YONSEI 만족도 조사 후 결과분석"/>
    <s v="시스템 운영 성과분석 및 의견 수렴에 대한 환류"/>
    <x v="0"/>
    <s v="일반용역비:부서별"/>
    <n v="4233201"/>
    <s v="용역비"/>
    <s v="NDZ251211"/>
    <n v="2500000"/>
    <n v="1"/>
    <n v="2"/>
    <n v="2500000"/>
  </r>
  <r>
    <x v="0"/>
    <s v="B"/>
    <s v="IR센터"/>
    <s v="8623"/>
    <s v="[B-1]"/>
    <s v="[B-1]학생 성공 AI에듀가이드 고도화"/>
    <s v="다. 학생 성공 선순환 고리 형성"/>
    <s v="AI에듀가이드 운영 성과분석을 위한 With-YONSEI 만족도 조사"/>
    <s v="With-YONSEI 운영/환류"/>
    <s v="운영비(의견수렴 등)"/>
    <x v="0"/>
    <s v="기타운영비:부서별"/>
    <n v="4241130"/>
    <s v="운영비"/>
    <s v="NDZ251211"/>
    <m/>
    <m/>
    <m/>
    <n v="500000"/>
  </r>
  <r>
    <x v="0"/>
    <s v="B"/>
    <m/>
    <m/>
    <s v=""/>
    <m/>
    <m/>
    <m/>
    <m/>
    <m/>
    <x v="4"/>
    <m/>
    <m/>
    <m/>
    <m/>
    <m/>
    <m/>
    <m/>
    <m/>
  </r>
  <r>
    <x v="0"/>
    <s v="B"/>
    <s v="경력개발팀"/>
    <s v="8711"/>
    <s v="[B-2]"/>
    <s v="[B-2]AI 온디맨드 경력개발 지원체계 구축"/>
    <s v="가. AI기반 진로·취업 지원을 위한 경력개발 데이터 구축"/>
    <s v="① AI기반 초개인화를 위한 진로 빅데이터 수집 및 분석"/>
    <s v="행정인력지원★"/>
    <s v="★(전담인력 1인) 대학혁신지원사업팀 배정(박세영)"/>
    <x v="2"/>
    <s v="임시직/급여"/>
    <n v="4125101"/>
    <s v="급여"/>
    <s v="NDZ251004"/>
    <m/>
    <m/>
    <m/>
    <n v="30000000"/>
  </r>
  <r>
    <x v="0"/>
    <s v="B"/>
    <s v="경력개발팀"/>
    <s v="8711"/>
    <s v="[B-2]"/>
    <s v="[B-2]AI 온디맨드 경력개발 지원체계 구축"/>
    <s v="가. AI기반 진로·취업 지원을 위한 경력개발 데이터 구축"/>
    <s v="① AI기반 초개인화를 위한 진로 빅데이터 수집 및 분석"/>
    <s v="행정인력지원★"/>
    <s v="★(전담인력 1인) 대학혁신지원사업팀 배정(이승희)"/>
    <x v="2"/>
    <s v="임시직/급여"/>
    <n v="4125101"/>
    <s v="급여"/>
    <s v="NDZ251004"/>
    <m/>
    <m/>
    <m/>
    <n v="30000000"/>
  </r>
  <r>
    <x v="0"/>
    <s v="B"/>
    <s v="경력개발팀"/>
    <s v="8711"/>
    <s v="[B-2]"/>
    <s v="[B-2]AI 온디맨드 경력개발 지원체계 구축"/>
    <s v="가. AI기반 진로·취업 지원을 위한 경력개발 데이터 구축"/>
    <s v="① AI기반 초개인화를 위한 진로 빅데이터 수집 및 분석"/>
    <s v="현직자 현황조사(가)"/>
    <s v="졸업생의 사회진출 현황 및 경력사항에 대한 빅데이터 구축"/>
    <x v="0"/>
    <s v="기타운영비:부서별"/>
    <n v="4241130"/>
    <s v="전문가활용비"/>
    <s v="NDZ251221"/>
    <n v="150000"/>
    <n v="200"/>
    <n v="1"/>
    <n v="25000000"/>
  </r>
  <r>
    <x v="0"/>
    <s v="B"/>
    <s v="경력개발팀"/>
    <s v="8711"/>
    <s v="[B-2]"/>
    <s v="[B-2]AI 온디맨드 경력개발 지원체계 구축"/>
    <s v="가. AI기반 진로·취업 지원을 위한 경력개발 데이터 구축"/>
    <s v="① AI기반 초개인화를 위한 진로 빅데이터 수집 및 분석"/>
    <s v="대학 진로교육 현황조사"/>
    <s v="교육부/한국직업능력연구원 주관, 대학 진로교육 현황조사 실시"/>
    <x v="0"/>
    <s v="기타운영비:부서별"/>
    <n v="4241130"/>
    <s v="기념품비"/>
    <s v="NDZ251221"/>
    <n v="3300000"/>
    <n v="1"/>
    <n v="1"/>
    <n v="3000000"/>
  </r>
  <r>
    <x v="0"/>
    <s v="B"/>
    <s v="경력개발팀"/>
    <s v="8711"/>
    <s v="[B-2]"/>
    <s v="[B-2]AI 온디맨드 경력개발 지원체계 구축"/>
    <s v="가. AI기반 진로·취업 지원을 위한 경력개발 데이터 구축"/>
    <s v="① AI기반 초개인화를 위한 진로 빅데이터 수집 및 분석"/>
    <s v="졸업생 진로정보 조사"/>
    <s v="경력개발팀 주관, 2월 졸업/8월 졸업예정자 대상 조사 실시"/>
    <x v="0"/>
    <s v="기타운영비:부서별"/>
    <n v="4241130"/>
    <s v="기념품비"/>
    <s v="NDZ251221"/>
    <n v="5400000"/>
    <n v="1"/>
    <n v="1"/>
    <n v="5000000"/>
  </r>
  <r>
    <x v="0"/>
    <s v="B"/>
    <s v="경력개발팀"/>
    <s v="8711"/>
    <s v="[B-2]"/>
    <s v="[B-2]AI 온디맨드 경력개발 지원체계 구축"/>
    <s v="가. AI기반 진로·취업 지원을 위한 경력개발 데이터 구축"/>
    <s v="② AI기반 초개인화를 위한 경력개발 경로 추천 체계 구축"/>
    <s v="진로교육 거버넌스"/>
    <s v="라운드테이블/관계부서 회의/대학진로지도위원회 운영"/>
    <x v="0"/>
    <s v="기타운영비:부서별"/>
    <n v="4241130"/>
    <s v="운영비"/>
    <s v="NDZ251221"/>
    <n v="2700000"/>
    <n v="1"/>
    <n v="1"/>
    <n v="2500000"/>
  </r>
  <r>
    <x v="0"/>
    <s v="B"/>
    <s v="경력개발팀"/>
    <s v="8711"/>
    <s v="[B-2]"/>
    <s v="[B-2]AI 온디맨드 경력개발 지원체계 구축"/>
    <s v="가. AI기반 진로·취업 지원을 위한 경력개발 데이터 구축"/>
    <s v="② AI기반 초개인화를 위한 경력개발 경로 추천 체계 구축"/>
    <s v="진로교육 거버넌스"/>
    <s v="미래학생복지처 경력개발팀 워크숍 진행"/>
    <x v="0"/>
    <s v="기타운영비:부서별"/>
    <n v="4241130"/>
    <s v="행사비"/>
    <s v="NDZ251221"/>
    <n v="2500000"/>
    <n v="1"/>
    <n v="1"/>
    <n v="2000000"/>
  </r>
  <r>
    <x v="0"/>
    <s v="B"/>
    <s v="경력개발팀"/>
    <s v="8711"/>
    <s v="[B-2]"/>
    <s v="[B-2]AI 온디맨드 경력개발 지원체계 구축"/>
    <s v="가. AI기반 진로·취업 지원을 위한 경력개발 데이터 구축"/>
    <s v="② AI기반 초개인화를 위한 경력개발 경로 추천 체계 구축"/>
    <s v="동문네트워크 구축"/>
    <s v="동문 빅데이터 구축 및 활용 프로그램 운영"/>
    <x v="0"/>
    <s v="기타운영비:부서별"/>
    <n v="4241130"/>
    <s v="전문가활용비"/>
    <s v="NDZ251221"/>
    <n v="200000"/>
    <n v="25"/>
    <n v="1"/>
    <n v="8000000"/>
  </r>
  <r>
    <x v="0"/>
    <s v="B"/>
    <s v="경력개발팀"/>
    <s v="8711"/>
    <s v="[B-2]"/>
    <s v="[B-2]AI 온디맨드 경력개발 지원체계 구축"/>
    <s v="가. AI기반 진로·취업 지원을 위한 경력개발 데이터 구축"/>
    <s v="② AI기반 초개인화를 위한 경력개발 경로 추천 체계 구축"/>
    <s v="동문네트워크 구축"/>
    <s v="동문 빅데이터 구축 및 활용 프로그램 운영"/>
    <x v="0"/>
    <s v="기타운영비:부서별"/>
    <n v="4241130"/>
    <s v="운영비"/>
    <s v="NDZ251221"/>
    <n v="20000"/>
    <n v="10"/>
    <n v="25"/>
    <n v="500000"/>
  </r>
  <r>
    <x v="0"/>
    <s v="B"/>
    <s v="경력개발팀"/>
    <s v="8711"/>
    <s v="[B-2]"/>
    <s v="[B-2]AI 온디맨드 경력개발 지원체계 구축"/>
    <s v="가. AI기반 진로·취업 지원을 위한 경력개발 데이터 구축"/>
    <s v="② AI기반 초개인화를 위한 경력개발 경로 추천 체계 구축"/>
    <s v="동문네트워크 구축"/>
    <s v="동문 빅데이터 구축 및 활용 프로그램 운영"/>
    <x v="0"/>
    <s v="기타운영비:부서별"/>
    <n v="4241130"/>
    <s v="행사비"/>
    <s v="NDZ251221"/>
    <n v="20000"/>
    <n v="10"/>
    <n v="25"/>
    <n v="15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자율기획예산제"/>
    <s v="전공주도 프로그램 운영 및 예산지원"/>
    <x v="0"/>
    <s v="기타운영비:부서별"/>
    <n v="4241130"/>
    <s v="전문가활용비"/>
    <s v="NDZ251221"/>
    <n v="300000"/>
    <n v="1"/>
    <n v="80"/>
    <n v="210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자율기획예산제"/>
    <s v="전공주도 프로그램 운영 및 예산지원"/>
    <x v="0"/>
    <s v="기타운영비:부서별"/>
    <n v="4241130"/>
    <s v="운영비"/>
    <s v="NDZ251221"/>
    <n v="200000"/>
    <n v="1"/>
    <n v="30"/>
    <n v="30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자율기획예산제"/>
    <s v="전공주도 프로그램 운영 및 예산지원"/>
    <x v="0"/>
    <s v="기타운영비:부서별"/>
    <n v="4241130"/>
    <s v="운영비"/>
    <s v="NDZ251221"/>
    <m/>
    <m/>
    <m/>
    <n v="30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자율기획예산제"/>
    <s v="전공주도 프로그램 운영 및 예산지원"/>
    <x v="0"/>
    <s v="기타운영비:부서별"/>
    <n v="4241130"/>
    <s v="학생활동지원비"/>
    <s v="NDZ251221"/>
    <m/>
    <m/>
    <m/>
    <n v="70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더미래페스티발"/>
    <s v="학생 진로 설정 및 경력개발 지원을 위한 집중지원주간 운영"/>
    <x v="0"/>
    <s v="기타운영비:부서별"/>
    <n v="4241130"/>
    <s v="전문가활용비"/>
    <s v="NDZ251221"/>
    <n v="300000"/>
    <n v="40"/>
    <n v="2"/>
    <n v="240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더미래페스티발"/>
    <s v="학생 진로 설정 및 경력개발 지원을 위한 집중지원주간 운영"/>
    <x v="0"/>
    <s v="기타운영비:부서별"/>
    <n v="4241130"/>
    <s v="운영비"/>
    <s v="NDZ251221"/>
    <n v="200000"/>
    <n v="1"/>
    <n v="5"/>
    <n v="4413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더미래페스티발"/>
    <s v="학생 진로 설정 및 경력개발 지원을 위한 집중지원주간 운영"/>
    <x v="0"/>
    <s v="일반용역비:부서별"/>
    <n v="4233201"/>
    <s v="용역비"/>
    <s v="NDZ251221"/>
    <n v="17500000"/>
    <n v="1"/>
    <n v="2"/>
    <n v="2563293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더미래페스티발"/>
    <s v="학생 진로 설정 및 경력개발 지원을 위한 집중지원주간 운영"/>
    <x v="0"/>
    <s v="기타운영비:부서별"/>
    <n v="4241130"/>
    <s v="행사비"/>
    <s v="NDZ251221"/>
    <m/>
    <m/>
    <m/>
    <n v="600407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진로지도 교과"/>
    <s v="진로지도 교수와의 전공기반 상담 및 자기주도적 전공탐색 및 진로역량 강화계획 수립 지원(대면·VOD강좌 강사료) 1학기"/>
    <x v="0"/>
    <s v="기타운영비:부서별"/>
    <n v="4241130"/>
    <s v="전문가활용비"/>
    <s v="NDZ251221"/>
    <n v="400000"/>
    <n v="1"/>
    <n v="24"/>
    <n v="48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진로지도 교과"/>
    <s v="진로지도 교수와의 전공기반 상담 및 자기주도적 전공탐색 및 진로역량 강화계획 수립 지원(대면·VOD강좌 강사료) 2학기"/>
    <x v="0"/>
    <s v="일반용역비:부서별"/>
    <n v="4233201"/>
    <s v="용역비"/>
    <s v="NDZ251221"/>
    <m/>
    <m/>
    <m/>
    <n v="48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경력개발 교과"/>
    <s v="공공기관의이해, 산업과기업의이해, 커리어디자인, 실전취업역량(계절) 운영(대면·VOD강좌 강사료)"/>
    <x v="0"/>
    <s v="기타운영비:부서별"/>
    <n v="4241130"/>
    <s v="전문가활용비"/>
    <s v="NDZ251221"/>
    <n v="15600000"/>
    <n v="1"/>
    <n v="1"/>
    <n v="128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경력개발 교과"/>
    <s v="공공기관의이해, 산업과기업의이해, 커리어디자인, 실전취업역량(계절) 운영(대면·VOD강좌 강사료)"/>
    <x v="0"/>
    <s v="일반용역비:부서별"/>
    <n v="4233201"/>
    <s v="용역비"/>
    <s v="NDZ251221"/>
    <n v="10000000"/>
    <n v="1"/>
    <n v="1"/>
    <n v="100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소통형 진로교육 홍보"/>
    <s v="미니오픈부스 및 홍보 진행"/>
    <x v="0"/>
    <s v="기타운영비:부서별"/>
    <n v="4241130"/>
    <s v="기념품비"/>
    <s v="NDZ251221"/>
    <n v="5300000"/>
    <n v="1"/>
    <n v="1"/>
    <n v="415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소통형 진로교육 홍보"/>
    <s v="미니오픈부스 및 홍보 진행"/>
    <x v="0"/>
    <s v="기타운영비:부서별"/>
    <n v="4241130"/>
    <s v="운영비"/>
    <s v="NDZ251221"/>
    <n v="4700000"/>
    <n v="1"/>
    <n v="1"/>
    <n v="40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학생소통체계(Career Ambassador)"/>
    <s v="운영비 및 회의비"/>
    <x v="0"/>
    <s v="기타운영비:부서별"/>
    <n v="4241130"/>
    <s v="운영비"/>
    <s v="NDZ251221"/>
    <n v="250000"/>
    <n v="1"/>
    <n v="2"/>
    <n v="125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학생소통체계(Career Ambassador)"/>
    <s v="발대식, 성과공유회, 더미래페스티벌 부스 운영비"/>
    <x v="0"/>
    <s v="기타운영비:부서별"/>
    <n v="4241130"/>
    <s v="행사비"/>
    <s v="NDZ251221"/>
    <n v="1250000"/>
    <n v="1"/>
    <n v="2"/>
    <n v="20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학생소통체계(Career Ambassador)"/>
    <s v="엠버서더 활동 기념품비"/>
    <x v="0"/>
    <s v="기타운영비:부서별"/>
    <n v="4241130"/>
    <s v="기념품비"/>
    <s v="NDZ251221"/>
    <n v="1000000"/>
    <n v="1"/>
    <n v="2"/>
    <n v="25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AI역량강화 프로그램(가)"/>
    <s v="AI리터러시 및 전문성 강화 지원"/>
    <x v="0"/>
    <s v="일반용역비:부서별"/>
    <n v="4233201"/>
    <s v="용역비"/>
    <s v="NDZ251221"/>
    <n v="5000000"/>
    <n v="1"/>
    <n v="6"/>
    <n v="230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기업/산업 전략 프로그램(가)"/>
    <s v="기업 및 산업분야 맞춤형 전략 수립 및 역량강화 프로그램"/>
    <x v="0"/>
    <s v="일반용역비:부서별"/>
    <n v="4233201"/>
    <s v="용역비"/>
    <s v="NDZ251221"/>
    <n v="5000000"/>
    <n v="1"/>
    <n v="4"/>
    <n v="180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해외취업 지원 프로그램(가)"/>
    <s v="해외취업 지원프로그램"/>
    <x v="0"/>
    <s v="일반용역비:부서별"/>
    <n v="4233201"/>
    <s v="용역비"/>
    <s v="NDZ251221"/>
    <n v="5000000"/>
    <n v="1"/>
    <n v="3"/>
    <n v="50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공공기관 진출 지원 프로그램"/>
    <s v="공공기관 진출 지원 프로그램"/>
    <x v="0"/>
    <s v="일반용역비:부서별"/>
    <n v="4233201"/>
    <s v="용역비"/>
    <s v="NDZ251221"/>
    <n v="15000000"/>
    <n v="1"/>
    <n v="1"/>
    <n v="147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공공기관 진출 지원 프로그램"/>
    <s v="공공기관 진출 지원 프로그램"/>
    <x v="0"/>
    <s v="기타운영비:부서별"/>
    <n v="4241130"/>
    <s v="행사비"/>
    <s v="NDZ251221"/>
    <m/>
    <m/>
    <m/>
    <n v="300000"/>
  </r>
  <r>
    <x v="0"/>
    <s v="B"/>
    <s v="경력개발팀"/>
    <s v="8711"/>
    <s v="[B-2]"/>
    <s v="[B-2]AI 온디맨드 경력개발 지원체계 구축"/>
    <s v="나. 온디맨드 경력개발 서비스 운영"/>
    <s v="① AI기반 온디맨드 경력개발 교과·비교과 프로그램 운영"/>
    <s v="시스템 유지보수, 개편"/>
    <s v="경력개발포탈시스템(YGEMS)"/>
    <x v="3"/>
    <s v="일반용역비:부서별"/>
    <n v="4233201"/>
    <s v="용역비"/>
    <s v="NDZ251223"/>
    <n v="462000"/>
    <n v="1"/>
    <n v="12"/>
    <n v="5544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컨설팅 용역"/>
    <s v="온라인 상시 지원/집중 전문 컨설팅 기간 운영(1학기)"/>
    <x v="0"/>
    <s v="일반용역비:부서별"/>
    <n v="4233201"/>
    <s v="용역비"/>
    <s v="NDZ251221"/>
    <n v="50000000"/>
    <n v="1"/>
    <n v="1"/>
    <n v="50000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컨설팅 용역"/>
    <s v="온라인 상시 지원/집중 전문 컨설팅 기간 운영(2학기)"/>
    <x v="0"/>
    <s v="일반용역비:부서별"/>
    <n v="4233201"/>
    <s v="용역비"/>
    <s v="NDZ251221"/>
    <n v="60000000"/>
    <n v="1"/>
    <n v="1"/>
    <n v="60000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공직진출 프로그램"/>
    <s v="공직진출을 지원하기 위한 특강 및 모의고사, 멘토링 등 운영"/>
    <x v="0"/>
    <s v="기타운영비:부서별"/>
    <n v="4241130"/>
    <s v="전문가활용비"/>
    <s v="NDZ251221"/>
    <n v="500000"/>
    <n v="1"/>
    <n v="10"/>
    <n v="5000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공직진출 프로그램"/>
    <s v="공직진출을 지원하기 위한 특강 및 모의고사, 멘토링 등 운영"/>
    <x v="0"/>
    <s v="기타운영비:부서별"/>
    <n v="4241130"/>
    <s v="운영비"/>
    <s v="NDZ251221"/>
    <n v="200000"/>
    <n v="1"/>
    <n v="5"/>
    <n v="1000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공직진출 프로그램"/>
    <s v="공직진출을 지원하기 위한 특강 및 모의고사, 멘토링 등 운영"/>
    <x v="0"/>
    <s v="일반용역비:부서별"/>
    <n v="4233201"/>
    <s v="용역비"/>
    <s v="NDZ251221"/>
    <n v="8000000"/>
    <n v="1"/>
    <n v="2"/>
    <n v="15000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교직원 진로지도 역량강화 교육"/>
    <s v="우리 대학 교직원의 진로지도 역량강화 교육 및 학생지도 지원 체계 구축"/>
    <x v="0"/>
    <s v="기타운영비:부서별"/>
    <n v="4241130"/>
    <s v="전문가활용비"/>
    <s v="NDZ251221"/>
    <n v="1400000"/>
    <n v="1"/>
    <n v="2"/>
    <n v="2800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교직원 진로지도 역량강화 교육"/>
    <s v="우리 대학 교직원의 진로지도 역량강화 교육 및 학생지도 지원 체계 구축"/>
    <x v="0"/>
    <s v="기타운영비:부서별"/>
    <n v="4241130"/>
    <s v="행사비"/>
    <s v="NDZ251221"/>
    <n v="30000"/>
    <n v="50"/>
    <n v="2"/>
    <n v="2700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교직원 진로지도 역량강화 교육"/>
    <s v="우리 대학 교직원의 진로지도 역량강화 교육 및 학생지도 지원 체계 구축"/>
    <x v="0"/>
    <s v="기타운영비:부서별"/>
    <n v="4241130"/>
    <s v="운영비"/>
    <s v="NDZ251221"/>
    <n v="100000"/>
    <n v="1"/>
    <n v="2"/>
    <n v="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교직원 진로지도 역량강화 교육"/>
    <s v="직원 역량강화 교육(교육훈련비)"/>
    <x v="0"/>
    <s v="기타운영비:부서별"/>
    <n v="4241130"/>
    <s v="출장비"/>
    <s v="NDZ251221"/>
    <n v="50000"/>
    <n v="2"/>
    <n v="2"/>
    <n v="400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교직원 진로지도 역량강화 교육"/>
    <s v="직원 역량강화 교육(교육훈련비)"/>
    <x v="0"/>
    <s v="기타운영비:부서별"/>
    <n v="4241130"/>
    <s v="교육훈련비"/>
    <s v="NDZ251221"/>
    <n v="300000"/>
    <n v="2"/>
    <n v="2"/>
    <n v="1000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커리어카페 운영"/>
    <s v="커리어카페 환경조성/운영비/회의비"/>
    <x v="0"/>
    <s v="기타운영비:부서별"/>
    <n v="4241130"/>
    <s v="운영비"/>
    <s v="NDZ251221"/>
    <n v="5000000"/>
    <n v="1"/>
    <n v="1"/>
    <n v="2500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커리어카페 운영"/>
    <s v="커리어카페 환경조성/운영비/회의비"/>
    <x v="0"/>
    <s v="기타운영비:부서별"/>
    <n v="4241130"/>
    <s v="기념품비"/>
    <s v="NDZ251221"/>
    <n v="1000000"/>
    <n v="1"/>
    <n v="1"/>
    <n v="1000000"/>
  </r>
  <r>
    <x v="0"/>
    <s v="B"/>
    <s v="경력개발팀"/>
    <s v="8711"/>
    <s v="[B-2]"/>
    <s v="[B-2]AI 온디맨드 경력개발 지원체계 구축"/>
    <s v="나. 온디맨드 경력개발 서비스 운영"/>
    <s v="② 실시간 온디맨드 진로·취업 지원체계 전환"/>
    <s v="커리어카페 운영"/>
    <s v="커리어카페 환경조성"/>
    <x v="3"/>
    <s v="업무용비품구입지출"/>
    <n v="1315903"/>
    <s v="환경개선비"/>
    <s v="NDZ251223"/>
    <n v="2000000"/>
    <n v="1"/>
    <n v="1"/>
    <n v="1000000"/>
  </r>
  <r>
    <x v="0"/>
    <s v="B"/>
    <s v="경력개발팀"/>
    <s v="8711"/>
    <s v="[B-2]"/>
    <s v="[B-2]AI 온디맨드 경력개발 지원체계 구축"/>
    <s v="다. AI 온디맨드 경력개발 성과관리"/>
    <s v="① 성관관리 체계 고도화를 위한 데이터기반 관리 시스템 도입"/>
    <s v="온디맨드 경력개발 지원체계 AI 평가 시범운영"/>
    <s v="수집된 빅데이터 기반의 경력개발 지원 및 관리 체계 구축"/>
    <x v="5"/>
    <s v="업무용기계기구구입지출"/>
    <n v="1314903"/>
    <s v="기자재구입비"/>
    <s v="NDZ251222"/>
    <n v="4000000"/>
    <n v="1"/>
    <n v="1"/>
    <n v="0"/>
  </r>
  <r>
    <x v="0"/>
    <s v="B"/>
    <s v="경력개발팀"/>
    <s v="8711"/>
    <s v="[B-2]"/>
    <s v="[B-2]AI 온디맨드 경력개발 지원체계 구축"/>
    <s v="다. AI 온디맨드 경력개발 성과관리"/>
    <s v="② AI평과 관리 시스템 검증 및 환류 체계 고도화"/>
    <s v="AI평가 기반 관리 시스템 파일럿 운영"/>
    <s v="AI평가 기반 관리 시스템 운영 및 성과 검증"/>
    <x v="0"/>
    <s v="기타운영비:부서별"/>
    <n v="4241130"/>
    <s v="운영비"/>
    <s v="NDZ251221"/>
    <n v="40000"/>
    <n v="1"/>
    <n v="12"/>
    <n v="480000"/>
  </r>
  <r>
    <x v="0"/>
    <s v="B"/>
    <s v="심리상담센터"/>
    <s v="8647"/>
    <s v="[B-3]"/>
    <s v="[B-3]마음건강 마이크로케어 플랫폼 고도화"/>
    <s v="가.마음건강 진단 및 예방체계 활성화"/>
    <s v="1. 마음건강 데이터 수집 및 현황 분석"/>
    <s v="행정인력지원★"/>
    <s v="★(전담인력 1인) 대학혁신지원사업팀 배정(김승환)"/>
    <x v="2"/>
    <s v="임시직/급여"/>
    <n v="4125101"/>
    <s v="급여"/>
    <s v="NDZ251004"/>
    <m/>
    <m/>
    <m/>
    <n v="31200000"/>
  </r>
  <r>
    <x v="0"/>
    <s v="B"/>
    <s v="심리상담센터"/>
    <s v="8647"/>
    <s v="[B-3]"/>
    <s v="[B-3]마음건강 마이크로케어 플랫폼 고도화"/>
    <s v="가.마음건강 진단 및 예방체계 활성화"/>
    <s v="1. 마음건강 데이터 수집 및 현황 분석"/>
    <s v="1. 마음건강 자가진단 활성화 이벤트"/>
    <s v="운영회의 x 2회"/>
    <x v="0"/>
    <s v="기타운영비:부서별"/>
    <n v="4241130"/>
    <s v="운영비"/>
    <s v="NDZ251231"/>
    <n v="30000"/>
    <n v="7"/>
    <n v="2"/>
    <n v="420000"/>
  </r>
  <r>
    <x v="0"/>
    <s v="B"/>
    <s v="심리상담센터"/>
    <s v="8647"/>
    <s v="[B-3]"/>
    <s v="[B-3]마음건강 마이크로케어 플랫폼 고도화"/>
    <s v="가.마음건강 진단 및 예방체계 활성화"/>
    <s v="1. 마음건강 데이터 수집 및 현황 분석"/>
    <s v="1. 마음건강 자가진단 활성화 이벤트"/>
    <s v="프로그램 기념품구입비(1학기120만원, 2학기 120만원)"/>
    <x v="0"/>
    <s v="기타운영비:부서별"/>
    <n v="4241130"/>
    <s v="기념품비"/>
    <s v="NDZ251231"/>
    <n v="40000"/>
    <n v="30"/>
    <n v="2"/>
    <n v="2400000"/>
  </r>
  <r>
    <x v="0"/>
    <s v="B"/>
    <s v="심리상담센터"/>
    <s v="8647"/>
    <s v="[B-3]"/>
    <s v="[B-3]마음건강 마이크로케어 플랫폼 고도화"/>
    <s v="가.마음건강 진단 및 예방체계 활성화"/>
    <s v="1. 마음건강 데이터 수집 및 현황 분석"/>
    <s v="1. 마음건강 자가진단 활성화 이벤트"/>
    <s v="인쇄제본비(현수막, 포스터 등 홍보물 제작비)"/>
    <x v="0"/>
    <s v="기타운영비:부서별"/>
    <n v="4241130"/>
    <s v="운영비"/>
    <s v="NDZ251231"/>
    <n v="350000"/>
    <n v="1"/>
    <n v="2"/>
    <n v="700000"/>
  </r>
  <r>
    <x v="0"/>
    <s v="B"/>
    <s v="심리상담센터"/>
    <s v="8647"/>
    <s v="[B-3]"/>
    <s v="[B-3]마음건강 마이크로케어 플랫폼 고도화"/>
    <s v="가.마음건강 진단 및 예방체계 활성화"/>
    <s v="1. 마음건강 데이터 수집 및 현황 분석"/>
    <s v="2. 마음챙김 ON&amp;IN 캠페인"/>
    <s v="운영회의 x 2회"/>
    <x v="0"/>
    <s v="기타운영비:부서별"/>
    <n v="4241130"/>
    <s v="운영비"/>
    <s v="NDZ251231"/>
    <n v="30000"/>
    <n v="7"/>
    <n v="2"/>
    <n v="420000"/>
  </r>
  <r>
    <x v="0"/>
    <s v="B"/>
    <s v="심리상담센터"/>
    <s v="8647"/>
    <s v="[B-3]"/>
    <s v="[B-3]마음건강 마이크로케어 플랫폼 고도화"/>
    <s v="가.마음건강 진단 및 예방체계 활성화"/>
    <s v="1. 마음건강 데이터 수집 및 현황 분석"/>
    <s v="2. 마음챙김 ON&amp;IN 캠페인"/>
    <s v="캠페인 행사비(식비)"/>
    <x v="0"/>
    <s v="기타운영비:부서별"/>
    <n v="4241130"/>
    <s v="행사비"/>
    <s v="NDZ251231"/>
    <n v="30000"/>
    <n v="10"/>
    <n v="1"/>
    <n v="300000"/>
  </r>
  <r>
    <x v="0"/>
    <s v="B"/>
    <s v="심리상담센터"/>
    <s v="8647"/>
    <s v="[B-3]"/>
    <s v="[B-3]마음건강 마이크로케어 플랫폼 고도화"/>
    <s v="가.마음건강 진단 및 예방체계 활성화"/>
    <s v="1. 마음건강 데이터 수집 및 현황 분석"/>
    <s v="2. 마음챙김 ON&amp;IN 캠페인"/>
    <s v="캠페인 참가자 기념품 구입비"/>
    <x v="0"/>
    <s v="기타운영비:부서별"/>
    <n v="4241130"/>
    <s v="기념품비"/>
    <s v="NDZ251231"/>
    <n v="40000"/>
    <n v="50"/>
    <n v="1"/>
    <n v="2000000"/>
  </r>
  <r>
    <x v="0"/>
    <s v="B"/>
    <s v="심리상담센터"/>
    <s v="8647"/>
    <s v="[B-3]"/>
    <s v="[B-3]마음건강 마이크로케어 플랫폼 고도화"/>
    <s v="가.마음건강 진단 및 예방체계 활성화"/>
    <s v="1. 마음건강 데이터 수집 및 현황 분석"/>
    <s v="2. 마음챙김 ON&amp;IN 캠페인"/>
    <s v="캠페인 소모품 구입비"/>
    <x v="0"/>
    <s v="기타운영비:부서별"/>
    <n v="4241130"/>
    <s v="운영비"/>
    <s v="NDZ251231"/>
    <n v="1500000"/>
    <n v="1"/>
    <n v="1"/>
    <n v="1500000"/>
  </r>
  <r>
    <x v="0"/>
    <s v="B"/>
    <s v="심리상담센터"/>
    <s v="8647"/>
    <s v="[B-3]"/>
    <s v="[B-3]마음건강 마이크로케어 플랫폼 고도화"/>
    <s v="가.마음건강 진단 및 예방체계 활성화"/>
    <s v="1. 마음건강 데이터 수집 및 현황 분석"/>
    <s v="3. 협력부서 정신건강 공유회의"/>
    <s v="협력부서 회의 x 4회"/>
    <x v="0"/>
    <s v="기타운영비:부서별"/>
    <n v="4241130"/>
    <s v="운영비"/>
    <s v="NDZ251231"/>
    <n v="20000"/>
    <n v="10"/>
    <n v="4"/>
    <n v="800000"/>
  </r>
  <r>
    <x v="0"/>
    <s v="B"/>
    <s v="심리상담센터"/>
    <s v="8647"/>
    <s v="[B-3]"/>
    <s v="[B-3]마음건강 마이크로케어 플랫폼 고도화"/>
    <s v="가.마음건강 진단 및 예방체계 활성화"/>
    <s v="2. 맞춤형 마음건강 프로그램 개발"/>
    <s v="4. 마음건강 온라인 강의 콘텐츠 제작"/>
    <s v="강사비(시간) x 2회"/>
    <x v="0"/>
    <s v="기타운영비:부서별"/>
    <n v="4241130"/>
    <s v="전문가활용비"/>
    <s v="NDZ251231"/>
    <n v="450000"/>
    <n v="1"/>
    <n v="2"/>
    <n v="900000"/>
  </r>
  <r>
    <x v="0"/>
    <s v="B"/>
    <s v="심리상담센터"/>
    <s v="8647"/>
    <s v="[B-3]"/>
    <s v="[B-3]마음건강 마이크로케어 플랫폼 고도화"/>
    <s v="나. 다양성 존중 마이크로케어 지원체계 구축"/>
    <s v="1. 전문 상담 및 안전공간 통합 운영 체계 구축"/>
    <s v="1. 고위험군 위기대응 컨퍼런스"/>
    <s v="심리전문가 특강료(3시간) x 2회 "/>
    <x v="0"/>
    <s v="기타운영비:부서별"/>
    <n v="4241130"/>
    <s v="전문가활용비"/>
    <s v="NDZ251231"/>
    <n v="600000"/>
    <n v="2"/>
    <n v="1"/>
    <n v="1200000"/>
  </r>
  <r>
    <x v="0"/>
    <s v="B"/>
    <s v="심리상담센터"/>
    <s v="8647"/>
    <s v="[B-3]"/>
    <s v="[B-3]마음건강 마이크로케어 플랫폼 고도화"/>
    <s v="나. 다양성 존중 마이크로케어 지원체계 구축"/>
    <s v="1. 전문 상담 및 안전공간 통합 운영 체계 구축"/>
    <s v="1. 고위험군 위기대응 컨퍼런스"/>
    <s v="워크숍 행사비 x 2회"/>
    <x v="0"/>
    <s v="기타운영비:부서별"/>
    <n v="4241130"/>
    <s v="행사비"/>
    <s v="NDZ251231"/>
    <n v="30000"/>
    <n v="12"/>
    <n v="2"/>
    <n v="720000"/>
  </r>
  <r>
    <x v="0"/>
    <s v="B"/>
    <s v="심리상담센터"/>
    <s v="8647"/>
    <s v="[B-3]"/>
    <s v="[B-3]마음건강 마이크로케어 플랫폼 고도화"/>
    <s v="나. 다양성 존중 마이크로케어 지원체계 구축"/>
    <s v="1. 전문 상담 및 안전공간 통합 운영 체계 구축"/>
    <s v="2. 전문 심리상담원 운영"/>
    <s v="객원상담사 6인 인건비(용역비)"/>
    <x v="0"/>
    <s v="일반용역비:부서별"/>
    <n v="4233201"/>
    <s v="용역비"/>
    <s v="NDZ251231"/>
    <n v="60000000"/>
    <n v="1"/>
    <n v="1"/>
    <n v="60000000"/>
  </r>
  <r>
    <x v="0"/>
    <s v="B"/>
    <s v="심리상담센터"/>
    <s v="8647"/>
    <s v="[B-3]"/>
    <s v="[B-3]마음건강 마이크로케어 플랫폼 고도화"/>
    <s v="나. 다양성 존중 마이크로케어 지원체계 구축"/>
    <s v="1. 전문 상담 및 안전공간 통합 운영 체계 구축"/>
    <s v="3. 상담실라운지 운영 및 인프라 보강"/>
    <s v="대학원생 근로장학금 (10,320원x2336시간)"/>
    <x v="1"/>
    <s v="교외장학금"/>
    <n v="4321701"/>
    <s v="근로장학금"/>
    <s v="NDZ251235"/>
    <n v="10320"/>
    <n v="1"/>
    <n v="2336"/>
    <n v="24107520"/>
  </r>
  <r>
    <x v="0"/>
    <s v="B"/>
    <s v="심리상담센터"/>
    <s v="8647"/>
    <s v="[B-3]"/>
    <s v="[B-3]마음건강 마이크로케어 플랫폼 고도화"/>
    <s v="나. 다양성 존중 마이크로케어 지원체계 구축"/>
    <s v="1. 전문 상담 및 안전공간 통합 운영 체계 구축"/>
    <s v="3. 상담실라운지 운영 및 인프라 보강"/>
    <s v="상담실라운지 이용자 다과비"/>
    <x v="0"/>
    <s v="기타운영비:부서별"/>
    <n v="4241130"/>
    <s v="행사비"/>
    <s v="NDZ251231"/>
    <n v="1000"/>
    <n v="2000"/>
    <n v="1"/>
    <n v="2000000"/>
  </r>
  <r>
    <x v="0"/>
    <s v="B"/>
    <s v="심리상담센터"/>
    <s v="8647"/>
    <s v="[B-3]"/>
    <s v="[B-3]마음건강 마이크로케어 플랫폼 고도화"/>
    <s v="나. 다양성 존중 마이크로케어 지원체계 구축"/>
    <s v="1. 전문 상담 및 안전공간 통합 운영 체계 구축"/>
    <s v="3. 상담실라운지 운영 및 인프라 보강"/>
    <s v="상담실라운지 인쇄비(홍보물 제작, 심리검사 인쇄 등)"/>
    <x v="0"/>
    <s v="기타운영비:부서별"/>
    <n v="4241130"/>
    <s v="운영비"/>
    <s v="NDZ251231"/>
    <n v="700"/>
    <n v="200"/>
    <n v="12"/>
    <n v="1680000"/>
  </r>
  <r>
    <x v="0"/>
    <s v="B"/>
    <s v="심리상담센터"/>
    <s v="8647"/>
    <s v="[B-3]"/>
    <s v="[B-3]마음건강 마이크로케어 플랫폼 고도화"/>
    <s v="나. 다양성 존중 마이크로케어 지원체계 구축"/>
    <s v="1. 전문 상담 및 안전공간 통합 운영 체계 구축"/>
    <s v="3. 상담실라운지 운영 및 인프라 보강"/>
    <s v="상담실라운지 소모품(정서안정용 소모품, 라운지 유지보수 소모품)"/>
    <x v="0"/>
    <s v="기타운영비:부서별"/>
    <n v="4241130"/>
    <s v="운영비"/>
    <s v="NDZ251231"/>
    <n v="3000000"/>
    <n v="1"/>
    <n v="1"/>
    <n v="3000000"/>
  </r>
  <r>
    <x v="0"/>
    <s v="B"/>
    <s v="심리상담센터"/>
    <s v="8647"/>
    <s v="[B-3]"/>
    <s v="[B-3]마음건강 마이크로케어 플랫폼 고도화"/>
    <s v="나. 다양성 존중 마이크로케어 지원체계 구축"/>
    <s v="1. 전문 상담 및 안전공간 통합 운영 체계 구축"/>
    <s v="3. 상담실라운지 운영 및 인프라 보강"/>
    <s v="운영회의 x 3회(사전운영회의, 사후평가회의, 조교간담회의)"/>
    <x v="0"/>
    <s v="기타운영비:부서별"/>
    <n v="4241130"/>
    <s v="운영비"/>
    <s v="NDZ251231"/>
    <n v="30000"/>
    <n v="8"/>
    <n v="3"/>
    <n v="720000"/>
  </r>
  <r>
    <x v="0"/>
    <s v="B"/>
    <s v="심리상담센터"/>
    <s v="8647"/>
    <s v="[B-3]"/>
    <s v="[B-3]마음건강 마이크로케어 플랫폼 고도화"/>
    <s v="나. 다양성 존중 마이크로케어 지원체계 구축"/>
    <s v="1. 전문 상담 및 안전공간 통합 운영 체계 구축"/>
    <s v="3. 상담실라운지 운영 및 인프라 보강"/>
    <s v="홍보용 사이니지(디지털 전광판) 2대 구입"/>
    <x v="3"/>
    <s v="교육용기계기구구입지출"/>
    <n v="1314901"/>
    <s v="환경개선비"/>
    <s v="NDZ251233"/>
    <n v="2000000"/>
    <n v="2"/>
    <n v="1"/>
    <n v="4000000"/>
  </r>
  <r>
    <x v="0"/>
    <s v="B"/>
    <s v="심리상담센터"/>
    <s v="8647"/>
    <s v="[B-3]"/>
    <s v="[B-3]마음건강 마이크로케어 플랫폼 고도화"/>
    <s v="나. 다양성 존중 마이크로케어 지원체계 구축"/>
    <s v="1. 전문 상담 및 안전공간 통합 운영 체계 구축"/>
    <s v="3. 상담실라운지 운영 및 인프라 보강"/>
    <s v="미래윤리인권위원회 홈페이지 고도화 용역(장학금으로 학생대상-근로장학금방식)"/>
    <x v="1"/>
    <s v="교외장학금"/>
    <n v="4321701"/>
    <s v="근로장학금"/>
    <s v="NDZ251231"/>
    <n v="4000000"/>
    <n v="1"/>
    <n v="1"/>
    <n v="400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1. 대학생활 적응점검"/>
    <s v="소모품(SLT 심리검사 100EA) 구입비"/>
    <x v="0"/>
    <s v="기타운영비:부서별"/>
    <n v="4241130"/>
    <s v="운영비"/>
    <s v="NDZ251231"/>
    <n v="4500"/>
    <n v="100"/>
    <n v="2"/>
    <n v="90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1. 대학생활 적응점검"/>
    <s v="인쇄제본비(현수막, 포스터 등 홍보물 제작비)"/>
    <x v="0"/>
    <s v="기타운영비:부서별"/>
    <n v="4241130"/>
    <s v="운영비"/>
    <s v="NDZ251231"/>
    <n v="270000"/>
    <n v="1"/>
    <n v="2"/>
    <n v="54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2. 진로취업 스트레스 관리법 특강"/>
    <s v="인쇄제본비"/>
    <x v="0"/>
    <s v="기타운영비:부서별"/>
    <n v="4241130"/>
    <s v="운영비"/>
    <s v="NDZ251231"/>
    <n v="270000"/>
    <n v="1"/>
    <n v="1"/>
    <n v="27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2. 진로취업 스트레스 관리법 특강"/>
    <s v="강사비(2시간) x 1회"/>
    <x v="0"/>
    <s v="기타운영비:부서별"/>
    <n v="4241130"/>
    <s v="전문가활용비"/>
    <s v="NDZ251231"/>
    <n v="450000"/>
    <n v="1"/>
    <n v="1"/>
    <n v="45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2. 진로취업 스트레스 관리법 특강"/>
    <s v="참가자 다과비(15,000원 x 16명)"/>
    <x v="0"/>
    <s v="기타운영비:부서별"/>
    <n v="4241130"/>
    <s v="행사비"/>
    <s v="NDZ251231"/>
    <n v="15000"/>
    <n v="16"/>
    <n v="1"/>
    <n v="24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2. 진로취업 스트레스 관리법 특강"/>
    <s v="소모품비(심리검사구입비 등)"/>
    <x v="0"/>
    <s v="기타운영비:부서별"/>
    <n v="4241130"/>
    <s v="운영비"/>
    <s v="NDZ251231"/>
    <n v="100000"/>
    <n v="1"/>
    <n v="1"/>
    <n v="10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2. 진로취업 스트레스 관리법 특강"/>
    <s v="운영회의 x 2회"/>
    <x v="0"/>
    <s v="기타운영비:부서별"/>
    <n v="4241130"/>
    <s v="운영비"/>
    <s v="NDZ251231"/>
    <n v="30000"/>
    <n v="7"/>
    <n v="2"/>
    <n v="42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3. 학습약자 심리지원 프로그램"/>
    <s v="강사비(2시간) x 1회"/>
    <x v="0"/>
    <s v="기타운영비:부서별"/>
    <n v="4241130"/>
    <s v="전문가활용비"/>
    <s v="NDZ251231"/>
    <n v="450000"/>
    <n v="1"/>
    <n v="1"/>
    <n v="45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3. 학습약자 심리지원 프로그램"/>
    <s v="인쇄제본비(현수막, 포스터 등 홍보물 제작비)"/>
    <x v="0"/>
    <s v="기타운영비:부서별"/>
    <n v="4241130"/>
    <s v="운영비"/>
    <s v="NDZ251231"/>
    <n v="270000"/>
    <n v="1"/>
    <n v="1"/>
    <n v="27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3. 학습약자 심리지원 프로그램"/>
    <s v="참가 학생 다과비(15,000원 x 22명)"/>
    <x v="0"/>
    <s v="기타운영비:부서별"/>
    <n v="4241130"/>
    <s v="행사비"/>
    <s v="NDZ251231"/>
    <n v="15000"/>
    <n v="22"/>
    <n v="1"/>
    <n v="33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3. 학습약자 심리지원 프로그램"/>
    <s v="운영회의 x 2회"/>
    <x v="0"/>
    <s v="기타운영비:부서별"/>
    <n v="4241130"/>
    <s v="운영비"/>
    <s v="NDZ251231"/>
    <n v="30000"/>
    <n v="7"/>
    <n v="2"/>
    <n v="42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3. 학습약자 심리지원 프로그램"/>
    <s v="프로그램 참가자 기념품 구입비"/>
    <x v="0"/>
    <s v="기타운영비:부서별"/>
    <n v="4241130"/>
    <s v="기념품비"/>
    <s v="NDZ251231"/>
    <n v="40000"/>
    <n v="5"/>
    <n v="1"/>
    <n v="20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4. 유학생 심리지원 프로그램"/>
    <s v="강사비(2시간) x 1회"/>
    <x v="0"/>
    <s v="기타운영비:부서별"/>
    <n v="4241130"/>
    <s v="전문가활용비"/>
    <s v="NDZ251231"/>
    <n v="450000"/>
    <n v="1"/>
    <n v="1"/>
    <n v="45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4. 유학생 심리지원 프로그램"/>
    <s v="참가자 다과비(15,000원 x 15명)"/>
    <x v="0"/>
    <s v="기타운영비:부서별"/>
    <n v="4241130"/>
    <s v="행사비"/>
    <s v="NDZ251231"/>
    <n v="15000"/>
    <n v="15"/>
    <n v="1"/>
    <n v="225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4. 유학생 심리지원 프로그램"/>
    <s v="프로그램 운영 소모품비"/>
    <x v="0"/>
    <s v="기타운영비:부서별"/>
    <n v="4241130"/>
    <s v="운영비"/>
    <s v="NDZ251231"/>
    <n v="100000"/>
    <n v="1"/>
    <n v="1"/>
    <n v="10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4. 유학생 심리지원 프로그램"/>
    <s v="운영회의 x 2회"/>
    <x v="0"/>
    <s v="기타운영비:부서별"/>
    <n v="4241130"/>
    <s v="운영비"/>
    <s v="NDZ251231"/>
    <n v="30000"/>
    <n v="7"/>
    <n v="2"/>
    <n v="42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4. 유학생 심리지원 프로그램"/>
    <s v="인쇄제본비(현수막, 포스터 등 홍보물 제작비)"/>
    <x v="0"/>
    <s v="기타운영비:부서별"/>
    <n v="4241130"/>
    <s v="운영비"/>
    <s v="NDZ251231"/>
    <n v="270000"/>
    <n v="1"/>
    <n v="1"/>
    <n v="27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5. 집단상담 프로그램"/>
    <s v="인쇄제본비"/>
    <x v="0"/>
    <s v="기타운영비:부서별"/>
    <n v="4241130"/>
    <s v="운영비"/>
    <s v="NDZ251231"/>
    <n v="270000"/>
    <n v="1"/>
    <n v="1"/>
    <n v="27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5. 집단상담 프로그램"/>
    <s v="강사비(2시간) x 4회"/>
    <x v="0"/>
    <s v="기타운영비:부서별"/>
    <n v="4241130"/>
    <s v="전문가활용비"/>
    <s v="NDZ251231"/>
    <n v="200000"/>
    <n v="2"/>
    <n v="4"/>
    <n v="160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5. 집단상담 프로그램"/>
    <s v="참가자 다과비(15,000원 x 8명 x 4회기)"/>
    <x v="0"/>
    <s v="기타운영비:부서별"/>
    <n v="4241130"/>
    <s v="행사비"/>
    <s v="NDZ251231"/>
    <n v="15000"/>
    <n v="8"/>
    <n v="4"/>
    <n v="48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5. 집단상담 프로그램"/>
    <s v="소모품비(미술도구, 참고도서구입비, 기타 소모품비 등)"/>
    <x v="0"/>
    <s v="기타운영비:부서별"/>
    <n v="4241130"/>
    <s v="운영비"/>
    <s v="NDZ251231"/>
    <n v="400000"/>
    <n v="1"/>
    <n v="1"/>
    <n v="400000"/>
  </r>
  <r>
    <x v="0"/>
    <s v="B"/>
    <s v="심리상담센터"/>
    <s v="8647"/>
    <s v="[B-3]"/>
    <s v="[B-3]마음건강 마이크로케어 플랫폼 고도화"/>
    <s v="나. 다양성 존중 마이크로케어 지원체계 구축"/>
    <s v="2. 소수집단 취약계층 맞춤형 프로그램 운영"/>
    <s v="5. 집단상담 프로그램"/>
    <s v="운영회의 x 2회"/>
    <x v="0"/>
    <s v="기타운영비:부서별"/>
    <n v="4241130"/>
    <s v="운영비"/>
    <s v="NDZ251231"/>
    <n v="30000"/>
    <n v="7"/>
    <n v="2"/>
    <n v="42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1. 지역 정신건강 전문기관 회의"/>
    <s v="전문기관 협력회의 x 3회 (원주시자살예방센터, 지우심리상담센터, 정신건강의학과)"/>
    <x v="0"/>
    <s v="기타운영비:부서별"/>
    <n v="4241130"/>
    <s v="운영비"/>
    <s v="NDZ251231"/>
    <n v="30000"/>
    <n v="10"/>
    <n v="3"/>
    <n v="90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1. 지역 정신건강 전문기관 회의"/>
    <s v="인쇄제본비(현수막, 포스터 등 홍보물 제작비)"/>
    <x v="0"/>
    <s v="기타운영비:부서별"/>
    <n v="4241130"/>
    <s v="운영비"/>
    <s v="NDZ251231"/>
    <n v="100000"/>
    <n v="1"/>
    <n v="1"/>
    <n v="10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2. 원주권대학 성과공유회"/>
    <s v="성과공유회 행사비(식비)"/>
    <x v="0"/>
    <s v="기타운영비:부서별"/>
    <n v="4241130"/>
    <s v="행사비"/>
    <s v="NDZ251231"/>
    <n v="30000"/>
    <n v="12"/>
    <n v="1"/>
    <n v="36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2. 원주권대학 성과공유회"/>
    <s v="운영회의 x2회"/>
    <x v="0"/>
    <s v="기타운영비:부서별"/>
    <n v="4241130"/>
    <s v="운영비"/>
    <s v="NDZ251231"/>
    <n v="30000"/>
    <n v="7"/>
    <n v="2"/>
    <n v="42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3. 원주시보건소 마약중독예방 특강"/>
    <s v="참가자 다과비(15,000원 x 25명)"/>
    <x v="0"/>
    <s v="기타운영비:부서별"/>
    <n v="4241130"/>
    <s v="행사비"/>
    <s v="NDZ251231"/>
    <n v="15000"/>
    <n v="25"/>
    <n v="1"/>
    <n v="375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3. 원주시보건소 마약중독예방 특강"/>
    <s v="인쇄제본비(현수막, 포스터 등 홍보물 제작비)"/>
    <x v="0"/>
    <s v="기타운영비:부서별"/>
    <n v="4241130"/>
    <s v="운영비"/>
    <s v="NDZ251231"/>
    <n v="270000"/>
    <n v="1"/>
    <n v="1"/>
    <n v="27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4. 원주시정신건강복지센터 특강"/>
    <s v="참가자 다과비(15,000명 x 25명)"/>
    <x v="0"/>
    <s v="기타운영비:부서별"/>
    <n v="4241130"/>
    <s v="행사비"/>
    <s v="NDZ251231"/>
    <n v="15000"/>
    <n v="25"/>
    <n v="1"/>
    <n v="375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4. 원주시정신건강복지센터 특강"/>
    <s v="인쇄제본비(현수막, 포스터 등 홍보물 제작비)"/>
    <x v="0"/>
    <s v="기타운영비:부서별"/>
    <n v="4241130"/>
    <s v="운영비"/>
    <s v="NDZ251231"/>
    <n v="270000"/>
    <n v="1"/>
    <n v="1"/>
    <n v="27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5. 독서하며 마음챙김"/>
    <s v="강사비(2시간) x 2회"/>
    <x v="0"/>
    <s v="기타운영비:부서별"/>
    <n v="4241130"/>
    <s v="전문가활용비"/>
    <s v="NDZ251231"/>
    <n v="450000"/>
    <n v="1"/>
    <n v="2"/>
    <n v="90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5. 독서하며 마음챙김"/>
    <s v="참가자 기념품비"/>
    <x v="0"/>
    <s v="기타운영비:부서별"/>
    <n v="4241130"/>
    <s v="기념품비"/>
    <s v="NDZ251231"/>
    <n v="40000"/>
    <n v="12"/>
    <n v="2"/>
    <n v="96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5. 독서하며 마음챙김"/>
    <s v="운영회의 x 2회"/>
    <x v="0"/>
    <s v="기타운영비:부서별"/>
    <n v="4241130"/>
    <s v="운영비"/>
    <s v="NDZ251231"/>
    <n v="30000"/>
    <n v="7"/>
    <n v="2"/>
    <n v="42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5. 독서하며 마음챙김"/>
    <s v="인쇄제본비(현수막, 포스터 등 홍보물 제작비)"/>
    <x v="0"/>
    <s v="기타운영비:부서별"/>
    <n v="4241130"/>
    <s v="운영비"/>
    <s v="NDZ251231"/>
    <n v="450000"/>
    <n v="1"/>
    <n v="2"/>
    <n v="90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5. 독서하며 마음챙김"/>
    <s v="소모품비(도서구입비, 재료비 등)"/>
    <x v="0"/>
    <s v="기타운영비:부서별"/>
    <n v="4241130"/>
    <s v="운영비"/>
    <s v="NDZ251231"/>
    <n v="300000"/>
    <n v="1"/>
    <n v="2"/>
    <n v="60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5. 독서하며 마음챙김"/>
    <s v="참가자 다과비(15,000원 x 13명) x 2회"/>
    <x v="0"/>
    <s v="기타운영비:부서별"/>
    <n v="4241130"/>
    <s v="행사비"/>
    <s v="NDZ251231"/>
    <n v="15000"/>
    <n v="13"/>
    <n v="2"/>
    <n v="39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5. 독서하며 마음챙김"/>
    <s v="소프트웨어 활용비(망고보드(월 49000원,미리캔버스(월 13,400원) 각 6개월 구독)"/>
    <x v="0"/>
    <s v="기타운영비:부서별"/>
    <n v="4241130"/>
    <s v="운영비"/>
    <s v="NDZ251231"/>
    <n v="62400"/>
    <n v="3"/>
    <n v="2"/>
    <n v="3744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6. 하우스시그널"/>
    <s v="소모품비(심리검사구입비)"/>
    <x v="0"/>
    <s v="기타운영비:부서별"/>
    <n v="4241130"/>
    <s v="운영비"/>
    <s v="NDZ251231"/>
    <n v="8800"/>
    <n v="60"/>
    <n v="1"/>
    <n v="528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6. 하우스시그널"/>
    <s v="강사비(1시간) x3명 x 10회"/>
    <x v="0"/>
    <s v="기타운영비:부서별"/>
    <n v="4241130"/>
    <s v="전문가활용비"/>
    <s v="NDZ251231"/>
    <n v="150000"/>
    <n v="3"/>
    <n v="10"/>
    <n v="450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6. 하우스시그널"/>
    <s v="참가자 다과비(5,000원 x 2명 x 30회)"/>
    <x v="0"/>
    <s v="기타운영비:부서별"/>
    <n v="4241130"/>
    <s v="행사비"/>
    <s v="NDZ251231"/>
    <n v="5000"/>
    <n v="30"/>
    <n v="2"/>
    <n v="30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6. 하우스시그널"/>
    <s v="인쇄제본비(현수막, 포스터 등 홍보물 제작비)"/>
    <x v="0"/>
    <s v="기타운영비:부서별"/>
    <n v="4241130"/>
    <s v="운영비"/>
    <s v="NDZ251231"/>
    <n v="270000"/>
    <n v="1"/>
    <n v="2"/>
    <n v="540000"/>
  </r>
  <r>
    <x v="0"/>
    <s v="B"/>
    <s v="심리상담센터"/>
    <s v="8647"/>
    <s v="[B-3]"/>
    <s v="[B-3]마음건강 마이크로케어 플랫폼 고도화"/>
    <s v="다. 캠퍼스-지역사회 협력 마이크로케어 확산"/>
    <s v="1. 캠퍼스-지역 마음건강 프로그램"/>
    <s v="6. 하우스시그널"/>
    <s v="운영회의 x 2회"/>
    <x v="0"/>
    <s v="기타운영비:부서별"/>
    <n v="4241130"/>
    <s v="운영비"/>
    <s v="NDZ251231"/>
    <n v="30000"/>
    <n v="7"/>
    <n v="2"/>
    <n v="420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1. 힐링 크리스마스 이벤트"/>
    <s v="인쇄제본비(현수막, 크리스마스 카드 제작, 포스터 출력 등)"/>
    <x v="0"/>
    <s v="기타운영비:부서별"/>
    <n v="4241130"/>
    <s v="운영비"/>
    <s v="NDZ251231"/>
    <n v="1000000"/>
    <n v="1"/>
    <n v="1"/>
    <n v="1000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1. 힐링 크리스마스 이벤트"/>
    <s v="프로그램 소모품비(트리 장식, 크리스마스 소품 등)"/>
    <x v="0"/>
    <s v="기타운영비:부서별"/>
    <n v="4241130"/>
    <s v="운영비"/>
    <s v="NDZ251231"/>
    <n v="2000000"/>
    <n v="1"/>
    <n v="1"/>
    <n v="2000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1. 힐링 크리스마스 이벤트"/>
    <s v="참가자 기념품비"/>
    <x v="0"/>
    <s v="기타운영비:부서별"/>
    <n v="4241130"/>
    <s v="기념품비"/>
    <s v="NDZ251231"/>
    <n v="40000"/>
    <n v="40"/>
    <n v="1"/>
    <n v="1600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1. 힐링 크리스마스 이벤트"/>
    <s v="운영회의 x 2회"/>
    <x v="0"/>
    <s v="기타운영비:부서별"/>
    <n v="4241130"/>
    <s v="운영비"/>
    <s v="NDZ251231"/>
    <n v="30000"/>
    <n v="7"/>
    <n v="2"/>
    <n v="420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2. 싱잉볼 명상"/>
    <s v="외부 강사료(2시간*2회기)"/>
    <x v="0"/>
    <s v="기타운영비:부서별"/>
    <n v="4241130"/>
    <s v="전문가활용비"/>
    <s v="NDZ251231"/>
    <n v="30000"/>
    <n v="7"/>
    <n v="2"/>
    <n v="900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2. 싱잉볼 명상"/>
    <s v="참가자 다과비(15,000원 x 11명) x 4회기"/>
    <x v="0"/>
    <s v="기타운영비:부서별"/>
    <n v="4241130"/>
    <s v="운영비"/>
    <s v="NDZ251231"/>
    <n v="15000"/>
    <n v="11"/>
    <n v="8"/>
    <n v="1320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2. 싱잉볼 명상"/>
    <s v="인쇄제본비(현수막, 포스터 등 홍보물 제작비)"/>
    <x v="0"/>
    <s v="기타운영비:부서별"/>
    <n v="4241130"/>
    <s v="운영비"/>
    <s v="NDZ251231"/>
    <n v="270000"/>
    <n v="1"/>
    <n v="2"/>
    <n v="540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2. 싱잉볼 명상"/>
    <s v="소모품비(담요, 아로마 향수 등)"/>
    <x v="0"/>
    <s v="기타운영비:부서별"/>
    <n v="4241130"/>
    <s v="운영비"/>
    <s v="NDZ251231"/>
    <n v="500000"/>
    <n v="1"/>
    <n v="2"/>
    <n v="1000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3. 나만의 향수 만들기"/>
    <s v="강사비(2시간) x 1회"/>
    <x v="0"/>
    <s v="기타운영비:부서별"/>
    <n v="4241130"/>
    <s v="전문가활용비"/>
    <s v="NDZ251231"/>
    <n v="450000"/>
    <n v="1"/>
    <n v="1"/>
    <n v="450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3. 나만의 향수 만들기"/>
    <s v="소모품비(향수, 핸드크림 재료비)"/>
    <x v="0"/>
    <s v="기타운영비:부서별"/>
    <n v="4241130"/>
    <s v="운영비"/>
    <s v="NDZ251231"/>
    <n v="40000"/>
    <n v="12"/>
    <n v="1"/>
    <n v="480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3. 나만의 향수 만들기"/>
    <s v="참가자 다과비(15,000원 x 13명)"/>
    <x v="0"/>
    <s v="기타운영비:부서별"/>
    <n v="4241130"/>
    <s v="운영비"/>
    <s v="NDZ251231"/>
    <n v="15000"/>
    <n v="13"/>
    <n v="1"/>
    <n v="195000"/>
  </r>
  <r>
    <x v="0"/>
    <s v="B"/>
    <s v="심리상담센터"/>
    <s v="8647"/>
    <s v="[B-3]"/>
    <s v="[B-3]마음건강 마이크로케어 플랫폼 고도화"/>
    <s v="다. 캠퍼스-지역사회 협력 마이크로케어 확산"/>
    <s v="2. 대안적 힐링 통합 마이크로케어 허브 운영"/>
    <s v="3. 나만의 향수 만들기"/>
    <s v="인쇄제본비(현수막, 포스터 등 홍보물 제작비)"/>
    <x v="0"/>
    <s v="기타운영비:부서별"/>
    <n v="4241130"/>
    <s v="운영비"/>
    <s v="NDZ251231"/>
    <n v="270000"/>
    <n v="1"/>
    <n v="1"/>
    <n v="270000"/>
  </r>
  <r>
    <x v="0"/>
    <s v="C"/>
    <s v="미래융합교육혁신원"/>
    <s v="8701"/>
    <s v="[C-1]"/>
    <s v="[C-1]AI 기반 교육과정 혁신 및 수업모델 개발"/>
    <s v="가. AX 시대 역량기반 전공교육과정 혁신"/>
    <s v=" AI-휴먼 협업형 역량기반 전공교육과정 모델링"/>
    <s v="행정인력지원★"/>
    <s v="★(전담인력 1인) 대학혁신지원사업팀 배정(장치완)"/>
    <x v="2"/>
    <s v="임시직/급여"/>
    <n v="4125101"/>
    <s v="급여"/>
    <s v="NDZ251004"/>
    <m/>
    <m/>
    <m/>
    <n v="31200000"/>
  </r>
  <r>
    <x v="0"/>
    <s v="C"/>
    <s v="미래융합교육혁신원"/>
    <s v="8701"/>
    <s v="[C-1]"/>
    <s v="[C-1]AI 기반 교육과정 혁신 및 수업모델 개발"/>
    <s v="가. AX 시대 역량기반 전공교육과정 혁신"/>
    <s v=" AI-휴먼 협업형 역량기반 전공교육과정 모델링"/>
    <s v="연구인력지원★"/>
    <s v="★(전담인력 1인) 대학혁신지원사업팀 배정(송지수)"/>
    <x v="2"/>
    <s v="비전임교원인건비"/>
    <n v="4118701"/>
    <s v="급여"/>
    <s v="NDZ251004"/>
    <m/>
    <m/>
    <m/>
    <n v="34968600"/>
  </r>
  <r>
    <x v="0"/>
    <s v="C"/>
    <s v="미래융합교육혁신원"/>
    <s v="8701"/>
    <s v="[C-1]"/>
    <s v="[C-1]AI 기반 교육과정 혁신 및 수업모델 개발"/>
    <s v="가. AX 시대 역량기반 전공교육과정 혁신"/>
    <s v=" AI-휴먼 협업형 역량기반 전공교육과정 모델링"/>
    <s v="연구인력지원★"/>
    <s v="★(전담인력 1인) 대학혁신지원사업팀 배정(정소라)"/>
    <x v="2"/>
    <s v="비전임교원인건비"/>
    <n v="4118701"/>
    <s v="급여"/>
    <s v="NDZ251004"/>
    <m/>
    <m/>
    <m/>
    <n v="31836000"/>
  </r>
  <r>
    <x v="0"/>
    <s v="C"/>
    <s v="미래융합교육혁신원"/>
    <s v="8701"/>
    <s v="[C-1]"/>
    <s v="[C-1]AI 기반 교육과정 혁신 및 수업모델 개발"/>
    <s v="가. AX 시대 역량기반 전공교육과정 혁신"/>
    <s v=" AI-휴먼 협업형 역량기반 전공교육과정 모델링"/>
    <s v="교내진행_AX시대 전공능력 모델링 및 진단도구 개발 "/>
    <s v="원고료"/>
    <x v="0"/>
    <s v="교원기타수당"/>
    <n v="4113401"/>
    <s v="연구비"/>
    <s v="NDZ251311"/>
    <n v="3000000"/>
    <n v="1"/>
    <n v="10"/>
    <n v="30000000"/>
  </r>
  <r>
    <x v="0"/>
    <s v="C"/>
    <s v="미래융합교육혁신원"/>
    <s v="8701"/>
    <s v="[C-1]"/>
    <s v="[C-1]AI 기반 교육과정 혁신 및 수업모델 개발"/>
    <s v="가. AX 시대 역량기반 전공교육과정 혁신"/>
    <s v=" AI-휴먼 협업형 역량기반 전공교육과정 모델링"/>
    <s v="전공능력 모델링 회의비"/>
    <s v="회의비"/>
    <x v="0"/>
    <s v="기타운영비:부서별"/>
    <n v="4241130"/>
    <s v="운영비"/>
    <s v="NDZ251311"/>
    <n v="3000000"/>
    <n v="1"/>
    <n v="1"/>
    <n v="3000000"/>
  </r>
  <r>
    <x v="0"/>
    <s v="C"/>
    <s v="미래융합교육혁신원"/>
    <s v="8701"/>
    <s v="[C-1]"/>
    <s v="[C-1]AI 기반 교육과정 혁신 및 수업모델 개발"/>
    <s v="가. AX 시대 역량기반 전공교육과정 혁신"/>
    <s v=" AI-휴먼 협업형 전공교육과정 혁신 이니셔티브·리더십 강화"/>
    <s v="4개 전공 AI-휴먼 융합 역량 도출 및 역량 모델링 완성을 위한 운영 지원(회의비)"/>
    <s v="회의비"/>
    <x v="0"/>
    <s v="기타운영비:부서별"/>
    <n v="4241130"/>
    <s v="회의비"/>
    <s v="NDZ251311"/>
    <n v="0"/>
    <n v="0"/>
    <n v="0"/>
    <n v="0"/>
  </r>
  <r>
    <x v="0"/>
    <s v="C"/>
    <s v="미래융합교육혁신원"/>
    <s v="8701"/>
    <s v="[C-1]"/>
    <s v="[C-1]AI 기반 교육과정 혁신 및 수업모델 개발"/>
    <s v="가. AX 시대 역량기반 전공교육과정 혁신"/>
    <s v="교육혁신위원회 지원"/>
    <s v="교육혁신위원회 지원"/>
    <s v="교육혁신위원회 지원_회의비"/>
    <x v="0"/>
    <s v="기타운영비:부서별"/>
    <n v="4241130"/>
    <s v="회의비"/>
    <s v="NDZ251311"/>
    <m/>
    <m/>
    <m/>
    <n v="0"/>
  </r>
  <r>
    <x v="0"/>
    <s v="C"/>
    <s v="미래융합교육혁신원"/>
    <s v="8701"/>
    <s v="[C-1]"/>
    <s v="[C-1]AI 기반 교육과정 혁신 및 수업모델 개발"/>
    <s v="나. AI 기반 전공 선택 지원 및 융합전공 확대"/>
    <s v="다(多)전공 학사체계+이수제도 개선을 통하여 학습선택권 강화"/>
    <s v="연계·융합·마이크로전공 개발"/>
    <s v="연구비"/>
    <x v="0"/>
    <s v="교원기타수당"/>
    <n v="4113401"/>
    <s v="연구비"/>
    <s v="NDZ251311"/>
    <n v="1500000"/>
    <n v="1"/>
    <n v="8"/>
    <n v="12000000"/>
  </r>
  <r>
    <x v="0"/>
    <s v="C"/>
    <s v="미래융합교육혁신원"/>
    <s v="8701"/>
    <s v="[C-1]"/>
    <s v="[C-1]AI 기반 교육과정 혁신 및 수업모델 개발"/>
    <s v="나. AI 기반 전공 선택 지원 및 융합전공 확대"/>
    <s v="학생주도 융합형 전공 설계를 위하여 AI네비게이터 제작"/>
    <s v="융합형 전공 선택 수월성 지원을 위한 네비게이터 콘텐츠 제작"/>
    <s v="2개전공 선택을 위한 수월성지원_교안 개발비 "/>
    <x v="0"/>
    <s v="교원기타수당"/>
    <n v="4113401"/>
    <s v="연구비"/>
    <s v="NDZ251311"/>
    <n v="0"/>
    <n v="0"/>
    <n v="0"/>
    <n v="0"/>
  </r>
  <r>
    <x v="0"/>
    <s v="C"/>
    <s v="미래융합교육혁신원"/>
    <s v="8701"/>
    <s v="[C-1]"/>
    <s v="[C-1]AI 기반 교육과정 혁신 및 수업모델 개발"/>
    <s v="나. AI 기반 전공 선택 지원 및 융합전공 확대"/>
    <s v="학생주도 융합형 전공 설계를 위하여 AI네비게이터 제작"/>
    <s v="융합형 전공 선택 수월성 지원을 위한 네비게이터 콘텐츠 제작"/>
    <s v="2개전공 선택을 위한 수월성지원_편집비 "/>
    <x v="0"/>
    <s v="기타운영비:부서별"/>
    <n v="4241130"/>
    <s v="전문가 활용비"/>
    <s v="NDZ251311"/>
    <n v="0"/>
    <n v="0"/>
    <n v="0"/>
    <m/>
  </r>
  <r>
    <x v="0"/>
    <s v="C"/>
    <s v="미래융합교육혁신원"/>
    <s v="8701"/>
    <s v="[C-1]"/>
    <s v="[C-1]AI 기반 교육과정 혁신 및 수업모델 개발"/>
    <s v="나. AI 기반 전공 선택 지원 및 융합전공 확대"/>
    <s v="학생주도 융합형 전공 설계를 위하여 AI네비게이터 제작"/>
    <s v="학생주도 융합형 전공 설계를 위하여 AI네비게이터 제작"/>
    <s v="2개전공 선택을 위한 수월성지원_회의비"/>
    <x v="0"/>
    <s v="기타운영비:부서별"/>
    <n v="4241130"/>
    <s v="회의비"/>
    <s v="NDZ251311"/>
    <n v="0"/>
    <n v="0"/>
    <n v="0"/>
    <n v="300000"/>
  </r>
  <r>
    <x v="0"/>
    <s v="C"/>
    <s v="미래융합교육혁신원"/>
    <s v="8701"/>
    <s v="[C-1]"/>
    <s v="[C-1]AI 기반 교육과정 혁신 및 수업모델 개발"/>
    <s v="다. 현장·경험 기반 6P 혁신 수업모델 개발"/>
    <s v="AI Agent 수업모델 개발 및 운용 지원"/>
    <s v="AI Prompt 협업 6P 기반 혁신 교과목 개선"/>
    <s v="AI Prompt 협업 6P 기반 혁신 교과목 개선"/>
    <x v="0"/>
    <s v="교원기타수당"/>
    <n v="4113401"/>
    <s v="교과목개발개선비"/>
    <s v="NDZ251311"/>
    <n v="2000000"/>
    <n v="13"/>
    <n v="1"/>
    <n v="16000000"/>
  </r>
  <r>
    <x v="0"/>
    <s v="C"/>
    <s v="미래융합교육혁신원"/>
    <s v="8701"/>
    <s v="[C-1]"/>
    <s v="[C-1]AI 기반 교육과정 혁신 및 수업모델 개발"/>
    <s v="다. 현장·경험 기반 6P 혁신 수업모델 개발"/>
    <s v="AI Agent 수업모델 개발 및 운용 지원"/>
    <s v="AI Prompt 협업 6P 기반 혁신 교과목 운영 지원"/>
    <s v="AI Prompt 협업 6P 기반 혁신 교과목 운영 TA 지원"/>
    <x v="0"/>
    <s v="교외장학금"/>
    <n v="4321701"/>
    <s v="교과운영지원비"/>
    <s v="NDZ251311"/>
    <n v="700000"/>
    <n v="5"/>
    <n v="1"/>
    <n v="5600000"/>
  </r>
  <r>
    <x v="0"/>
    <s v="C"/>
    <s v="미래융합교육혁신원"/>
    <s v="8701"/>
    <s v="[C-1]"/>
    <s v="[C-1]AI 기반 교육과정 혁신 및 수업모델 개발"/>
    <s v="다. 현장·경험 기반 6P 혁신 수업모델 개발"/>
    <s v="AI Agent 수업모델 개발 및 운용 지원"/>
    <s v="AI Prompt 협업 6P 기반 혁신 교과목 운영 지원"/>
    <s v="AI Prompt 협업 6P 기반 혁신 교과목 운영 교과운영지원비"/>
    <x v="0"/>
    <s v="기타운영비:부서별"/>
    <n v="4241130"/>
    <s v="교과운영지원비"/>
    <s v="NDZ251311"/>
    <n v="5400000"/>
    <n v="1"/>
    <n v="1"/>
    <n v="4800000"/>
  </r>
  <r>
    <x v="0"/>
    <s v="C"/>
    <s v="미래융합교육혁신원"/>
    <s v="8701"/>
    <s v="[C-2]"/>
    <s v="[C-2]AI-Edutech 기반 교수-학습 역량 강화"/>
    <s v="가. AI-Edutech 기반 교수자 수업 혁신 지원"/>
    <s v="K-MOOC 강좌 운영지원"/>
    <s v="K-MOOC 강좌 운영"/>
    <s v="K-MOOC 강좌 운영 수당-심사평가비제안"/>
    <x v="0"/>
    <s v="교원기타수당"/>
    <n v="4113401"/>
    <s v="교과운영지원비"/>
    <s v="NDZ251321"/>
    <n v="500000"/>
    <n v="4"/>
    <n v="1"/>
    <n v="1500000"/>
  </r>
  <r>
    <x v="0"/>
    <s v="C"/>
    <s v="미래융합교육혁신원"/>
    <s v="8701"/>
    <s v="[C-2]"/>
    <s v="[C-2]AI-Edutech 기반 교수-학습 역량 강화"/>
    <s v="가. AI-Edutech 기반 교수자 수업 혁신 지원"/>
    <s v="K-MOOC 강좌 운영지원"/>
    <s v="K-MOOC 강좌 모니터링단 운영"/>
    <s v="K-MOOC 강좌 모니터링단 수당(자문)"/>
    <x v="0"/>
    <s v="기타운영비:부서별"/>
    <n v="4241130"/>
    <s v="수당"/>
    <s v="NDZ251321"/>
    <n v="200000"/>
    <n v="6"/>
    <n v="1"/>
    <n v="1200000"/>
  </r>
  <r>
    <x v="0"/>
    <s v="C"/>
    <s v="미래융합교육혁신원"/>
    <s v="8701"/>
    <s v="[C-2]"/>
    <s v="[C-2]AI-Edutech 기반 교수-학습 역량 강화"/>
    <s v="가. AI-Edutech 기반 교수자 수업 혁신 지원"/>
    <s v="K-MOOC 강좌 운영지원"/>
    <s v="K-MOOC 강좌 TA 운영"/>
    <s v="K-MOOC 강좌 TA 장학금"/>
    <x v="0"/>
    <s v="교외장학금"/>
    <n v="4321701"/>
    <s v="교과운영지원비"/>
    <s v="NDZ251321"/>
    <n v="800000"/>
    <n v="4"/>
    <n v="1"/>
    <n v="2400000"/>
  </r>
  <r>
    <x v="0"/>
    <s v="C"/>
    <s v="미래융합교육혁신원"/>
    <s v="8701"/>
    <s v="[C-2]"/>
    <s v="[C-2]AI-Edutech 기반 교수-학습 역량 강화"/>
    <s v="가. AI-Edutech 기반 교수자 수업 혁신 지원"/>
    <s v="Flipped Classroom 운영지원 및 컨설팅"/>
    <s v="Flipped Classroom TA간담회"/>
    <s v="Flipped Classroom TA간담회"/>
    <x v="0"/>
    <s v="기타운영비:부서별"/>
    <n v="4241130"/>
    <s v="행사비"/>
    <s v="NDZ251321"/>
    <n v="600000"/>
    <n v="1"/>
    <n v="2"/>
    <n v="2000000"/>
  </r>
  <r>
    <x v="0"/>
    <s v="C"/>
    <s v="미래융합교육혁신원"/>
    <s v="8701"/>
    <s v="[C-2]"/>
    <s v="[C-2]AI-Edutech 기반 교수-학습 역량 강화"/>
    <s v="가. AI-Edutech 기반 교수자 수업 혁신 지원"/>
    <s v="Flipped Classroom 운영지원 및 컨설팅"/>
    <s v="Flipped Classroom 사전 컨설팅"/>
    <s v="전문가 활용비"/>
    <x v="0"/>
    <s v="기타운영비:부서별"/>
    <n v="4241130"/>
    <s v="전문가 활용비"/>
    <s v="NDZ251321"/>
    <n v="150000"/>
    <n v="5"/>
    <n v="2"/>
    <n v="1500000"/>
  </r>
  <r>
    <x v="0"/>
    <s v="C"/>
    <s v="미래융합교육혁신원"/>
    <s v="8701"/>
    <s v="[C-2]"/>
    <s v="[C-2]AI-Edutech 기반 교수-학습 역량 강화"/>
    <s v="가. AI-Edutech 기반 교수자 수업 혁신 지원"/>
    <s v="Flipped Classroom 운영 TA 조교 장학금"/>
    <s v="Flipped Classroom 운영 TA 조교 장학금"/>
    <s v="조교비"/>
    <x v="0"/>
    <s v="교외장학금"/>
    <n v="4321701"/>
    <s v="교과운영지원비"/>
    <s v="NDZ251321"/>
    <n v="700000"/>
    <n v="57"/>
    <n v="2"/>
    <n v="83300000"/>
  </r>
  <r>
    <x v="0"/>
    <s v="C"/>
    <s v="미래융합교육혁신원"/>
    <s v="8701"/>
    <s v="[C-2]"/>
    <s v="[C-2]AI-Edutech 기반 교수-학습 역량 강화"/>
    <s v="가. AI-Edutech 기반 교수자 수업 혁신 지원"/>
    <s v="Flipped Classroom 신규 콘텐츠 개발"/>
    <s v="Flipped Classroom 신규 콘텐츠 개발_교내"/>
    <s v="교과목 개발비"/>
    <x v="0"/>
    <s v="교원기타수당"/>
    <n v="4113401"/>
    <s v="교과목 개발비"/>
    <s v="NDZ251321"/>
    <n v="1000000"/>
    <n v="20"/>
    <n v="2"/>
    <n v="35000000"/>
  </r>
  <r>
    <x v="0"/>
    <s v="C"/>
    <s v="미래융합교육혁신원"/>
    <s v="8701"/>
    <s v="[C-2]"/>
    <s v="[C-2]AI-Edutech 기반 교수-학습 역량 강화"/>
    <s v="가. AI-Edutech 기반 교수자 수업 혁신 지원"/>
    <s v="Flipped Classroom 신규 콘텐츠 개발"/>
    <s v="Flipped Classroom 신규 콘텐츠 개발_교외"/>
    <s v="교과목 개발비"/>
    <x v="0"/>
    <s v="기타운영비:부서별"/>
    <n v="4241130"/>
    <s v="교과목 개발비"/>
    <s v="NDZ251321"/>
    <n v="1000000"/>
    <n v="12"/>
    <n v="1"/>
    <n v="6000000"/>
  </r>
  <r>
    <x v="0"/>
    <s v="C"/>
    <s v="미래융합교육혁신원"/>
    <s v="8701"/>
    <s v="[C-2]"/>
    <s v="[C-2]AI-Edutech 기반 교수-학습 역량 강화"/>
    <s v="가. AI-Edutech 기반 교수자 수업 혁신 지원"/>
    <s v="Online Classroom 운영지원"/>
    <s v="Online Classroom 운영 TA 조교 장학금"/>
    <s v="조교비"/>
    <x v="0"/>
    <s v="교외장학금"/>
    <n v="4321701"/>
    <s v="교과운영지원비"/>
    <s v="NDZ251321"/>
    <n v="1200000"/>
    <n v="11"/>
    <n v="1"/>
    <n v="9600000"/>
  </r>
  <r>
    <x v="0"/>
    <s v="C"/>
    <s v="미래융합교육혁신원"/>
    <s v="8701"/>
    <s v="[C-2]"/>
    <s v="[C-2]AI-Edutech 기반 교수-학습 역량 강화"/>
    <s v="가. AI-Edutech 기반 교수자 수업 혁신 지원"/>
    <s v="Online Classroom 개발비"/>
    <s v="Online Classroom 개발비(윤문)"/>
    <s v="전문가 활용비"/>
    <x v="0"/>
    <s v="기타운영비:부서별"/>
    <n v="4241130"/>
    <s v="전문가 활용비"/>
    <s v="NDZ251321"/>
    <n v="100000"/>
    <n v="1"/>
    <n v="42"/>
    <n v="4200000"/>
  </r>
  <r>
    <x v="0"/>
    <s v="C"/>
    <s v="미래융합교육혁신원"/>
    <s v="8701"/>
    <s v="[C-2]"/>
    <s v="[C-2]AI-Edutech 기반 교수-학습 역량 강화"/>
    <s v="가. AI-Edutech 기반 교수자 수업 혁신 지원"/>
    <s v="Online Classroom 개발비"/>
    <s v="Online Classroom 개발비(교안디자인)"/>
    <s v="전문가 활용비"/>
    <x v="0"/>
    <s v="기타운영비:부서별"/>
    <n v="4241130"/>
    <s v="전문가 활용비"/>
    <s v="NDZ251321"/>
    <n v="250000"/>
    <n v="1"/>
    <n v="42"/>
    <n v="10500000"/>
  </r>
  <r>
    <x v="0"/>
    <s v="C"/>
    <s v="미래융합교육혁신원"/>
    <s v="8701"/>
    <s v="[C-2]"/>
    <s v="[C-2]AI-Edutech 기반 교수-학습 역량 강화"/>
    <s v="가. AI-Edutech 기반 교수자 수업 혁신 지원"/>
    <s v="Online Classroom 개발비"/>
    <s v="Online Classroom 개발비(영상편집)"/>
    <s v="전문가 활용비"/>
    <x v="0"/>
    <s v="기타운영비:부서별"/>
    <n v="4241130"/>
    <s v="전문가 활용비"/>
    <s v="NDZ251321"/>
    <n v="200000"/>
    <n v="1"/>
    <n v="42"/>
    <n v="8400000"/>
  </r>
  <r>
    <x v="0"/>
    <s v="C"/>
    <s v="미래융합교육혁신원"/>
    <s v="8701"/>
    <s v="[C-2]"/>
    <s v="[C-2]AI-Edutech 기반 교수-학습 역량 강화"/>
    <s v="가. AI-Edutech 기반 교수자 수업 혁신 지원"/>
    <s v="Online Classroom 개발비"/>
    <s v="Online Classroom 개발비(영상검수)"/>
    <s v="전문가 활용비"/>
    <x v="0"/>
    <s v="기타운영비:부서별"/>
    <n v="4241130"/>
    <s v="전문가 활용비"/>
    <s v="NDZ251321"/>
    <n v="100000"/>
    <n v="1"/>
    <n v="14"/>
    <n v="1400000"/>
  </r>
  <r>
    <x v="0"/>
    <s v="C"/>
    <s v="미래융합교육혁신원"/>
    <s v="8701"/>
    <s v="[C-2]"/>
    <s v="[C-2]AI-Edutech 기반 교수-학습 역량 강화"/>
    <s v="가. AI-Edutech 기반 교수자 수업 혁신 지원"/>
    <s v="Online Classroom 개발비"/>
    <s v="Online Classroom 개발비(TA)"/>
    <s v="개발조교"/>
    <x v="1"/>
    <s v="교외장학금"/>
    <n v="4321701"/>
    <s v="전문가 활용비"/>
    <s v="NDZ251321"/>
    <n v="1000000"/>
    <n v="1"/>
    <n v="1"/>
    <n v="1000000"/>
  </r>
  <r>
    <x v="0"/>
    <s v="C"/>
    <s v="미래융합교육혁신원"/>
    <s v="8701"/>
    <s v="[C-2]"/>
    <s v="[C-2]AI-Edutech 기반 교수-학습 역량 강화"/>
    <s v="가. AI-Edutech 기반 교수자 수업 혁신 지원"/>
    <s v="Online Classroom 개발비"/>
    <s v="Online Classroom 개발비(회의 및 물품구입비)"/>
    <s v="운영비"/>
    <x v="0"/>
    <s v="기타운영비:부서별"/>
    <n v="4241130"/>
    <s v="운영비"/>
    <s v="NDZ251321"/>
    <n v="800000"/>
    <n v="1"/>
    <n v="1"/>
    <n v="800000"/>
  </r>
  <r>
    <x v="0"/>
    <s v="C"/>
    <s v="미래융합교육혁신원"/>
    <s v="8701"/>
    <s v="[C-2]"/>
    <s v="[C-2]AI-Edutech 기반 교수-학습 역량 강화"/>
    <s v="가. AI-Edutech 기반 교수자 수업 혁신 지원"/>
    <s v="MY-NET 구성 및 교수역량 강화 지원"/>
    <s v="MY-NET 구성 및 운영 회의비"/>
    <s v="MY-NET 구성 간담회, MY-NET 운영비"/>
    <x v="0"/>
    <s v="기타운영비:부서별"/>
    <n v="4241130"/>
    <s v="운영비"/>
    <s v="NDZ251321"/>
    <n v="30000"/>
    <n v="20"/>
    <n v="5"/>
    <n v="3000000"/>
  </r>
  <r>
    <x v="0"/>
    <s v="C"/>
    <s v="미래융합교육혁신원"/>
    <s v="8701"/>
    <s v="[C-2]"/>
    <s v="[C-2]AI-Edutech 기반 교수-학습 역량 강화"/>
    <s v="가. AI-Edutech 기반 교수자 수업 혁신 지원"/>
    <s v="MY-NET 구성 및 교수역량 강화 지원"/>
    <s v="MY-NET 기반 교수지원 프로그램 운영"/>
    <s v="교수법 특강 및 워크숍 특강료_교원"/>
    <x v="0"/>
    <s v="교원기타수당"/>
    <n v="4113401"/>
    <s v="전문가활용비"/>
    <s v="NDZ251321"/>
    <n v="200000"/>
    <n v="1"/>
    <n v="3"/>
    <n v="600000"/>
  </r>
  <r>
    <x v="0"/>
    <s v="C"/>
    <s v="미래융합교육혁신원"/>
    <s v="8701"/>
    <s v="[C-2]"/>
    <s v="[C-2]AI-Edutech 기반 교수-학습 역량 강화"/>
    <s v="가. AI-Edutech 기반 교수자 수업 혁신 지원"/>
    <s v="MY-NET 구성 및 교수역량 강화 지원"/>
    <s v="MY-NET 기반 교수지원 프로그램 운영"/>
    <s v="교수법 특강 및 워크숍 특강료_교외"/>
    <x v="0"/>
    <s v="특별강의료:특별강의료"/>
    <n v="4116101"/>
    <s v="전문가활용비"/>
    <s v="NDZ251321"/>
    <n v="500000"/>
    <n v="1"/>
    <n v="6"/>
    <n v="3000000"/>
  </r>
  <r>
    <x v="0"/>
    <s v="C"/>
    <s v="미래융합교육혁신원"/>
    <s v="8701"/>
    <s v="[C-2]"/>
    <s v="[C-2]AI-Edutech 기반 교수-학습 역량 강화"/>
    <s v="가. AI-Edutech 기반 교수자 수업 혁신 지원"/>
    <s v="MY-NET 구성 및 교수역량 강화 지원"/>
    <s v="MY-NET 기반 교수지원 프로그램 운영"/>
    <s v="교수법 특강 및 워크숍 운영비"/>
    <x v="0"/>
    <s v="기타운영비:부서별"/>
    <n v="4241130"/>
    <s v="운영비"/>
    <s v="NDZ251321"/>
    <n v="400000"/>
    <n v="1"/>
    <n v="3"/>
    <n v="1200000"/>
  </r>
  <r>
    <x v="0"/>
    <s v="C"/>
    <s v="미래융합교육혁신원"/>
    <s v="8701"/>
    <s v="[C-2]"/>
    <s v="[C-2]AI-Edutech 기반 교수-학습 역량 강화"/>
    <s v="가. AI-Edutech 기반 교수자 수업 혁신 지원"/>
    <s v="MY-NET 구성 및 교수역량 강화 지원"/>
    <s v="MY-NET 기반 교수지원 프로그램 운영"/>
    <s v="온라인 특강(콘텐츠) 구매"/>
    <x v="0"/>
    <s v="일반용역비:부서별"/>
    <n v="4233201"/>
    <s v="용역비"/>
    <s v="NDZ251321"/>
    <n v="5500000"/>
    <n v="1"/>
    <n v="1"/>
    <n v="9500000"/>
  </r>
  <r>
    <x v="0"/>
    <s v="C"/>
    <s v="미래융합교육혁신원"/>
    <s v="8701"/>
    <s v="[C-2]"/>
    <s v="[C-2]AI-Edutech 기반 교수-학습 역량 강화"/>
    <s v="가. AI-Edutech 기반 교수자 수업 혁신 지원"/>
    <s v="MY-NET 구성 및 교수역량 강화 지원"/>
    <s v="MY-NET 기반 교수지원 프로그램 운영"/>
    <s v="교원 역량강화 네트워크_신임교수역량강화"/>
    <x v="0"/>
    <s v="교원기타수당"/>
    <n v="4113401"/>
    <s v="교과목개발개선비"/>
    <s v="NDZ251321"/>
    <n v="100000"/>
    <n v="12"/>
    <n v="3"/>
    <n v="3600000"/>
  </r>
  <r>
    <x v="0"/>
    <s v="C"/>
    <s v="미래융합교육혁신원"/>
    <s v="8701"/>
    <s v="[C-2]"/>
    <s v="[C-2]AI-Edutech 기반 교수-학습 역량 강화"/>
    <s v="가. AI-Edutech 기반 교수자 수업 혁신 지원"/>
    <s v="MY-NET 구성 및 교수역량 강화 지원"/>
    <s v="MY-NET 기반 교수지원 프로그램 운영"/>
    <s v="교원 역량강화 네트워크_신임교수역량강화 운영비"/>
    <x v="0"/>
    <s v="기타운영비:부서별"/>
    <n v="4241130"/>
    <s v="운영비"/>
    <s v="NDZ251321"/>
    <n v="30000"/>
    <n v="10"/>
    <n v="20"/>
    <n v="3000000"/>
  </r>
  <r>
    <x v="0"/>
    <s v="C"/>
    <s v="미래융합교육혁신원"/>
    <s v="8701"/>
    <s v="[C-2]"/>
    <s v="[C-2]AI-Edutech 기반 교수-학습 역량 강화"/>
    <s v="가. AI-Edutech 기반 교수자 수업 혁신 지원"/>
    <s v="MY-NET 구성 및 교수역량 강화 지원"/>
    <s v="MY-NET 기반 교수지원 프로그램 운영"/>
    <s v="교원 역량강화 네트워크_티칭라운지 운영비"/>
    <x v="0"/>
    <s v="기타운영비:부서별"/>
    <n v="4241130"/>
    <s v="운영비"/>
    <s v="NDZ251321"/>
    <n v="30000"/>
    <n v="20"/>
    <n v="4"/>
    <n v="2400000"/>
  </r>
  <r>
    <x v="0"/>
    <s v="C"/>
    <s v="미래융합교육혁신원"/>
    <s v="8701"/>
    <s v="[C-2]"/>
    <s v="[C-2]AI-Edutech 기반 교수-학습 역량 강화"/>
    <s v="가. AI-Edutech 기반 교수자 수업 혁신 지원"/>
    <s v="맞춤형 교수역량 강화 지원"/>
    <s v="혁신 교수법 연구모임 운영"/>
    <s v="혁신교수법 연구모임 운영비"/>
    <x v="0"/>
    <s v="기타운영비:부서별"/>
    <n v="4241130"/>
    <s v="운영비"/>
    <s v="NDZ251321"/>
    <m/>
    <m/>
    <m/>
    <n v="0"/>
  </r>
  <r>
    <x v="0"/>
    <s v="C"/>
    <s v="미래융합교육혁신원"/>
    <s v="8701"/>
    <s v="[C-2]"/>
    <s v="[C-2]AI-Edutech 기반 교수-학습 역량 강화"/>
    <s v="가. AI-Edutech 기반 교수자 수업 혁신 지원"/>
    <s v="맞춤형 교수역량 강화 지원"/>
    <s v="마이크로티칭세미나 운영"/>
    <s v="마이크로티칭세미나 강사료"/>
    <x v="0"/>
    <s v="특별강의료:특별강의료"/>
    <n v="4116101"/>
    <s v="전문가활용비"/>
    <s v="NDZ251321"/>
    <n v="600000"/>
    <n v="1"/>
    <n v="3"/>
    <n v="1200000"/>
  </r>
  <r>
    <x v="0"/>
    <s v="C"/>
    <s v="미래융합교육혁신원"/>
    <s v="8701"/>
    <s v="[C-2]"/>
    <s v="[C-2]AI-Edutech 기반 교수-학습 역량 강화"/>
    <s v="가. AI-Edutech 기반 교수자 수업 혁신 지원"/>
    <s v="맞춤형 교수역량 강화 지원"/>
    <s v="마이크로티칭세미나 운영"/>
    <s v="마이크로티칭세미나 운영비"/>
    <x v="0"/>
    <s v="기타운영비:부서별"/>
    <n v="4241130"/>
    <s v="운영비"/>
    <s v="NDZ251321"/>
    <n v="30000"/>
    <n v="10"/>
    <n v="3"/>
    <n v="449300"/>
  </r>
  <r>
    <x v="0"/>
    <s v="C"/>
    <s v="미래융합교육혁신원"/>
    <s v="8701"/>
    <s v="[C-2]"/>
    <s v="[C-2]AI-Edutech 기반 교수-학습 역량 강화"/>
    <s v="가. AI-Edutech 기반 교수자 수업 혁신 지원"/>
    <s v="맞춤형 교수역량 강화 지원"/>
    <s v="수업컨설팅 운영"/>
    <s v="수업컨설팅 운영 자문료"/>
    <x v="0"/>
    <s v="기타운영비:부서별"/>
    <n v="4241130"/>
    <s v="전문가활용비"/>
    <s v="NDZ251321"/>
    <n v="200000"/>
    <n v="1"/>
    <n v="5"/>
    <n v="1000000"/>
  </r>
  <r>
    <x v="0"/>
    <s v="C"/>
    <s v="미래융합교육혁신원"/>
    <s v="8701"/>
    <s v="[C-2]"/>
    <s v="[C-2]AI-Edutech 기반 교수-학습 역량 강화"/>
    <s v="가. AI-Edutech 기반 교수자 수업 혁신 지원"/>
    <s v="맞춤형 교수역량 강화 지원"/>
    <s v=" 수업컨설팅 운영"/>
    <s v="수업컨설팅 운영 운영비"/>
    <x v="0"/>
    <s v="기타운영비:부서별"/>
    <n v="4241130"/>
    <s v="운영비"/>
    <s v="NDZ251321"/>
    <n v="200000"/>
    <n v="1"/>
    <n v="2"/>
    <n v="4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의사소통코칭 운영"/>
    <s v="코칭비"/>
    <x v="0"/>
    <s v="기타운영비:부서별"/>
    <n v="4241130"/>
    <s v="전문가활용비"/>
    <s v="NDZ251321"/>
    <n v="35000"/>
    <n v="200"/>
    <n v="2"/>
    <n v="240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의사소통 특강 및 워크숍 운영"/>
    <s v="의사소통 워크숍 운영 강사료"/>
    <x v="0"/>
    <s v="특별강의료:특별강의료"/>
    <n v="4116101"/>
    <s v="전문가활용비"/>
    <s v="NDZ251321"/>
    <n v="300000"/>
    <n v="1"/>
    <n v="2"/>
    <n v="5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의사소통 특강 및 워크숍 운영"/>
    <s v="의사소통 워크숍 운영비"/>
    <x v="0"/>
    <s v="기타운영비:부서별"/>
    <n v="4241130"/>
    <s v="운영비"/>
    <s v="NDZ251321"/>
    <n v="500000"/>
    <n v="1"/>
    <n v="2"/>
    <n v="5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의사소통 특강 및 워크숍 운영"/>
    <s v="의사소통 워크숍 온라인콘텐츠구매"/>
    <x v="0"/>
    <s v="일반용역비:부서별"/>
    <n v="4233201"/>
    <s v="용역비"/>
    <s v="NDZ251321"/>
    <n v="600000"/>
    <n v="1"/>
    <n v="1"/>
    <n v="6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학습코칭상담 운영"/>
    <s v="학습코칭상담 상담료"/>
    <x v="0"/>
    <s v="기타운영비:부서별"/>
    <n v="4241130"/>
    <s v="운영비"/>
    <s v="NDZ251321"/>
    <n v="40000"/>
    <n v="50"/>
    <n v="2"/>
    <n v="40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학습코칭상담 운영"/>
    <s v="학습전략지 구입"/>
    <x v="0"/>
    <s v="기타운영비:부서별"/>
    <n v="4241130"/>
    <s v="운영비"/>
    <s v="NDZ251321"/>
    <n v="4500"/>
    <n v="300"/>
    <n v="2"/>
    <n v="27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학습동아리"/>
    <s v="활동장학금"/>
    <x v="1"/>
    <s v="교외장학금"/>
    <n v="4321701"/>
    <s v="장학금"/>
    <s v="NDZ251325"/>
    <n v="200000"/>
    <n v="36"/>
    <n v="1"/>
    <n v="66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학습동아리"/>
    <s v="우수팀장학금"/>
    <x v="1"/>
    <s v="교외장학금"/>
    <n v="4321701"/>
    <s v="장학금"/>
    <s v="NDZ251325"/>
    <n v="600000"/>
    <n v="1"/>
    <n v="2"/>
    <n v="12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학습동아리"/>
    <s v="회의 및 운영비"/>
    <x v="0"/>
    <s v="기타운영비:부서별"/>
    <n v="4241130"/>
    <s v="운영비"/>
    <s v="NDZ251321"/>
    <n v="550000"/>
    <n v="1"/>
    <n v="2"/>
    <n v="5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학습튜터링"/>
    <s v="활동장학금"/>
    <x v="1"/>
    <s v="교외장학금"/>
    <n v="4321701"/>
    <s v="장학금"/>
    <s v="NDZ251325"/>
    <n v="500000"/>
    <n v="40"/>
    <n v="2"/>
    <n v="450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학습튜터링"/>
    <s v="우수팀장학금"/>
    <x v="1"/>
    <s v="교외장학금"/>
    <n v="4321701"/>
    <s v="장학금"/>
    <s v="NDZ251325"/>
    <n v="1500000"/>
    <n v="1"/>
    <n v="2"/>
    <n v="19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학습튜터링"/>
    <s v="회의 및 운영비"/>
    <x v="0"/>
    <s v="기타운영비:부서별"/>
    <n v="4241130"/>
    <s v="운영비"/>
    <s v="NDZ251321"/>
    <n v="1000000"/>
    <n v="1"/>
    <n v="2"/>
    <n v="10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학습법특강"/>
    <s v="강사료"/>
    <x v="0"/>
    <s v="특별강의료:특별강의료"/>
    <n v="4116101"/>
    <s v="전문가활용비"/>
    <s v="NDZ251321"/>
    <n v="450000"/>
    <n v="1"/>
    <n v="2"/>
    <n v="8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학습법특강"/>
    <s v="식비 및 회의비"/>
    <x v="0"/>
    <s v="기타운영비:부서별"/>
    <n v="4241130"/>
    <s v="운영비"/>
    <s v="NDZ251321"/>
    <n v="550000"/>
    <n v="2"/>
    <n v="2"/>
    <n v="935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등대팀"/>
    <s v="장학금"/>
    <x v="1"/>
    <s v="교외장학금"/>
    <n v="4321701"/>
    <s v="장학금"/>
    <s v="NDZ251325"/>
    <n v="1200000"/>
    <n v="5"/>
    <n v="2"/>
    <n v="1200000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등대팀"/>
    <s v="운영비"/>
    <x v="0"/>
    <s v="기타운영비:부서별"/>
    <n v="4241130"/>
    <s v="운영비"/>
    <s v="NDZ251321"/>
    <n v="11300000"/>
    <n v="1"/>
    <n v="2"/>
    <n v="16363860"/>
  </r>
  <r>
    <x v="0"/>
    <s v="C"/>
    <s v="미래융합교육혁신원"/>
    <s v="8701"/>
    <s v="[C-2]"/>
    <s v="[C-2]AI-Edutech 기반 교수-학습 역량 강화"/>
    <s v="나. AI-Edutech 기반 학생성공(학습분야) 지원"/>
    <s v="MY-STEP(Strategic Training for Educational Program) 구성 및 학습역량 강화 지원"/>
    <s v="우수사례 성과 발표회"/>
    <s v="운영비, 소모품비, 회의비"/>
    <x v="0"/>
    <s v="기타운영비:부서별"/>
    <n v="4241130"/>
    <s v="운영비"/>
    <s v="NDZ251321"/>
    <n v="4200000"/>
    <n v="1"/>
    <n v="2"/>
    <n v="4400000"/>
  </r>
  <r>
    <x v="0"/>
    <s v="C"/>
    <s v="미래융합교육혁신원"/>
    <s v="8701"/>
    <s v="[C-2]"/>
    <s v="[C-2]AI-Edutech 기반 교수-학습 역량 강화"/>
    <s v="나. AI-Edutech 기반 학생성공(학습분야) 지원"/>
    <s v="AI-Edutech 기반 Y-FLEX Lab(Yonsei-Future Learning Experience Lab) 인프라 확충"/>
    <s v="DX(Digital Transformation) 기반 교육 인프라 환경 조성"/>
    <s v="Adobe CC 2000 라이선스, Adobe CC 65,835 * 2000개"/>
    <x v="3"/>
    <s v="일반용역비:부서별"/>
    <n v="4233201"/>
    <s v="용역비"/>
    <s v="NDZ251323"/>
    <n v="65835"/>
    <n v="2000"/>
    <n v="1"/>
    <n v="131670000"/>
  </r>
  <r>
    <x v="0"/>
    <s v="C"/>
    <s v="미래융합교육혁신원"/>
    <s v="8701"/>
    <s v="[C-2]"/>
    <s v="[C-2]AI-Edutech 기반 교수-학습 역량 강화"/>
    <s v="다. 교수-학습 개선 성과 확산 및 지속가능 시스템 강화"/>
    <s v="교육 혁신 운용 성과 확산"/>
    <s v="교수법 확산 심포지엄 개최 및 우수사례집 발간"/>
    <s v="교수법 확산 심포지엄 참여자 기념품"/>
    <x v="0"/>
    <s v="기타운영비:부서별"/>
    <n v="4241130"/>
    <s v="기념품비"/>
    <s v="NDZ251321"/>
    <n v="40000"/>
    <n v="70"/>
    <n v="1"/>
    <n v="4000000"/>
  </r>
  <r>
    <x v="0"/>
    <s v="C"/>
    <s v="미래융합교육혁신원"/>
    <s v="8701"/>
    <s v="[C-2]"/>
    <s v="[C-2]AI-Edutech 기반 교수-학습 역량 강화"/>
    <s v="다. 교수-학습 개선 성과 확산 및 지속가능 시스템 강화"/>
    <s v="교육 혁신 운용 성과 확산"/>
    <s v="교수법 확산 심포지엄 개최 및 우수사례집 발간"/>
    <s v="교수법 확산 심포지엄 사레발표자 수당"/>
    <x v="0"/>
    <s v="교원기타수당"/>
    <n v="4113401"/>
    <s v="발표비"/>
    <s v="NDZ251321"/>
    <n v="200000"/>
    <n v="5"/>
    <n v="1"/>
    <n v="1200000"/>
  </r>
  <r>
    <x v="0"/>
    <s v="C"/>
    <s v="미래융합교육혁신원"/>
    <s v="8701"/>
    <s v="[C-2]"/>
    <s v="[C-2]AI-Edutech 기반 교수-학습 역량 강화"/>
    <s v="다. 교수-학습 개선 성과 확산 및 지속가능 시스템 강화"/>
    <s v="교육 혁신 운용 성과 확산"/>
    <s v="교수법 확산 심포지엄 개최 및 우수사례집 발간"/>
    <s v="교수법 확산 심포지엄 운영비"/>
    <x v="0"/>
    <s v="기타운영비:부서별"/>
    <n v="4241130"/>
    <s v="행사비"/>
    <s v="NDZ251321"/>
    <n v="30000"/>
    <n v="70"/>
    <n v="1"/>
    <n v="4900000"/>
  </r>
  <r>
    <x v="0"/>
    <s v="C"/>
    <s v="미래융합교육혁신원"/>
    <s v="8701"/>
    <s v="[C-2]"/>
    <s v="[C-2]AI-Edutech 기반 교수-학습 역량 강화"/>
    <s v="다. 교수-학습 개선 성과 확산 및 지속가능 시스템 강화"/>
    <s v="교육 혁신 운용 성과 확산"/>
    <s v="교수법 확산 심포지엄 개최 및 우수사례집 발간"/>
    <s v="교수법 확산 심포지엄 사례집 제작"/>
    <x v="0"/>
    <s v="기타운영비:부서별"/>
    <n v="4241130"/>
    <s v="인쇄비"/>
    <s v="NDZ251321"/>
    <n v="20000"/>
    <n v="70"/>
    <n v="1"/>
    <n v="2000000"/>
  </r>
  <r>
    <x v="0"/>
    <s v="C"/>
    <s v="미래융합교육혁신원"/>
    <s v="8701"/>
    <s v="[C-2]"/>
    <s v="[C-2]AI-Edutech 기반 교수-학습 역량 강화"/>
    <s v="다. 교수-학습 개선 성과 확산 및 지속가능 시스템 강화"/>
    <s v="AI-Edutech 기반 원격교육인프라 구축 및 고도화"/>
    <s v="융합교육혁신을 위한 전문인력 역량 강화 및 마이크로 거버넌스 확대"/>
    <s v="미래융합교육혁신원 워크숍-발전전략세미나 운영비"/>
    <x v="0"/>
    <s v="기타운영비:부서별"/>
    <n v="4241130"/>
    <s v="행사비"/>
    <s v="NDZ251321"/>
    <n v="1000000"/>
    <n v="1"/>
    <n v="2"/>
    <n v="2000000"/>
  </r>
  <r>
    <x v="0"/>
    <s v="C"/>
    <s v="미래융합교육혁신원"/>
    <s v="8701"/>
    <s v="[C-2]"/>
    <s v="[C-2]AI-Edutech 기반 교수-학습 역량 강화"/>
    <s v="다. 교수-학습 개선 성과 확산 및 지속가능 시스템 강화"/>
    <s v="AI-Edutech 기반 원격교육인프라 구축 및 고도화"/>
    <s v="융합교육혁신을 위한 전문인력 역량 강화 및 마이크로 거버넌스 확대"/>
    <s v="미래융합교육위원회 외부 위원 회의 참석 수당"/>
    <x v="0"/>
    <s v="기타운영비:부서별"/>
    <n v="4241130"/>
    <s v="전문가 활용비"/>
    <s v="NDZ251321"/>
    <n v="300000"/>
    <n v="1"/>
    <n v="2"/>
    <n v="600000"/>
  </r>
  <r>
    <x v="0"/>
    <s v="C"/>
    <s v="미래융합교육혁신원"/>
    <s v="8701"/>
    <s v="[C-2]"/>
    <s v="[C-2]AI-Edutech 기반 교수-학습 역량 강화"/>
    <s v="다. 교수-학습 개선 성과 확산 및 지속가능 시스템 강화"/>
    <s v="AI-Edutech 기반 원격교육인프라 구축 및 고도화"/>
    <s v="융합교육혁신을 위한 전문인력 역량 강화 및 마이크로 거버넌스 확대"/>
    <s v="미래융합교육위원회 운영"/>
    <x v="0"/>
    <s v="기타운영비:부서별"/>
    <n v="4241130"/>
    <s v="행사비"/>
    <s v="NDZ251321"/>
    <n v="500000"/>
    <n v="1"/>
    <n v="2"/>
    <n v="1000000"/>
  </r>
  <r>
    <x v="0"/>
    <s v="C"/>
    <s v="미래융합교육혁신원"/>
    <s v="8701"/>
    <s v="[C-2]"/>
    <s v="[C-2]AI-Edutech 기반 교수-학습 역량 강화"/>
    <s v="다. 교수-학습 개선 성과 확산 및 지속가능 시스템 강화"/>
    <s v="AI-Edutech 기반 원격교육인프라 구축 및 고도화"/>
    <s v="융합교육혁신을 위한 전문인력 역량 강화"/>
    <s v="직원역량교육 외부 강사료"/>
    <x v="0"/>
    <s v="기타운영비:부서별"/>
    <n v="4241130"/>
    <s v="강사료"/>
    <s v="NDZ251321"/>
    <n v="550000"/>
    <n v="1"/>
    <n v="1"/>
    <n v="550000"/>
  </r>
  <r>
    <x v="0"/>
    <s v="C"/>
    <s v="미래융합교육혁신원"/>
    <s v="8701"/>
    <s v="[C-2]"/>
    <s v="[C-2]AI-Edutech 기반 교수-학습 역량 강화"/>
    <s v="다. 교수-학습 개선 성과 확산 및 지속가능 시스템 강화"/>
    <s v="AI-Edutech 기반 원격교육인프라 구축 및 고도화"/>
    <s v="융합교육혁신을 위한 전문인력 역량 강화"/>
    <s v="직원역량교육 운영비(직원 연수 및 출장 5차배정)"/>
    <x v="0"/>
    <s v="기타운영비:부서별"/>
    <n v="4241130"/>
    <s v="교육훈련비"/>
    <s v="NDZ251321"/>
    <n v="1000000"/>
    <n v="1"/>
    <n v="4"/>
    <n v="4000000"/>
  </r>
  <r>
    <x v="0"/>
    <s v="C"/>
    <s v="미래융합교육혁신원"/>
    <s v="8701"/>
    <s v="[C-2]"/>
    <s v="[C-2]AI-Edutech 기반 교수-학습 역량 강화"/>
    <s v="다. 교수-학습 개선 성과 확산 및 지속가능 시스템 강화"/>
    <s v="AI-Edutech 기반 원격교육인프라 구축 및 고도화"/>
    <s v="융합교육혁신을 위한 전문인력 역량 강화"/>
    <s v="직원역량교육 운영비"/>
    <x v="0"/>
    <s v="기타운영비:부서별"/>
    <n v="4241130"/>
    <s v="행사비"/>
    <s v="NDZ251321"/>
    <n v="1500000"/>
    <n v="1"/>
    <n v="1"/>
    <n v="1500000"/>
  </r>
  <r>
    <x v="0"/>
    <s v="C"/>
    <s v="미래융합교육혁신원"/>
    <s v="8701"/>
    <s v="[C-2]"/>
    <s v="[C-2]AI-Edutech 기반 교수-학습 역량 강화"/>
    <s v="다. 교수-학습 개선 성과 확산 및 지속가능 시스템 강화"/>
    <s v="AI-Edutech 기반 원격교육인프라 구축 및 고도화"/>
    <s v="원격교육 인프라 환경 개선 및 AI기반 통합관리 시스템 구축"/>
    <s v="원격교육 인프라 환경개선 및 고도화"/>
    <x v="3"/>
    <s v="교육용기계기구구입지출"/>
    <n v="1314901"/>
    <s v="교육용기계기구구입"/>
    <s v="NDZ251323"/>
    <n v="0"/>
    <n v="0"/>
    <n v="0"/>
    <n v="0"/>
  </r>
  <r>
    <x v="0"/>
    <s v="C"/>
    <s v="미래융합교육혁신원"/>
    <s v="8701"/>
    <s v="[C-3]"/>
    <s v="[C-3]AI-Data 기반 교육과정 성과 관리"/>
    <s v="가. AI·데이터 기반 교과교육과정의 적합성 및 품질관리"/>
    <s v="AI·데이터 기반 전공교육과정 인증 시스템 운영"/>
    <s v="강의 영상 콘텐츠 품질분석 체크리스트 고도화"/>
    <s v="콘텐츠 자가진단도구 도출 및 데이터 수집체계 구축을 위한 회의비"/>
    <x v="0"/>
    <s v="기타운영비:부서별"/>
    <n v="4241130"/>
    <s v="회의비"/>
    <s v="NDZ251331"/>
    <n v="30000"/>
    <n v="5"/>
    <n v="3"/>
    <n v="450000"/>
  </r>
  <r>
    <x v="0"/>
    <s v="C"/>
    <s v="미래융합교육혁신원"/>
    <s v="8701"/>
    <s v="[C-3]"/>
    <s v="[C-3]AI-Data 기반 교육과정 성과 관리"/>
    <s v="가. AI·데이터 기반 교과교육과정의 적합성 및 품질관리"/>
    <s v="AI·데이터 기반 전공교육과정 인증 시스템 운영"/>
    <s v="원격교육 학습 실태 조사 및 성과 평가"/>
    <s v="원격교육 학습 실태조사 및 성과 평가 진단 참가자 답례품"/>
    <x v="0"/>
    <s v="기타운영비:부서별"/>
    <n v="4241130"/>
    <s v="행사비"/>
    <s v="NDZ251331"/>
    <n v="0"/>
    <n v="0"/>
    <n v="0"/>
    <n v="0"/>
  </r>
  <r>
    <x v="0"/>
    <s v="C"/>
    <s v="미래융합교육혁신원"/>
    <s v="8701"/>
    <s v="[C-3]"/>
    <s v="[C-3]AI-Data 기반 교육과정 성과 관리"/>
    <s v="가. AI·데이터 기반 교과교육과정의 적합성 및 품질관리"/>
    <s v="AI·데이터 기반 전공교육과정 인증 시스템 운영"/>
    <s v="원격교육 학습 실태 조사 및 성과 평가"/>
    <s v="원격교육 학습 실태조사 연구 보고서 집필비"/>
    <x v="0"/>
    <s v="교원기타수당"/>
    <n v="4113401"/>
    <s v="원고료"/>
    <s v="NDZ251331"/>
    <n v="0"/>
    <n v="0"/>
    <n v="0"/>
    <n v="0"/>
  </r>
  <r>
    <x v="0"/>
    <s v="C"/>
    <s v="미래융합교육혁신원"/>
    <s v="8701"/>
    <s v="[C-3]"/>
    <s v="[C-3]AI-Data 기반 교육과정 성과 관리"/>
    <s v="가. AI·데이터 기반 교과교육과정의 적합성 및 품질관리"/>
    <s v="AI·데이터 기반 전공교육과정 인증 시스템 운영"/>
    <s v="교육과정 및 교과목 개발 인증 시행"/>
    <s v="교육과정 및 교과목 인증 심사평가비(교내)"/>
    <x v="0"/>
    <s v="교원기타수당"/>
    <n v="4113401"/>
    <s v="심사비"/>
    <s v="NDZ251331"/>
    <n v="50000"/>
    <n v="10"/>
    <n v="16"/>
    <n v="8000000"/>
  </r>
  <r>
    <x v="0"/>
    <s v="C"/>
    <s v="미래융합교육혁신원"/>
    <s v="8701"/>
    <s v="[C-3]"/>
    <s v="[C-3]AI-Data 기반 교육과정 성과 관리"/>
    <s v="가. AI·데이터 기반 교과교육과정의 적합성 및 품질관리"/>
    <s v="AI·데이터 기반 전공교육과정 인증 시스템 운영"/>
    <s v="교육과정 및 교과목 개발 인증 시행"/>
    <s v="교육과정 및 교과목 인증 심사평가비(교외)"/>
    <x v="0"/>
    <s v="기타운영비:부서별"/>
    <n v="4241130"/>
    <s v="심사비"/>
    <s v="NDZ251331"/>
    <n v="50000"/>
    <n v="2"/>
    <n v="40"/>
    <n v="4000000"/>
  </r>
  <r>
    <x v="0"/>
    <s v="C"/>
    <s v="미래융합교육혁신원"/>
    <s v="8701"/>
    <s v="[C-3]"/>
    <s v="[C-3]AI-Data 기반 교육과정 성과 관리"/>
    <s v="가. AI·데이터 기반 교과교육과정의 적합성 및 품질관리"/>
    <s v="AI·데이터 기반 수업 질관리(CQI) 시스템 운영"/>
    <s v="수업 질 관리(CQI) 시행"/>
    <s v="수업 질 관리(CQI) 운영비"/>
    <x v="0"/>
    <s v="기타운영비:부서별"/>
    <n v="4241130"/>
    <s v="운영비"/>
    <s v="NDZ251331"/>
    <n v="800000"/>
    <n v="1"/>
    <n v="1"/>
    <n v="500000"/>
  </r>
  <r>
    <x v="0"/>
    <s v="C"/>
    <s v="미래융합교육혁신원"/>
    <s v="8701"/>
    <s v="[C-3]"/>
    <s v="[C-3]AI-Data 기반 교육과정 성과 관리"/>
    <s v="나. AI·데이터 기반 ECA프로그램 통합 및 성과 관리"/>
    <s v="AI·데이터 기반 비교과프로그램 활성화를 위한 이니셔티브·리더십 강화"/>
    <s v="비교과박람회 개최"/>
    <s v="비교과 박람회 운영비"/>
    <x v="0"/>
    <s v="기타운영비:부서별"/>
    <n v="4241130"/>
    <s v="행사비"/>
    <s v="NDZ251331"/>
    <n v="30000000"/>
    <n v="1"/>
    <n v="1"/>
    <n v="18675740"/>
  </r>
  <r>
    <x v="0"/>
    <s v="C"/>
    <s v="미래융합교육혁신원"/>
    <s v="8701"/>
    <s v="[C-3]"/>
    <s v="[C-3]AI-Data 기반 교육과정 성과 관리"/>
    <s v="나. AI·데이터 기반 ECA프로그램 통합 및 성과 관리"/>
    <s v="AI·데이터 기반 비교과프로그램 활성화를 위한 이니셔티브·리더십 강화"/>
    <s v="비교과박람회 개최"/>
    <s v="비교과 박람회 장학금"/>
    <x v="1"/>
    <s v="교외장학금"/>
    <n v="4321701"/>
    <s v="장학금"/>
    <s v="NDZ251335"/>
    <n v="1806000"/>
    <n v="1"/>
    <n v="1"/>
    <n v="939120"/>
  </r>
  <r>
    <x v="0"/>
    <s v="C"/>
    <s v="미래융합교육혁신원"/>
    <s v="8701"/>
    <s v="[C-3]"/>
    <s v="[C-3]AI-Data 기반 교육과정 성과 관리"/>
    <s v="나. AI·데이터 기반 ECA프로그램 통합 및 성과 관리"/>
    <s v="AI·데이터 기반 비교과프로그램의 교육적 적합성 검증 및 지속적 개선"/>
    <s v="시스템 개발 및 환류 조치 강화"/>
    <s v="비교과 운영위원회, 간담회, 연차점검보고 운영비"/>
    <x v="0"/>
    <s v="기타운영비:부서별"/>
    <n v="4241130"/>
    <s v="회의비"/>
    <s v="NDZ251331"/>
    <n v="1000000"/>
    <n v="1"/>
    <n v="3"/>
    <n v="4000000"/>
  </r>
  <r>
    <x v="0"/>
    <s v="C"/>
    <s v="미래융합교육혁신원"/>
    <s v="8701"/>
    <s v="[C-3]"/>
    <s v="[C-3]AI-Data 기반 교육과정 성과 관리"/>
    <s v="다. AI·데이터 기반 초개인화 학생 역량 관리"/>
    <s v="학생 맞춤형 역량 관리"/>
    <s v="미래 DOYAK 학생 역량관리 패널 운영"/>
    <s v="활동 장학금(팀장, 팀원, 우수활동 장학금, 공모전 장학금 1년치)"/>
    <x v="1"/>
    <s v="교외장학금"/>
    <n v="4321701"/>
    <s v="장학금"/>
    <s v="NDZ251335"/>
    <n v="111000000"/>
    <n v="1"/>
    <n v="1"/>
    <n v="111000000"/>
  </r>
  <r>
    <x v="0"/>
    <s v="C"/>
    <s v="미래융합교육혁신원"/>
    <s v="8701"/>
    <s v="[C-3]"/>
    <s v="[C-3]AI-Data 기반 교육과정 성과 관리"/>
    <s v="다. AI·데이터 기반 초개인화 학생 역량 관리"/>
    <s v="학생 맞춤형 역량 관리"/>
    <s v="미래 DOYAK 학생 역량관리 패널 운영"/>
    <s v="운영비(워크숍, 간담회, 소모임 활동지원비, 프로그램 운영비 1년치)"/>
    <x v="0"/>
    <s v="기타운영비:부서별"/>
    <n v="4241130"/>
    <s v="행사비"/>
    <s v="NDZ251331"/>
    <n v="12000000"/>
    <n v="1"/>
    <n v="1"/>
    <n v="12600000"/>
  </r>
  <r>
    <x v="0"/>
    <s v="C"/>
    <s v="미래융합교육혁신원"/>
    <s v="8701"/>
    <s v="[C-3]"/>
    <s v="[C-3]AI-Data 기반 교육과정 성과 관리"/>
    <s v="다. AI·데이터 기반 초개인화 학생 역량 관리"/>
    <s v="학생 맞춤형 역량 관리"/>
    <s v="미래 DOYAK 학생 역량관리 패널 운영"/>
    <s v="포트폴리오 공모전 심사비"/>
    <x v="0"/>
    <s v="교원기타수당"/>
    <n v="4113401"/>
    <s v="심사비"/>
    <s v="NDZ251331"/>
    <n v="1200000"/>
    <n v="1"/>
    <n v="1"/>
    <m/>
  </r>
  <r>
    <x v="0"/>
    <s v="C"/>
    <s v="미래융합교육혁신원"/>
    <s v="8701"/>
    <s v="[C-3]"/>
    <s v="[C-3]AI-Data 기반 교육과정 성과 관리"/>
    <s v="다. AI·데이터 기반 초개인화 학생 역량 관리"/>
    <s v="학생 맞춤형 역량 관리"/>
    <s v="미래 DOYAK 학생 역량관리 패널 운영"/>
    <s v="포트폴리오 공모전 장학금"/>
    <x v="1"/>
    <s v="교외장학금"/>
    <n v="4321701"/>
    <s v="시상금"/>
    <s v="NDZ251335"/>
    <m/>
    <m/>
    <m/>
    <n v="10000000"/>
  </r>
  <r>
    <x v="0"/>
    <s v="C"/>
    <s v="미래융합교육혁신원"/>
    <s v="8701"/>
    <s v="[C-3]"/>
    <s v="[C-3]AI-Data 기반 교육과정 성과 관리"/>
    <s v="다. AI·데이터 기반 초개인화 학생 역량 관리"/>
    <s v="학생 맞춤형 역량 관리"/>
    <s v="역량진단 시행 및 결과 공유"/>
    <s v="역량진단 분석비"/>
    <x v="0"/>
    <s v="기타운영비:부서별"/>
    <n v="4241130"/>
    <s v="운영비"/>
    <s v="NDZ251331"/>
    <n v="17000000"/>
    <n v="1"/>
    <n v="1"/>
    <n v="7700000"/>
  </r>
  <r>
    <x v="0"/>
    <s v="C"/>
    <s v="미래융합교육혁신원"/>
    <s v="8701"/>
    <s v="[C-3]"/>
    <s v="[C-3]AI-Data 기반 교육과정 성과 관리"/>
    <s v="다. AI·데이터 기반 초개인화 학생 역량 관리"/>
    <s v="학생 맞춤형 역량 관리"/>
    <s v="역량진단 시행 및 결과 공유"/>
    <s v="역량진단 운영비"/>
    <x v="0"/>
    <s v="기타운영비:부서별"/>
    <n v="4241130"/>
    <s v="행사비"/>
    <s v="NDZ251331"/>
    <n v="36000000"/>
    <n v="1"/>
    <n v="1"/>
    <n v="24000000"/>
  </r>
  <r>
    <x v="0"/>
    <s v="C"/>
    <s v="미래융합교육혁신원"/>
    <s v="8701"/>
    <s v="[C-3]"/>
    <s v="[C-3]AI-Data 기반 교육과정 성과 관리"/>
    <s v="다. AI·데이터 기반 초개인화 학생 역량 관리"/>
    <s v="전(全) 학생의 역량개발 진단 참여를 통하여 유기적 역량관리시스템 구축"/>
    <s v="YONSEI人 핵심역량 마일리지 이수제 운영"/>
    <s v="YONSEI人 핵심역량 마일리지 이수제 운영비(회의비 등)"/>
    <x v="0"/>
    <s v="기타운영비:부서별"/>
    <n v="4241130"/>
    <s v="행사비"/>
    <s v="NDZ251331"/>
    <n v="1000000"/>
    <n v="1"/>
    <n v="1"/>
    <n v="1000000"/>
  </r>
  <r>
    <x v="0"/>
    <s v="C"/>
    <s v="미래융합교육혁신원"/>
    <s v="8701"/>
    <s v="[C-3]"/>
    <s v="[C-3]AI-Data 기반 교육과정 성과 관리"/>
    <s v="다. AI·데이터 기반 초개인화 학생 역량 관리"/>
    <s v="학생 맞춤형 역량 관리"/>
    <s v="YONSEI人 핵심역량 마일리지 이수제 운영"/>
    <s v="YONSEI人 핵심역량 마일리지 이수제 우수학생 장학금"/>
    <x v="1"/>
    <s v="교외장학금"/>
    <n v="4321701"/>
    <s v="장학금"/>
    <s v="NDZ251335"/>
    <n v="20000000"/>
    <n v="1"/>
    <n v="1"/>
    <n v="20000000"/>
  </r>
  <r>
    <x v="0"/>
    <s v="C"/>
    <s v="미래대학혁신지원사업단"/>
    <n v="8719"/>
    <s v="[C-3]"/>
    <s v="[C-3]AI-Data 기반 교육과정 성과 관리"/>
    <s v="다. AI·데이터 기반 초개인화 학생 역량 관리"/>
    <s v="사업관리 및 운영"/>
    <s v="사업단 운영비"/>
    <m/>
    <x v="0"/>
    <s v="교원기타수당"/>
    <n v="4113401"/>
    <m/>
    <s v="NDZ251331"/>
    <n v="30000000"/>
    <n v="1"/>
    <n v="1"/>
    <n v="88318572"/>
  </r>
  <r>
    <x v="0"/>
    <s v="D"/>
    <s v="RC융합대학"/>
    <s v="8639"/>
    <s v="[D-1]"/>
    <s v="[D-1]포용과 통합의 RC실천교육 모델"/>
    <s v="가. 포용역량 강화를 위한 RC 프로그램 고도화"/>
    <s v="포용적 역량 강화를 위한 RC아카데미 운영"/>
    <s v="Masters' Academy "/>
    <s v="행사 운영비(연 2회)"/>
    <x v="0"/>
    <s v="기타운영비:부서별"/>
    <n v="4241130"/>
    <s v="운영비"/>
    <s v="NDZ251411"/>
    <n v="100000"/>
    <n v="25"/>
    <n v="2"/>
    <n v="4200000"/>
  </r>
  <r>
    <x v="0"/>
    <s v="D"/>
    <s v="RC융합대학"/>
    <s v="8639"/>
    <s v="[D-1]"/>
    <s v="[D-1]포용과 통합의 RC실천교육 모델"/>
    <s v="가. 포용역량 강화를 위한 RC 프로그램 고도화"/>
    <s v="포용적 역량 강화를 위한 RC아카데미 운영"/>
    <s v="Masters' Academy "/>
    <s v="행사 운영비(연 2회)"/>
    <x v="0"/>
    <s v="기타운영비:부서별"/>
    <n v="4241130"/>
    <s v="기념품비"/>
    <s v="NDZ251411"/>
    <m/>
    <m/>
    <m/>
    <n v="800000"/>
  </r>
  <r>
    <x v="0"/>
    <s v="D"/>
    <s v="RC융합대학"/>
    <s v="8639"/>
    <s v="[D-1]"/>
    <s v="[D-1]포용과 통합의 RC실천교육 모델"/>
    <s v="가. 포용역량 강화를 위한 RC 프로그램 고도화"/>
    <s v="포용적 역량 강화를 위한 RC아카데미 운영"/>
    <s v="Leaders' Academy"/>
    <s v="RA 행사 운영비(연 2회 집중교육_1박2일) 숙박비, 식비, 소모품,인쇄비"/>
    <x v="0"/>
    <s v="기타운영비:부서별"/>
    <n v="4241130"/>
    <s v="운영비"/>
    <s v="NDZ251411"/>
    <n v="200000"/>
    <n v="110"/>
    <n v="2"/>
    <n v="52959300"/>
  </r>
  <r>
    <x v="0"/>
    <s v="D"/>
    <s v="RC융합대학"/>
    <s v="8639"/>
    <s v="[D-1]"/>
    <s v="[D-1]포용과 통합의 RC실천교육 모델"/>
    <s v="가. 포용역량 강화를 위한 RC 프로그램 고도화"/>
    <s v="포용적 역량 강화를 위한 RC아카데미 운영"/>
    <s v="Leaders' Academy"/>
    <s v="RA 행사 용역비(버스)"/>
    <x v="0"/>
    <s v="기타운영비:부서별"/>
    <n v="4241130"/>
    <s v="행사비"/>
    <s v="NDZ251411"/>
    <m/>
    <m/>
    <m/>
    <n v="660000"/>
  </r>
  <r>
    <x v="0"/>
    <s v="D"/>
    <s v="RC융합대학"/>
    <s v="8639"/>
    <s v="[D-1]"/>
    <s v="[D-1]포용과 통합의 RC실천교육 모델"/>
    <s v="가. 포용역량 강화를 위한 RC 프로그램 고도화"/>
    <s v="포용적 역량 강화를 위한 RC아카데미 운영"/>
    <s v="Leaders' Academy"/>
    <s v="RA 행사비"/>
    <x v="0"/>
    <s v="기타운영비:부서별"/>
    <n v="4241130"/>
    <s v="행사비"/>
    <s v="NDZ251411"/>
    <m/>
    <m/>
    <m/>
    <n v="555700"/>
  </r>
  <r>
    <x v="0"/>
    <s v="D"/>
    <s v="RC융합대학"/>
    <s v="8639"/>
    <s v="[D-1]"/>
    <s v="[D-1]포용과 통합의 RC실천교육 모델"/>
    <s v="가. 포용역량 강화를 위한 RC 프로그램 고도화"/>
    <s v="포용적 역량 강화를 위한 RC아카데미 운영"/>
    <s v="Leaders' Academy"/>
    <s v="TA 행사 운영비(연 2회)"/>
    <x v="0"/>
    <s v="기타운영비:부서별"/>
    <n v="4241130"/>
    <s v="기념품비"/>
    <s v="NDZ251411"/>
    <n v="400000"/>
    <n v="1"/>
    <n v="2"/>
    <n v="825000"/>
  </r>
  <r>
    <x v="0"/>
    <s v="D"/>
    <s v="RC융합대학"/>
    <s v="8639"/>
    <s v="[D-1]"/>
    <s v="[D-1]포용과 통합의 RC실천교육 모델"/>
    <s v="가. 포용역량 강화를 위한 RC 프로그램 고도화"/>
    <s v="포용적 역량 강화를 위한 RC아카데미 운영"/>
    <s v="Leaders' Academy"/>
    <s v="행사 외부 강연 수당"/>
    <x v="0"/>
    <s v="기타운영비:부서별"/>
    <n v="4241130"/>
    <s v="전문가활용비"/>
    <s v="NDZ251411"/>
    <n v="200000"/>
    <n v="2"/>
    <n v="1"/>
    <n v="800000"/>
  </r>
  <r>
    <x v="0"/>
    <s v="D"/>
    <s v="RC융합대학"/>
    <s v="8639"/>
    <s v="[D-1]"/>
    <s v="[D-1]포용과 통합의 RC실천교육 모델"/>
    <s v="가. 포용역량 강화를 위한 RC 프로그램 고도화"/>
    <s v="포용적 역량 강화를 위한 RC아카데미 운영"/>
    <s v="Leaders' Academy"/>
    <s v="행사 발표 장학금"/>
    <x v="1"/>
    <s v="교외장학금"/>
    <n v="4321701"/>
    <s v="시상금"/>
    <s v="NDZ251415"/>
    <m/>
    <m/>
    <m/>
    <n v="400000"/>
  </r>
  <r>
    <x v="0"/>
    <s v="D"/>
    <s v="RC융합대학"/>
    <s v="8639"/>
    <s v="[D-1]"/>
    <s v="[D-1]포용과 통합의 RC실천교육 모델"/>
    <s v="가. 포용역량 강화를 위한 RC 프로그램 고도화"/>
    <s v="포용적 역량 강화를 위한 RC아카데미 운영"/>
    <s v="RC교육 구성원 간 간담회"/>
    <s v="간담회 운영회 연 6회"/>
    <x v="0"/>
    <s v="기타운영비:부서별"/>
    <n v="4241130"/>
    <s v="운영비"/>
    <s v="NDZ251411"/>
    <n v="25000"/>
    <n v="40"/>
    <n v="6"/>
    <n v="6000000"/>
  </r>
  <r>
    <x v="0"/>
    <s v="D"/>
    <s v="RC융합대학"/>
    <s v="8639"/>
    <s v="[D-1]"/>
    <s v="[D-1]포용과 통합의 RC실천교육 모델"/>
    <s v="가. 포용역량 강화를 위한 RC 프로그램 고도화"/>
    <s v="문화, 예술, 체육 활동을 위한 포용적 역량 강화"/>
    <s v="다양한 분반의 문화, 예술, 체육 활동을 통한 포용적 역량강화"/>
    <s v="문화, 예술, 체육 활동 교과 개설 운영(교비)"/>
    <x v="4"/>
    <m/>
    <m/>
    <m/>
    <m/>
    <m/>
    <m/>
    <m/>
    <n v="0"/>
  </r>
  <r>
    <x v="0"/>
    <s v="D"/>
    <s v="RC융합대학"/>
    <s v="8639"/>
    <s v="[D-1]"/>
    <s v="[D-1]포용과 통합의 RC실천교육 모델"/>
    <s v="나. 공동체 기반 RC 참여·실천 활동 확대"/>
    <s v="RC공동체 실천 활동 지원"/>
    <s v="RC문화제 + RC체육대회"/>
    <s v="문화제 체육대회 운영비"/>
    <x v="0"/>
    <s v="기타운영비:부서별"/>
    <n v="4241130"/>
    <s v="운영비"/>
    <s v="NDZ251411"/>
    <n v="20000"/>
    <n v="1400"/>
    <n v="2"/>
    <n v="33000000"/>
  </r>
  <r>
    <x v="0"/>
    <s v="D"/>
    <s v="RC융합대학"/>
    <s v="8639"/>
    <s v="[D-1]"/>
    <s v="[D-1]포용과 통합의 RC실천교육 모델"/>
    <s v="나. 공동체 기반 RC 참여·실천 활동 확대"/>
    <s v="RC공동체 실천 활동 지원"/>
    <s v="RC문화제 + RC체육대회"/>
    <s v="문화제 체육대회 기념품비"/>
    <x v="0"/>
    <s v="기타운영비:부서별"/>
    <n v="4241130"/>
    <s v="기념품비"/>
    <s v="NDZ251411"/>
    <m/>
    <m/>
    <m/>
    <n v="3000000"/>
  </r>
  <r>
    <x v="0"/>
    <s v="D"/>
    <s v="RC융합대학"/>
    <s v="8639"/>
    <s v="[D-1]"/>
    <s v="[D-1]포용과 통합의 RC실천교육 모델"/>
    <s v="나. 공동체 기반 RC 참여·실천 활동 확대"/>
    <s v="RC공동체 실천 활동 지원"/>
    <s v="RC문화제 + RC체육대회"/>
    <s v="문화제 체육대회 행사비"/>
    <x v="0"/>
    <s v="기타운영비:부서별"/>
    <n v="4241130"/>
    <s v="행사비"/>
    <s v="NDZ251411"/>
    <m/>
    <m/>
    <m/>
    <n v="20000000"/>
  </r>
  <r>
    <x v="0"/>
    <s v="D"/>
    <s v="RC융합대학"/>
    <s v="8639"/>
    <s v="[D-1]"/>
    <s v="[D-1]포용과 통합의 RC실천교육 모델"/>
    <s v="나. 공동체 기반 RC 참여·실천 활동 확대"/>
    <s v="RC공동체 실천 활동 지원"/>
    <s v="RC문화제 + RC체육대회"/>
    <s v="문화제 체육대회 운영 조교비(문화제 시상금 330만원, 체육대회 사회자 30만원)"/>
    <x v="1"/>
    <s v="교외장학금"/>
    <n v="4321701"/>
    <s v="시상금"/>
    <s v="NDZ251415"/>
    <n v="300000"/>
    <n v="12"/>
    <n v="1"/>
    <n v="4200000"/>
  </r>
  <r>
    <x v="0"/>
    <s v="D"/>
    <s v="RC융합대학"/>
    <s v="8639"/>
    <s v="[D-1]"/>
    <s v="[D-1]포용과 통합의 RC실천교육 모델"/>
    <s v="나. 공동체 기반 RC 참여·실천 활동 확대"/>
    <s v="RC공동체 실천 활동 지원"/>
    <s v="행정RA운영"/>
    <s v="행정 RA 조교 장학금"/>
    <x v="1"/>
    <s v="교외장학금"/>
    <n v="4321701"/>
    <s v="근로장학금"/>
    <s v="NDZ251415"/>
    <n v="1800000"/>
    <n v="3"/>
    <n v="2"/>
    <n v="10800000"/>
  </r>
  <r>
    <x v="0"/>
    <s v="D"/>
    <s v="RC융합대학"/>
    <s v="8639"/>
    <s v="[D-1]"/>
    <s v="[D-1]포용과 통합의 RC실천교육 모델"/>
    <s v="나. 공동체 기반 RC 참여·실천 활동 확대"/>
    <s v="RC공동체 실천 활동 지원"/>
    <s v="행정TA 운영"/>
    <s v="행정 TA 조교 장학금"/>
    <x v="1"/>
    <s v="교외장학금"/>
    <n v="4321701"/>
    <s v="근로장학금"/>
    <s v="NDZ251415"/>
    <n v="1000000"/>
    <n v="5"/>
    <n v="2"/>
    <n v="0"/>
  </r>
  <r>
    <x v="0"/>
    <s v="D"/>
    <s v="RC융합대학"/>
    <s v="8639"/>
    <s v="[D-1]"/>
    <s v="[D-1]포용과 통합의 RC실천교육 모델"/>
    <s v="나. 공동체 기반 RC 참여·실천 활동 확대"/>
    <s v="RC공동체 실천 활동 지원"/>
    <s v="RC비교과(카누)"/>
    <s v="카누 수업 운영비(카누 수리 및 정비)"/>
    <x v="0"/>
    <s v="기타운영비:부서별"/>
    <n v="4241130"/>
    <s v="행사비"/>
    <s v="NDZ251411"/>
    <n v="500000"/>
    <n v="10"/>
    <n v="1"/>
    <n v="5000000"/>
  </r>
  <r>
    <x v="0"/>
    <s v="D"/>
    <s v="RC융합대학"/>
    <s v="8639"/>
    <s v="[D-1]"/>
    <s v="[D-1]포용과 통합의 RC실천교육 모델"/>
    <s v="나. 공동체 기반 RC 참여·실천 활동 확대"/>
    <s v="RC공동체 실천 활동 지원"/>
    <s v="RC비교과(카누)"/>
    <s v="카누 수업 운영비"/>
    <x v="0"/>
    <s v="기타운영비:부서별"/>
    <n v="4241130"/>
    <s v="운영비"/>
    <s v="NDZ251411"/>
    <n v="30000"/>
    <n v="25"/>
    <n v="4"/>
    <n v="925260"/>
  </r>
  <r>
    <x v="0"/>
    <s v="D"/>
    <s v="RC융합대학"/>
    <s v="8639"/>
    <s v="[D-1]"/>
    <s v="[D-1]포용과 통합의 RC실천교육 모델"/>
    <s v="나. 공동체 기반 RC 참여·실천 활동 확대"/>
    <s v="RC공동체 실천 활동 지원"/>
    <s v="RC비교과(카누)"/>
    <s v="카누 수업 운영비(소모품, 물품)-행사비"/>
    <x v="0"/>
    <s v="기타운영비:부서별"/>
    <n v="4241130"/>
    <s v="운영비"/>
    <s v="NDZ251411"/>
    <n v="30000"/>
    <n v="25"/>
    <n v="4"/>
    <n v="74740"/>
  </r>
  <r>
    <x v="0"/>
    <s v="D"/>
    <s v="RC융합대학"/>
    <s v="8639"/>
    <s v="[D-1]"/>
    <s v="[D-1]포용과 통합의 RC실천교육 모델"/>
    <s v="나. 공동체 기반 RC 참여·실천 활동 확대"/>
    <s v="RC공동체 실천 활동 지원"/>
    <s v="RC비교과(카누)"/>
    <s v="카누 수업 강의료(강사+안전관리요원)"/>
    <x v="0"/>
    <s v="기타운영비:부서별"/>
    <n v="4241130"/>
    <s v="전문가활용비"/>
    <s v="NDZ251411"/>
    <n v="300000"/>
    <n v="2"/>
    <n v="2"/>
    <n v="1800000"/>
  </r>
  <r>
    <x v="0"/>
    <s v="D"/>
    <s v="RC융합대학"/>
    <s v="8639"/>
    <s v="[D-1]"/>
    <s v="[D-1]포용과 통합의 RC실천교육 모델"/>
    <s v="나. 공동체 기반 RC 참여·실천 활동 확대"/>
    <s v="RC공동체 실천 활동 지원"/>
    <s v="해외봉사 활동 및 해외 탐방"/>
    <s v="해외 봉사 활동 및 탐방 운영비"/>
    <x v="0"/>
    <s v="기타운영비:부서별"/>
    <n v="4241130"/>
    <s v="운영비"/>
    <s v="NDZ251411"/>
    <m/>
    <m/>
    <m/>
    <n v="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자율형커뮤니티(SAT) + 서비스러닝"/>
    <s v="참여팀 활동비(실비)"/>
    <x v="0"/>
    <s v="기타운영비:부서별"/>
    <n v="4241130"/>
    <s v="학생교육활동지원비"/>
    <s v="NDZ251411"/>
    <n v="600000"/>
    <n v="8"/>
    <n v="2"/>
    <n v="49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자율형커뮤니티(SAT) + 서비스러닝"/>
    <s v="운영비"/>
    <x v="0"/>
    <s v="기타운영비:부서별"/>
    <n v="4241130"/>
    <s v="운영비"/>
    <s v="NDZ251411"/>
    <n v="100000"/>
    <n v="20"/>
    <n v="2"/>
    <n v="12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자율형커뮤니티(SAT) + 서비스러닝"/>
    <s v="자율형커뮤니티 특강료"/>
    <x v="0"/>
    <s v="기타운영비:부서별"/>
    <n v="4241130"/>
    <s v="전문가활용비"/>
    <s v="NDZ251411"/>
    <m/>
    <m/>
    <m/>
    <n v="4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자율형커뮤니티(SAT) + 서비스러닝"/>
    <s v="운영 조교 장학금"/>
    <x v="0"/>
    <s v="교외장학금"/>
    <n v="4321701"/>
    <s v="학생교육활동지원비"/>
    <s v="NDZ251411"/>
    <n v="700000"/>
    <n v="2"/>
    <n v="2"/>
    <n v="28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자율형커뮤니티(SAT) + 서비스러닝"/>
    <s v="우수 학생 장학금"/>
    <x v="1"/>
    <s v="교외장학금"/>
    <n v="4321701"/>
    <s v="시상금"/>
    <s v="NDZ251415"/>
    <n v="300000"/>
    <n v="2"/>
    <n v="2"/>
    <n v="30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사회문제탐구활동"/>
    <s v="과정 운영비(회의비, 행사비, 소모품, 홍보비 등)"/>
    <x v="0"/>
    <s v="기타운영비:부서별"/>
    <n v="4241130"/>
    <s v="운영비"/>
    <s v="NDZ251411"/>
    <n v="200000"/>
    <n v="20"/>
    <n v="2"/>
    <n v="70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사회문제탐구활동"/>
    <s v="사회문제탐구활동 특강비 "/>
    <x v="0"/>
    <s v="기타운영비:부서별"/>
    <n v="4241130"/>
    <s v="전문가활용비"/>
    <s v="NDZ251411"/>
    <m/>
    <m/>
    <m/>
    <n v="4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사회문제탐구활동"/>
    <s v="참여자 학생 장학금"/>
    <x v="1"/>
    <s v="교외장학금"/>
    <n v="4321701"/>
    <s v="근로장학금"/>
    <s v="NDZ251415"/>
    <n v="1000000"/>
    <n v="20"/>
    <n v="2"/>
    <n v="376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사회문제탐구활동"/>
    <s v="참여팀 활동비(교통비 100만원, 활동비 150만원)"/>
    <x v="0"/>
    <s v="기타운영비:부서별"/>
    <n v="4241130"/>
    <s v="학생교육활동지원비"/>
    <s v="NDZ251411"/>
    <m/>
    <m/>
    <m/>
    <n v="47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사회문제탐구활동"/>
    <s v="운영 조교 장학금"/>
    <x v="0"/>
    <s v="교외장학금"/>
    <n v="4321701"/>
    <s v="학생교육활동지원비"/>
    <s v="NDZ251411"/>
    <n v="700000"/>
    <n v="3"/>
    <n v="2"/>
    <n v="42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행정인력지원★"/>
    <s v="★(전담인력 1인) 대학혁신지원사업팀 배정(윤예리)"/>
    <x v="2"/>
    <s v="임시직/급여"/>
    <n v="4125101"/>
    <s v="급여"/>
    <s v="NDZ251004"/>
    <m/>
    <m/>
    <m/>
    <n v="300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행정인력지원★"/>
    <s v="★(전담인력 1인) 대학혁신지원사업팀 배정(이정민)"/>
    <x v="2"/>
    <s v="임시직/급여"/>
    <n v="4125101"/>
    <s v="급여"/>
    <s v="NDZ251004"/>
    <m/>
    <m/>
    <m/>
    <n v="30000000"/>
  </r>
  <r>
    <x v="0"/>
    <s v="D"/>
    <s v="RC융합대학"/>
    <s v="8639"/>
    <s v="[D-1]"/>
    <s v="[D-1]포용과 통합의 RC실천교육 모델"/>
    <s v="나. 공동체 기반 RC 참여·실천 활동 확대"/>
    <s v="사회 참여형 자율 학습 공동체 프로그램 확산"/>
    <s v="RC라운지 및 행정공간 환경개선"/>
    <s v="RC라운지 환경개선 리모델링(RC 라운지, 컨버젼스홀 로비 등)"/>
    <x v="3"/>
    <s v="건축물관리비:기타"/>
    <n v="4211402"/>
    <m/>
    <m/>
    <m/>
    <m/>
    <m/>
    <n v="0"/>
  </r>
  <r>
    <x v="0"/>
    <s v="D"/>
    <s v="RC융합대학"/>
    <s v="8639"/>
    <s v="[D-1]"/>
    <s v="[D-1]포용과 통합의 RC실천교육 모델"/>
    <s v="다. RC실천교육 성과 공유 및 비전 확산"/>
    <s v="RC실천교육 성과 공유"/>
    <s v="RC실천교육 성과공유 및 확산활동_비교과"/>
    <s v="RC활동 성과 공유회 전시회 운영비(인쇄, 다과, 소모품)"/>
    <x v="0"/>
    <s v="기타운영비:부서별"/>
    <n v="4241130"/>
    <s v="운영비"/>
    <s v="NDZ251411"/>
    <n v="10000"/>
    <n v="100"/>
    <n v="3"/>
    <n v="0"/>
  </r>
  <r>
    <x v="0"/>
    <s v="D"/>
    <s v="RC융합대학"/>
    <s v="8639"/>
    <s v="[D-1]"/>
    <s v="[D-1]포용과 통합의 RC실천교육 모델"/>
    <s v="다. RC실천교육 성과 공유 및 비전 확산"/>
    <s v="RC실천교육 성과 공유"/>
    <s v="RC실천교육 성과공유 및 확산활동_RC교육"/>
    <s v="RC성과 확산 웹진 및 클릭연세 제작비(인쇄비)"/>
    <x v="0"/>
    <s v="기타운영비:부서별"/>
    <n v="4241130"/>
    <s v="운영비"/>
    <s v="NDZ251411"/>
    <n v="4500"/>
    <n v="1600"/>
    <n v="1"/>
    <n v="7200000"/>
  </r>
  <r>
    <x v="0"/>
    <s v="D"/>
    <s v="RC융합대학"/>
    <s v="8639"/>
    <s v="[D-1]"/>
    <s v="[D-1]포용과 통합의 RC실천교육 모델"/>
    <s v="다. RC실천교육 성과 공유 및 비전 확산"/>
    <s v="RC실천교육 성과 공유"/>
    <s v="RC실천교육 성과공유 및 확산활동_RC교육"/>
    <s v="RC성과 확산 웹진 및 클릭연세 제작 회의비"/>
    <x v="0"/>
    <s v="기타운영비:부서별"/>
    <n v="4241130"/>
    <s v="운영비"/>
    <s v="NDZ251411"/>
    <n v="30000"/>
    <n v="20"/>
    <n v="3"/>
    <n v="1800000"/>
  </r>
  <r>
    <x v="0"/>
    <s v="D"/>
    <s v="RC융합대학"/>
    <s v="8639"/>
    <s v="[D-1]"/>
    <s v="[D-1]포용과 통합의 RC실천교육 모델"/>
    <s v="다. RC실천교육 성과 공유 및 비전 확산"/>
    <s v="사회 저명인사 초청‘RC미래비전 특강’정례화"/>
    <s v="미래캠퍼스 RC실천교육 비전 공유를 위한 사회 저명인사 초청 특강"/>
    <s v="명사 특강 외부 특강료(학기당 4회 이상)"/>
    <x v="0"/>
    <s v="기타운영비:부서별"/>
    <n v="4241130"/>
    <s v="전문가활용비"/>
    <s v="NDZ251411"/>
    <n v="400000"/>
    <n v="6"/>
    <n v="2"/>
    <n v="3000000"/>
  </r>
  <r>
    <x v="0"/>
    <s v="D"/>
    <s v="RC융합대학"/>
    <s v="8639"/>
    <s v="[D-1]"/>
    <s v="[D-1]포용과 통합의 RC실천교육 모델"/>
    <s v="다. RC실천교육 성과 공유 및 비전 확산"/>
    <s v="사회 저명인사 초청‘RC미래비전 특강’정례화"/>
    <s v="미래캠퍼스 RC실천교육 비전 공유를 위한 사회 저명인사 초청 특강"/>
    <s v="명사 특강 운영비"/>
    <x v="0"/>
    <s v="기타운영비:부서별"/>
    <n v="4241130"/>
    <s v="운영비"/>
    <s v="NDZ251411"/>
    <n v="60000"/>
    <n v="10"/>
    <n v="4"/>
    <n v="4840000"/>
  </r>
  <r>
    <x v="0"/>
    <s v="D"/>
    <s v="RC융합대학"/>
    <s v="8639"/>
    <s v="[D-1]"/>
    <s v="[D-1]포용과 통합의 RC실천교육 모델"/>
    <s v="다. RC실천교육 성과 공유 및 비전 확산"/>
    <s v="사회 저명인사 초청‘RC미래비전 특강’정례화"/>
    <s v="미래캠퍼스 RC실천교육 비전 공유를 위한 사회 저명인사 초청 특강"/>
    <s v="명사 특강 운영비(소모품)"/>
    <x v="0"/>
    <s v="기타운영비:부서별"/>
    <n v="4241130"/>
    <s v="운영비"/>
    <s v="NDZ251411"/>
    <m/>
    <m/>
    <m/>
    <n v="160000"/>
  </r>
  <r>
    <x v="0"/>
    <s v="D"/>
    <s v="RC융합대학"/>
    <s v="8639"/>
    <s v="[D-2]"/>
    <s v="[D-2]진단-맞춤형 기초학습 생태계 구축"/>
    <s v="가. 신입생 진단 맞춤형 기초학습 시스템 연구"/>
    <s v="진단평가-개인별 분석-맞춤형 온라인 플랫폼을 단계적으로 구축"/>
    <s v="신입생 진단평가 체계 구축 연구 및 개인별 기초학력 분석 시스템 개발"/>
    <s v="전공 및 유관부서 간담회 (회의비, 소모품비 등)"/>
    <x v="0"/>
    <s v="기타운영비:부서별"/>
    <n v="4241130"/>
    <s v="운영비"/>
    <s v="NDZ251421"/>
    <n v="40000"/>
    <n v="10"/>
    <n v="5"/>
    <n v="900000"/>
  </r>
  <r>
    <x v="0"/>
    <s v="D"/>
    <s v="RC융합대학"/>
    <s v="8639"/>
    <s v="[D-2]"/>
    <s v="[D-2]진단-맞춤형 기초학습 생태계 구축"/>
    <s v="가. 신입생 진단 맞춤형 기초학습 시스템 연구"/>
    <s v="진단평가-개인별 분석-맞춤형 온라인 플랫폼을 단계적으로 구축"/>
    <s v="신입생 진단평가 체계 구축 연구 및 개인별 기초학력 분석 시스템 개발"/>
    <s v="전공 및 유관부서 간담회 - 출장비"/>
    <x v="0"/>
    <s v="기타운영비:부서별"/>
    <n v="4241130"/>
    <s v="출장비"/>
    <s v="NDZ251421"/>
    <m/>
    <m/>
    <m/>
    <n v="100000"/>
  </r>
  <r>
    <x v="0"/>
    <s v="D"/>
    <s v="RC융합대학"/>
    <s v="8639"/>
    <s v="[D-2]"/>
    <s v="[D-2]진단-맞춤형 기초학습 생태계 구축"/>
    <s v="가. 신입생 진단 맞춤형 기초학습 시스템 연구"/>
    <s v="신입생 대상 기초학력 진단평가 실시 및 개인별 학습 데이터 활용"/>
    <s v="신입생 진단평가 체계 구축 연구 및 개인별 기초학력 분석 시스템 개발"/>
    <s v="신입생 진단평가 시행"/>
    <x v="0"/>
    <s v="일반용역비:부서별"/>
    <n v="4233201"/>
    <s v="용역비"/>
    <s v="NDZ251421"/>
    <n v="15000000"/>
    <n v="2"/>
    <n v="1"/>
    <n v="10000000"/>
  </r>
  <r>
    <x v="0"/>
    <s v="D"/>
    <s v="RC융합대학"/>
    <s v="8639"/>
    <s v="[D-2]"/>
    <s v="[D-2]진단-맞춤형 기초학습 생태계 구축"/>
    <s v="나. 기초·교양 교육과정 체계 정비 및 다양화"/>
    <s v="기초교양 분과위원회 운영과 환경 개선을 통한 기초·교양 교육과정 지속 개선"/>
    <s v="기초 교양 체계 정립을 위한 분과별 위원회 및 TF 운영 지원"/>
    <s v="기초분과 위원회 운영 지원, 개선 TF 운영"/>
    <x v="0"/>
    <s v="기타운영비:부서별"/>
    <n v="4241130"/>
    <s v="운영비"/>
    <s v="NDZ251421"/>
    <n v="500000"/>
    <n v="5"/>
    <n v="2"/>
    <n v="5050000"/>
  </r>
  <r>
    <x v="0"/>
    <s v="D"/>
    <s v="RC융합대학"/>
    <s v="8639"/>
    <s v="[D-2]"/>
    <s v="[D-2]진단-맞춤형 기초학습 생태계 구축"/>
    <s v="나. 기초·교양 교육과정 체계 정비 및 다양화"/>
    <s v="기초교양 분과위원회 운영과 환경 개선을 통한 기초·교양 교육과정 지속 개선"/>
    <s v="기초 교양 체계 정립을 위한 분과별 위원회 및 TF 운영 지원"/>
    <s v="기초분과 위원회 운영 지원, 개선 TF 운영"/>
    <x v="0"/>
    <s v="기타운영비:부서별"/>
    <n v="4241130"/>
    <s v="행사비"/>
    <s v="NDZ251421"/>
    <m/>
    <m/>
    <m/>
    <n v="1100000"/>
  </r>
  <r>
    <x v="0"/>
    <s v="D"/>
    <s v="RC융합대학"/>
    <s v="8639"/>
    <s v="[D-2]"/>
    <s v="[D-2]진단-맞춤형 기초학습 생태계 구축"/>
    <s v="나. 기초·교양 교육과정 체계 정비 및 다양화"/>
    <s v="기초교양 분과위원회 운영과 환경 개선을 통한 기초·교양 교육과정 지속 개선"/>
    <s v="기초교양교과 강의실 인프라 개선"/>
    <s v="기초교양 해외 대학 간 공동 개설을 위한 시스템 구축(첨단 강의실 구축)"/>
    <x v="3"/>
    <s v="건축물관리비:기타"/>
    <n v="4211402"/>
    <m/>
    <m/>
    <n v="0"/>
    <n v="0"/>
    <n v="0"/>
    <n v="0"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분야별 디베이트 교과목 지원 + 주제별, 단계별, 학습 유형별 교과목 다양화(신규)"/>
    <s v="디베이트·교과목 및 AX 교과목 운영 지원(운영비)"/>
    <x v="0"/>
    <s v="기타운영비:부서별"/>
    <n v="4241130"/>
    <s v="교과운영지원비"/>
    <s v="NDZ251421"/>
    <n v="600000"/>
    <n v="10"/>
    <n v="2"/>
    <n v="8700000"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분야별 디베이트 교과목 지원 + 주제별, 단계별, 학습 유형별 교과목 다양화(신규)"/>
    <s v="디베이트·교과목 및 AX 교과목 운영 지원(교통비 등)"/>
    <x v="0"/>
    <s v="기타운영비:부서별"/>
    <n v="4241130"/>
    <s v="교과운영지원비"/>
    <s v="NDZ251421"/>
    <n v="4000000"/>
    <n v="1"/>
    <n v="2"/>
    <m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디베이트 교과목 및 AX 교과목 선발 심사"/>
    <s v="디베이트·AX 교과목 선발 심사비 및 특강료"/>
    <x v="0"/>
    <s v="교원기타수당"/>
    <n v="4113401"/>
    <s v="전문가활용비"/>
    <s v="NDZ251421"/>
    <n v="300000"/>
    <n v="1"/>
    <n v="5"/>
    <n v="200000"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디베이트 교과목 및 AX 교과목 선발 심사"/>
    <s v="디베이트·AX 교과목 선발 심사비 및 특강료"/>
    <x v="0"/>
    <s v="기타운영비:부서별"/>
    <n v="4241130"/>
    <s v="전문가활용비"/>
    <s v="NDZ251421"/>
    <n v="300000"/>
    <n v="1"/>
    <n v="5"/>
    <n v="2400000"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분야별 디베이트 교과목 지원 + 주제별, 단계별, 학습 유형별 교과목 다양화"/>
    <s v="디베이트 교과목 및 AX 교과목 운영 조교 장학금"/>
    <x v="0"/>
    <s v="교외장학금"/>
    <n v="4321701"/>
    <s v="교과운영지원비"/>
    <s v="NDZ251421"/>
    <n v="400000"/>
    <n v="10"/>
    <n v="2"/>
    <n v="6800000"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분야별 디베이트 교과목 지원 + 주제별, 단계별, 학습 유형별 교과목 다양화"/>
    <s v="AX 기반 기초학문 교육지원 비교과프로그램(1학기)"/>
    <x v="0"/>
    <s v="교외장학금"/>
    <n v="4321701"/>
    <s v="학생교육활동지원비"/>
    <s v="NDZ251421"/>
    <n v="200000"/>
    <n v="80"/>
    <n v="1"/>
    <n v="16000000"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분야별 디베이트 교과목 지원 + 주제별, 단계별, 학습 유형별 교과목 다양화"/>
    <s v="AX 기반 기초학문 교육지원 비교과프로그램(2학기)"/>
    <x v="0"/>
    <s v="교외장학금"/>
    <n v="4321701"/>
    <s v="학생교육활동지원비"/>
    <s v="NDZ251421"/>
    <n v="200000"/>
    <n v="50"/>
    <n v="1"/>
    <n v="10000000"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AX, SDGs, Glocal 가치 반영 교양 과목 개발 공모, 과제연구"/>
    <s v="AI윤리 및 디지털 시민성 강화를 위한 필수 교양 교과목 개발 및 개설"/>
    <x v="0"/>
    <s v="교원기타수당"/>
    <n v="4113401"/>
    <s v="교과목개발개선비"/>
    <s v="NDZ251421"/>
    <n v="3000000"/>
    <n v="1"/>
    <n v="2"/>
    <n v="6000000"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AX, SDGs, Glocal 가치 반영 교양 과목 개발 공모, 과제연구"/>
    <s v="AI시대의 커리어 아카데미 운영비(인쇄비, 회의비, 소모품비)"/>
    <x v="0"/>
    <s v="기타운영비:부서별"/>
    <n v="4241130"/>
    <s v="운영비"/>
    <s v="NDZ251421"/>
    <n v="2000000"/>
    <n v="2"/>
    <n v="1"/>
    <n v="2690400"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AX, SDGs, Glocal 가치 반영 교양 과목 개발 공모, 과제연구"/>
    <s v="AI시대의 커리어 아카데미 운영비(인쇄비, 회의비, 소모품비)"/>
    <x v="0"/>
    <s v="기타운영비:부서별"/>
    <n v="4241130"/>
    <s v="전문가활용비"/>
    <s v="NDZ251421"/>
    <m/>
    <m/>
    <m/>
    <n v="1000000"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AX, SDGs, Glocal 가치 반영 교양 과목 개발 공모, 과제연구"/>
    <s v="AI시대의 커리어 아카데미 운영비(인쇄비, 회의비, 소모품비)"/>
    <x v="1"/>
    <s v="교외장학금"/>
    <n v="4321701"/>
    <s v="근로장학금"/>
    <s v="NDZ251425"/>
    <m/>
    <m/>
    <m/>
    <n v="309600"/>
  </r>
  <r>
    <x v="0"/>
    <s v="D"/>
    <s v="RC융합대학"/>
    <s v="8639"/>
    <s v="[D-2]"/>
    <s v="[D-2]진단-맞춤형 기초학습 생태계 구축"/>
    <s v="나. 기초·교양 교육과정 체계 정비 및 다양화"/>
    <s v="단계별·주제별 역량 강화를 위한 기초·교양 교과목 다변화"/>
    <s v="교양교육혁신위 운영 지원 "/>
    <s v="교양교육혁신위원회 운영비"/>
    <x v="0"/>
    <s v="기타운영비:부서별"/>
    <n v="4241130"/>
    <s v="운영비"/>
    <s v="NDZ251421"/>
    <n v="40000"/>
    <n v="20"/>
    <n v="4"/>
    <n v="3200000"/>
  </r>
  <r>
    <x v="0"/>
    <s v="D"/>
    <s v="RC융합대학"/>
    <s v="8639"/>
    <s v="[D-2]"/>
    <s v="[D-2]진단-맞춤형 기초학습 생태계 구축"/>
    <s v="다. 데이터 기반 성과관리 및 환류 체계 강화 방안 연구"/>
    <s v="워크숍과 우수 사례 확산을 통해 데이터 기반 성과관리를 강화하고 개선 효과 벤치마킹으로 교육 품질을 고도화"/>
    <s v="신입생 진단 평가 및 맞춤형 학습지원 성과공유, 기초 및 교양교육 혁신 성과 공유"/>
    <s v="성과 공유회(다과 및 식사비)"/>
    <x v="0"/>
    <s v="기타운영비:부서별"/>
    <n v="4241130"/>
    <s v="행사비"/>
    <s v="NDZ251421"/>
    <n v="40000"/>
    <n v="50"/>
    <n v="1"/>
    <n v="3000000"/>
  </r>
  <r>
    <x v="0"/>
    <s v="D"/>
    <s v="RC융합대학"/>
    <s v="8639"/>
    <s v="[D-2]"/>
    <s v="[D-2]진단-맞춤형 기초학습 생태계 구축"/>
    <s v="다. 데이터 기반 성과관리 및 환류 체계 강화 방안 연구"/>
    <s v="워크숍과 우수 사례 확산을 통해 데이터 기반 성과관리를 강화하고 개선 효과 벤치마킹으로 교육 품질을 고도화"/>
    <s v="신입생 진단 평가 및 맞춤형 학습지원 성과공유, 기초 및 교양교육 혁신 성과 공유"/>
    <s v="성과 공유회(기념품)"/>
    <x v="0"/>
    <s v="기타운영비:부서별"/>
    <n v="4241130"/>
    <s v="기념품비"/>
    <s v="NDZ251421"/>
    <n v="40000"/>
    <n v="50"/>
    <n v="1"/>
    <n v="2000000"/>
  </r>
  <r>
    <x v="0"/>
    <s v="D"/>
    <s v="RC융합대학"/>
    <s v="8639"/>
    <s v="[D-2]"/>
    <s v="[D-2]진단-맞춤형 기초학습 생태계 구축"/>
    <s v="다. 데이터 기반 성과관리 및 환류 체계 강화 방안 연구"/>
    <s v="워크숍과 우수 사례 확산을 통해 데이터 기반 성과관리를 강화하고 개선 효과 벤치마킹으로 교육 품질을 고도화"/>
    <s v="기초학습 지원 우수사례집 발간 및 배포를 통한 성과 공유"/>
    <s v="교양교육성과보고서 발간(인쇄비)"/>
    <x v="0"/>
    <s v="기타운영비:부서별"/>
    <n v="4241130"/>
    <s v="운영비"/>
    <s v="NDZ251421"/>
    <n v="20000"/>
    <n v="100"/>
    <n v="1"/>
    <n v="1000000"/>
  </r>
  <r>
    <x v="0"/>
    <s v="D"/>
    <s v="RC융합대학"/>
    <s v="8639"/>
    <s v="[D-2]"/>
    <s v="[D-2]진단-맞춤형 기초학습 생태계 구축"/>
    <s v="다. 데이터 기반 성과관리 및 환류 체계 강화 방안 연구"/>
    <s v="워크숍과 우수 사례 확산을 통해 데이터 기반 성과관리를 강화하고 개선 효과 벤치마킹으로 교육 품질을 고도화"/>
    <s v="타 대학 우수사례 벤치마킹 "/>
    <s v="타 대학 우수사례(연구원)"/>
    <x v="0"/>
    <s v="기타운영비:부서별"/>
    <n v="4241130"/>
    <s v="출장비"/>
    <s v="NDZ251421"/>
    <m/>
    <m/>
    <m/>
    <n v="500000"/>
  </r>
  <r>
    <x v="0"/>
    <s v="D"/>
    <s v="RC융합대학"/>
    <s v="8639"/>
    <s v="[D-2]"/>
    <s v="[D-2]진단-맞춤형 기초학습 생태계 구축"/>
    <s v="다. 데이터 기반 성과관리 및 환류 체계 강화 방안 연구"/>
    <s v="워크숍과 우수 사례 확산을 통해 데이터 기반 성과관리를 강화하고 개선 효과 벤치마킹으로 교육 품질을 고도화"/>
    <s v="타 대학 우수사례 벤치마킹 "/>
    <s v="타 대학 우수사례(부총장님)"/>
    <x v="6"/>
    <s v="기타운영비:부서별"/>
    <n v="4241130"/>
    <s v="출장비"/>
    <s v="NDZ251426"/>
    <m/>
    <m/>
    <m/>
    <n v="4000000"/>
  </r>
  <r>
    <x v="0"/>
    <s v="D"/>
    <s v="RC융합대학"/>
    <s v="8639"/>
    <s v="[D-2]"/>
    <s v="[D-2]진단-맞춤형 기초학습 생태계 구축"/>
    <s v="다. 데이터 기반 성과관리 및 환류 체계 강화 방안 연구"/>
    <s v="데이터 기반 기초 교양 성과 환류 체계 도입 "/>
    <s v="기초학문 분야의 학업 성취도 지표 및 역량 체계화 연구"/>
    <s v="교양 핵심역량 기준 교과목 개설 현황에 따른 학생별 역량 취득 분석 연구비"/>
    <x v="0"/>
    <s v="교원기타수당"/>
    <n v="4113401"/>
    <s v="연구비"/>
    <s v="NDZ251421"/>
    <n v="3000000"/>
    <n v="1"/>
    <n v="1"/>
    <n v="300000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연구인력지원★"/>
    <s v="★(전담인력 1인) 대학혁신지원사업팀 배정(맹현주)"/>
    <x v="2"/>
    <s v="비전임교원인건비"/>
    <n v="4118701"/>
    <s v="급여"/>
    <s v="NDZ251004"/>
    <m/>
    <m/>
    <m/>
    <n v="3801840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연구인력지원★"/>
    <s v="★(전담인력 1인) 대학혁신지원사업팀 배정(박세영)-연구원"/>
    <x v="2"/>
    <s v="비전임교원인건비"/>
    <n v="4118701"/>
    <s v="급여"/>
    <s v="NDZ251004"/>
    <m/>
    <m/>
    <m/>
    <n v="3496860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연구인력지원★"/>
    <s v="★(전담인력 1인) 대학혁신지원사업팀 배정(이순용)"/>
    <x v="2"/>
    <s v="비전임교원인건비"/>
    <n v="4118701"/>
    <s v="급여"/>
    <s v="NDZ251004"/>
    <m/>
    <m/>
    <m/>
    <n v="3496860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새내기 예비대학 운영 지원"/>
    <s v="새내기 예비대학 행사 운영"/>
    <x v="0"/>
    <s v="기타운영비:부서별"/>
    <n v="4241130"/>
    <s v="행사비"/>
    <s v="NDZ251431"/>
    <n v="30000"/>
    <n v="50"/>
    <n v="3"/>
    <n v="300000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새내기 예비대학 운영 지원"/>
    <s v="새내기 예비대학 행사 운영비"/>
    <x v="0"/>
    <s v="기타운영비:부서별"/>
    <n v="4241130"/>
    <s v="운영비"/>
    <s v="NDZ251431"/>
    <m/>
    <m/>
    <m/>
    <n v="150000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새내기 예비대학 운영 지원"/>
    <s v="새내기 예비대학 행사 운영비"/>
    <x v="0"/>
    <s v="업무용기계기구구입지출"/>
    <n v="1314903"/>
    <m/>
    <m/>
    <m/>
    <m/>
    <m/>
    <n v="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새내기 예비대학 운영 지원"/>
    <s v="새내기 예비대학 특강료"/>
    <x v="0"/>
    <s v="교원기타수당"/>
    <n v="4113401"/>
    <s v="전문가활용비"/>
    <s v="NDZ251431"/>
    <n v="200000"/>
    <n v="6"/>
    <n v="1"/>
    <n v="120000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새내기 예비대학 운영 지원"/>
    <s v="새내기예비대학 운영 조교 장학금(발표비)"/>
    <x v="1"/>
    <s v="교외장학금"/>
    <n v="4321701"/>
    <s v="시상금"/>
    <s v="NDZ251435"/>
    <n v="100000"/>
    <n v="70"/>
    <n v="1"/>
    <n v="700000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새내기 예비대학 운영 지원"/>
    <s v="새내기예비대학 장학금"/>
    <x v="1"/>
    <s v="교외장학금"/>
    <n v="4321701"/>
    <s v="근로장학금"/>
    <s v="NDZ251435"/>
    <n v="10320"/>
    <n v="1"/>
    <n v="700"/>
    <n v="882400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학사지도사배치"/>
    <s v="학사지도사 교육훈련비/출장 교통비, 식비, 교육비 등(인건비 사업단 배정)"/>
    <x v="0"/>
    <s v="기타운영비:부서별"/>
    <n v="4241130"/>
    <s v="교육훈련비"/>
    <s v="NDZ251431"/>
    <m/>
    <m/>
    <m/>
    <m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학사지도 운영위원회 운영"/>
    <s v="학사지도 운영위원회 운영비"/>
    <x v="0"/>
    <s v="기타운영비:부서별"/>
    <n v="4241130"/>
    <s v="운영비"/>
    <s v="NDZ251431"/>
    <n v="30000"/>
    <n v="20"/>
    <n v="3"/>
    <n v="120000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학사지도 운영위원회 운영"/>
    <s v="학사지도 상담강화 운영비"/>
    <x v="0"/>
    <s v="기타운영비:부서별"/>
    <n v="4241130"/>
    <s v="운영비"/>
    <s v="NDZ251431"/>
    <m/>
    <m/>
    <m/>
    <n v="1000000"/>
  </r>
  <r>
    <x v="0"/>
    <s v="D"/>
    <s v="RC융합대학"/>
    <s v="8639"/>
    <s v="[D-3]"/>
    <s v="[D-3]데이터기반 자기주도 전공진로 설계 지원"/>
    <s v="가. 데이터 기반 전공·진로 탐색 체계 개선"/>
    <s v="새내기 예비 대학 운영 고도화 및 체계적 학사지도 인력 운용"/>
    <s v="학사지도 운영위원회 운영"/>
    <s v="학사지도 상담강화 운영비"/>
    <x v="0"/>
    <s v="기타운영비:부서별"/>
    <n v="4241130"/>
    <s v="전문가활용비"/>
    <s v="NDZ251431"/>
    <m/>
    <m/>
    <m/>
    <n v="200000"/>
  </r>
  <r>
    <x v="0"/>
    <s v="D"/>
    <s v="RC융합대학"/>
    <s v="8639"/>
    <s v="[D-3]"/>
    <s v="[D-3]데이터기반 자기주도 전공진로 설계 지원"/>
    <s v="가. 데이터 기반 전공·진로 탐색 체계 개선"/>
    <s v="대학 학문의 세계(전공 탐색 교과) 커리큘럼 개편 연구 및 운영 지원"/>
    <s v="대학학문의 세계 커리큘럼 개선 연구 지원 고도화"/>
    <s v="대학학문의세계 개선 연구비"/>
    <x v="0"/>
    <s v="교원기타수당"/>
    <n v="4113401"/>
    <s v="연구비"/>
    <s v="NDZ251431"/>
    <m/>
    <m/>
    <m/>
    <n v="0"/>
  </r>
  <r>
    <x v="0"/>
    <s v="D"/>
    <s v="RC융합대학"/>
    <s v="8639"/>
    <s v="[D-3]"/>
    <s v="[D-3]데이터기반 자기주도 전공진로 설계 지원"/>
    <s v="가. 데이터 기반 전공·진로 탐색 체계 개선"/>
    <s v="대학 학문의 세계(전공 탐색 교과) 커리큘럼 개편 연구 및 운영 지원"/>
    <s v="대학학문의 세계 커리큘럼 개선 연구 성과 보고 "/>
    <s v="대학학문의세계 평가회 "/>
    <x v="0"/>
    <s v="기타운영비:부서별"/>
    <n v="4241130"/>
    <s v="행사비"/>
    <s v="NDZ251431"/>
    <n v="1500000"/>
    <n v="1"/>
    <n v="3"/>
    <n v="3000000"/>
  </r>
  <r>
    <x v="0"/>
    <s v="D"/>
    <s v="RC융합대학"/>
    <s v="8639"/>
    <s v="[D-3]"/>
    <s v="[D-3]데이터기반 자기주도 전공진로 설계 지원"/>
    <s v="나. 전공·진로 탐색 경험 확대"/>
    <s v="전공탐색박람회 상시화를 통한 전공 선택 지원 강화"/>
    <s v="전공탐색박람회 운영 "/>
    <s v="전공탐색 박람회 운영 지원"/>
    <x v="0"/>
    <s v="기타운영비:부서별"/>
    <n v="4241130"/>
    <s v="운영비"/>
    <s v="NDZ251431"/>
    <m/>
    <m/>
    <m/>
    <n v="17538000"/>
  </r>
  <r>
    <x v="0"/>
    <s v="D"/>
    <s v="RC융합대학"/>
    <s v="8639"/>
    <s v="[D-3]"/>
    <s v="[D-3]데이터기반 자기주도 전공진로 설계 지원"/>
    <s v="나. 전공·진로 탐색 경험 확대"/>
    <s v="전공탐색박람회 상시화를 통한 전공 선택 지원 강화"/>
    <s v="전공탐색박람회 운영 "/>
    <s v="전공탐색 박람회 행사비(식대 및 다과)"/>
    <x v="0"/>
    <s v="기타운영비:부서별"/>
    <n v="4241130"/>
    <s v="행사비"/>
    <s v="NDZ251431"/>
    <n v="5000000"/>
    <n v="2"/>
    <n v="2"/>
    <n v="20000000"/>
  </r>
  <r>
    <x v="0"/>
    <s v="D"/>
    <s v="RC융합대학"/>
    <s v="8639"/>
    <s v="[D-3]"/>
    <s v="[D-3]데이터기반 자기주도 전공진로 설계 지원"/>
    <s v="나. 전공·진로 탐색 경험 확대"/>
    <s v="전공탐색박람회 상시화를 통한 전공 선택 지원 강화"/>
    <s v="전공탐색박람회 운영 "/>
    <s v="전공탐색 박람회 부스 용역"/>
    <x v="0"/>
    <s v="기타운영비:부서별"/>
    <n v="4241130"/>
    <s v="용역비"/>
    <s v="NDZ251431"/>
    <m/>
    <m/>
    <m/>
    <n v="18432000"/>
  </r>
  <r>
    <x v="0"/>
    <s v="D"/>
    <s v="RC융합대학"/>
    <s v="8639"/>
    <s v="[D-3]"/>
    <s v="[D-3]데이터기반 자기주도 전공진로 설계 지원"/>
    <s v="나. 전공·진로 탐색 경험 확대"/>
    <s v="전공탐색박람회 상시화를 통한 전공 선택 지원 강화"/>
    <s v="전공탐색박람회 운영 "/>
    <s v="전공 탐색 박람회 기념품 (35개 부스*40,000원*5명)"/>
    <x v="0"/>
    <s v="기타운영비:부서별"/>
    <n v="4241130"/>
    <s v="기념품비"/>
    <s v="NDZ251431"/>
    <n v="40000"/>
    <n v="5"/>
    <n v="35"/>
    <n v="19000000"/>
  </r>
  <r>
    <x v="0"/>
    <s v="D"/>
    <s v="RC융합대학"/>
    <s v="8639"/>
    <s v="[D-3]"/>
    <s v="[D-3]데이터기반 자기주도 전공진로 설계 지원"/>
    <s v="나. 전공·진로 탐색 경험 확대"/>
    <s v="전공탐색박람회 상시화를 통한 전공 선택 지원 강화"/>
    <s v="전공탐색박람회 운영 "/>
    <s v="전공탐색박람회/외부인사 특강료"/>
    <x v="0"/>
    <s v="기타운영비:부서별"/>
    <n v="4241130"/>
    <s v="전문가활용비"/>
    <s v="NDZ251431"/>
    <n v="300000"/>
    <n v="35"/>
    <n v="1"/>
    <n v="6300000"/>
  </r>
  <r>
    <x v="0"/>
    <s v="D"/>
    <s v="RC융합대학"/>
    <s v="8639"/>
    <s v="[D-3]"/>
    <s v="[D-3]데이터기반 자기주도 전공진로 설계 지원"/>
    <s v="나. 전공·진로 탐색 경험 확대"/>
    <s v="전공탐색박람회 상시화를 통한 전공 선택 지원 강화"/>
    <s v="전공탐색박람회 운영 "/>
    <s v="전공탐색박람회 교원 특강료(교원기타수당)/2학기"/>
    <x v="0"/>
    <s v="교원기타수당"/>
    <n v="4113401"/>
    <s v="전문가활용비"/>
    <s v="NDZ251431"/>
    <n v="100000"/>
    <n v="129"/>
    <n v="1"/>
    <n v="12900000"/>
  </r>
  <r>
    <x v="0"/>
    <s v="D"/>
    <s v="RC융합대학"/>
    <s v="8639"/>
    <s v="[D-3]"/>
    <s v="[D-3]데이터기반 자기주도 전공진로 설계 지원"/>
    <s v="나. 전공·진로 탐색 경험 확대"/>
    <s v="전공탐색박람회 상시화를 통한 전공 선택 지원 강화"/>
    <s v="전공탐색박람회 운영 "/>
    <s v="전공탐색 박람회 행사 운영 조교 장학금"/>
    <x v="1"/>
    <s v="교외장학금"/>
    <n v="4321701"/>
    <s v="근로장학금"/>
    <s v="NDZ251435"/>
    <m/>
    <m/>
    <m/>
    <n v="29282000"/>
  </r>
  <r>
    <x v="0"/>
    <s v="D"/>
    <s v="RC융합대학"/>
    <s v="8639"/>
    <s v="[D-3]"/>
    <s v="[D-3]데이터기반 자기주도 전공진로 설계 지원"/>
    <s v="나. 전공·진로 탐색 경험 확대"/>
    <s v="전공탐색박람회 상시화를 통한 전공 선택 지원 강화"/>
    <s v="전공탐색박람회 운영 "/>
    <s v="전공탐색박람회/시상금(발표비)"/>
    <x v="1"/>
    <s v="교외장학금"/>
    <n v="4321701"/>
    <s v="시상금"/>
    <s v="NDZ251435"/>
    <n v="100000"/>
    <n v="30"/>
    <n v="1"/>
    <n v="2150000"/>
  </r>
  <r>
    <x v="0"/>
    <s v="D"/>
    <s v="RC융합대학"/>
    <s v="8639"/>
    <s v="[D-3]"/>
    <s v="[D-3]데이터기반 자기주도 전공진로 설계 지원"/>
    <s v="나. 전공·진로 탐색 경험 확대"/>
    <s v="With-YONSEI AI 분석 결과 활용 전공진로 상담 체계 구축 "/>
    <s v="대학학문의세계 운영"/>
    <s v="대학학문의세계/ 외부인사 특강료(68개 분반)"/>
    <x v="0"/>
    <s v="기타운영비:부서별"/>
    <n v="4241130"/>
    <s v="전문가활용비"/>
    <s v="NDZ251431"/>
    <n v="200000"/>
    <n v="68"/>
    <n v="1"/>
    <n v="6100000"/>
  </r>
  <r>
    <x v="0"/>
    <s v="D"/>
    <s v="RC융합대학"/>
    <s v="8639"/>
    <s v="[D-3]"/>
    <s v="[D-3]데이터기반 자기주도 전공진로 설계 지원"/>
    <s v="나. 전공·진로 탐색 경험 확대"/>
    <s v="With-YONSEI AI 분석 결과 활용 전공진로 상담 체계 구축 "/>
    <s v="대학학문의세계 운영"/>
    <s v="대학학문의 세계(68분반 운영지원)"/>
    <x v="0"/>
    <s v="기타운영비:부서별"/>
    <n v="4241130"/>
    <s v="운영비"/>
    <s v="NDZ251431"/>
    <m/>
    <m/>
    <m/>
    <n v="500000"/>
  </r>
  <r>
    <x v="0"/>
    <s v="D"/>
    <s v="RC융합대학"/>
    <s v="8639"/>
    <s v="[D-3]"/>
    <s v="[D-3]데이터기반 자기주도 전공진로 설계 지원"/>
    <s v="나. 전공·진로 탐색 경험 확대"/>
    <s v="With-YONSEI AI 분석 결과 활용 전공진로 상담 체계 구축 "/>
    <s v="대학학문의세계 운영"/>
    <s v="대학학문의세계 조교 장학금(TA장학금 40만원)"/>
    <x v="0"/>
    <s v="교외장학금"/>
    <n v="4321701"/>
    <s v="교과운영지원비"/>
    <s v="NDZ251431"/>
    <n v="400000"/>
    <n v="68"/>
    <n v="1"/>
    <n v="27200000"/>
  </r>
  <r>
    <x v="0"/>
    <s v="D"/>
    <s v="RC융합대학"/>
    <s v="8639"/>
    <s v="[D-3]"/>
    <s v="[D-3]데이터기반 자기주도 전공진로 설계 지원"/>
    <s v="나. 전공·진로 탐색 경험 확대"/>
    <s v="With-YONSEI AI 분석 결과 활용 전공진로 상담 체계 구축 "/>
    <s v="대학학문의세계 운영"/>
    <s v="대학학문의세계 장학금(재학생 발표비 10만원)"/>
    <x v="1"/>
    <s v="교외장학금"/>
    <n v="4321701"/>
    <s v="시상금"/>
    <s v="NDZ251435"/>
    <n v="100000"/>
    <n v="68"/>
    <n v="1"/>
    <n v="3600000"/>
  </r>
  <r>
    <x v="0"/>
    <s v="D"/>
    <s v="RC융합대학"/>
    <s v="8639"/>
    <s v="[D-3]"/>
    <s v="[D-3]데이터기반 자기주도 전공진로 설계 지원"/>
    <s v="나. 전공·진로 탐색 경험 확대"/>
    <s v="With-YONSEI AI 분석 결과 활용 전공진로 상담 체계 구축 "/>
    <s v="제2전공 안내 상담 강화"/>
    <s v="With-YONSEI 2전공 배정자 탑재 상담강화"/>
    <x v="0"/>
    <s v="기타운영비:부서별"/>
    <n v="4241130"/>
    <m/>
    <m/>
    <n v="0"/>
    <n v="1"/>
    <n v="1"/>
    <n v="0"/>
  </r>
  <r>
    <x v="0"/>
    <s v="D"/>
    <s v="RC융합대학"/>
    <s v="8639"/>
    <s v="[D-3]"/>
    <s v="[D-3]데이터기반 자기주도 전공진로 설계 지원"/>
    <s v="다. 맞춤형 진단을 통한 전공·교양 설계 고도화"/>
    <s v="진단검사 시행 및 해석 전문 인력 양성"/>
    <s v="역량진단 및 진로추천 진단 검사 시행 + 진단 검사 해석 인력 양성"/>
    <s v="진단검사(STRONG, 갤럽 등) 시행 검사비(900명 * 10,000원), "/>
    <x v="0"/>
    <s v="기타운영비:부서별"/>
    <n v="4241130"/>
    <s v="운영비"/>
    <s v="NDZ251431"/>
    <n v="10000"/>
    <n v="900"/>
    <n v="1"/>
    <n v="7000000"/>
  </r>
  <r>
    <x v="0"/>
    <s v="D"/>
    <s v="RC융합대학"/>
    <s v="8639"/>
    <s v="[D-3]"/>
    <s v="[D-3]데이터기반 자기주도 전공진로 설계 지원"/>
    <s v="다. 맞춤형 진단을 통한 전공·교양 설계 고도화"/>
    <s v="진단검사 시행 및 해석 전문 인력 양성"/>
    <s v="역량진단 및 진로추천 진단 검사 시행 + 진단 검사 해석 인력 양성"/>
    <s v="진단검사 해석인력 교육비"/>
    <x v="0"/>
    <s v="기타운영비:부서별"/>
    <n v="4241130"/>
    <s v="교육훈련비"/>
    <s v="NDZ251431"/>
    <n v="500000"/>
    <n v="4"/>
    <n v="1"/>
    <n v="2230000"/>
  </r>
  <r>
    <x v="0"/>
    <s v="D"/>
    <s v="RC융합대학"/>
    <s v="8639"/>
    <s v="[D-3]"/>
    <s v="[D-3]데이터기반 자기주도 전공진로 설계 지원"/>
    <s v="다. 맞춤형 진단을 통한 전공·교양 설계 고도화"/>
    <s v="검사 결과를 활용한 교양 교과 재구조화 및 환류 체계 구축"/>
    <s v="전공탐색 및 필수교양 교과목 및 커리큘럼 혁신 재구조화 연구"/>
    <s v="진단검사 결과 기반 기초 교양 교과목 커리큘럼 개선 연구(2027)"/>
    <x v="4"/>
    <m/>
    <e v="#N/A"/>
    <m/>
    <m/>
    <m/>
    <m/>
    <m/>
    <m/>
  </r>
  <r>
    <x v="0"/>
    <s v="E"/>
    <s v="교무팀"/>
    <s v="8631"/>
    <s v="[E-1]"/>
    <s v="[E-1]교원 인사제도 및 학과평가 체계 개선"/>
    <s v="가. 교원 인사제도 개선"/>
    <s v="JA교원 확대"/>
    <s v="교육 및 연구 융합활성화를 위한 JA교원 임용 및 관련 규정 개정"/>
    <s v="TFT 운영 등 희의 진행"/>
    <x v="0"/>
    <s v="기타운영비:부서별"/>
    <n v="4241130"/>
    <s v="운영비"/>
    <s v="NDZ251511"/>
    <n v="30000"/>
    <n v="20"/>
    <n v="5"/>
    <n v="2970000"/>
  </r>
  <r>
    <x v="0"/>
    <s v="E"/>
    <s v="혁신전략기획팀"/>
    <s v="8621"/>
    <s v="[E-1]"/>
    <s v="[E-1]교원 인사제도 및 학과평가 체계 개선"/>
    <s v="나. 학부(과) 성과평가제도 개선"/>
    <m/>
    <m/>
    <m/>
    <x v="0"/>
    <s v="기타운영비:부서별"/>
    <n v="4241130"/>
    <s v="운영비"/>
    <s v="NDZ251511"/>
    <n v="1000000"/>
    <n v="1"/>
    <n v="1"/>
    <n v="1500000"/>
  </r>
  <r>
    <x v="0"/>
    <s v="E"/>
    <s v="혁신전략기획팀"/>
    <s v="8621"/>
    <s v="[E-2]"/>
    <s v="[E-2]디지털 기반 교육자원 재구조화"/>
    <s v="가. 공유공간 확대를 통한 운영 효율화"/>
    <m/>
    <m/>
    <m/>
    <x v="4"/>
    <m/>
    <m/>
    <m/>
    <m/>
    <m/>
    <m/>
    <m/>
    <m/>
  </r>
  <r>
    <x v="0"/>
    <s v="E"/>
    <s v="미래평생교육원"/>
    <s v="8725"/>
    <s v="[E-2]"/>
    <s v="[E-2]디지털 기반 교육자원 재구조화"/>
    <s v="나. 수요자 중심의 교육환경 개선"/>
    <s v="교육수요자만족도조사 반영"/>
    <s v="교양체육공간 개선"/>
    <s v="수영장 수전공사"/>
    <x v="3"/>
    <s v="건축물관리비:기타"/>
    <n v="4211402"/>
    <s v="개선비"/>
    <s v="NDZ251523"/>
    <n v="30000000"/>
    <n v="1"/>
    <n v="1"/>
    <n v="30000000"/>
  </r>
  <r>
    <x v="0"/>
    <s v="E"/>
    <s v="미래대학혁신지원사업단"/>
    <n v="8719"/>
    <s v="[E-2]"/>
    <s v="[E-2]디지털 기반 교육자원 재구조화"/>
    <s v="나. 수요자 중심의 교육환경 개선"/>
    <s v="간호학과 실습실 개선지원"/>
    <s v="간호학과 실습실 개선지원"/>
    <s v="간호학과 실습실 개선지원"/>
    <x v="3"/>
    <s v="교육용기계기구구입지출"/>
    <n v="1314901"/>
    <s v="개선비"/>
    <s v="NDZ251523"/>
    <n v="76000000"/>
    <n v="1"/>
    <n v="1"/>
    <n v="76000000"/>
  </r>
  <r>
    <x v="0"/>
    <s v="E"/>
    <s v="정보통신팀"/>
    <n v="8693"/>
    <s v="[E-2]"/>
    <s v="[E-2]디지털 기반 교육자원 재구조화"/>
    <s v="나. 수요자 중심의 교육환경 개선"/>
    <s v="IP기반 통합 커뮤니케이션 인프라 전환 구축"/>
    <s v="기존 하이브리드(TDM/IP)  통신 인프라를_x000a_학생 수요 중심의 ip기반 통합 커뮤니케이션 플랫폼으로 전환"/>
    <s v="ip기반 통합 커뮤니케이션 플랫폼 구축비용"/>
    <x v="3"/>
    <s v="업무용기계기구구입지출"/>
    <n v="1314903"/>
    <s v="개선비"/>
    <s v="NDZ251523"/>
    <n v="500000000"/>
    <n v="1"/>
    <n v="1"/>
    <n v="500000000"/>
  </r>
  <r>
    <x v="0"/>
    <s v="E"/>
    <s v="안전관리팀"/>
    <s v="8673"/>
    <s v="[E-2]"/>
    <s v="[E-2]디지털 기반 교육자원 재구조화"/>
    <s v="나. 수요자 중심의 교육환경 개선"/>
    <s v="연구공간개선"/>
    <s v="연구공간개선"/>
    <s v="연구공간개선(흄후드, 테이블등)"/>
    <x v="3"/>
    <s v="건축물관리비:기타"/>
    <n v="4211402"/>
    <s v="개선비"/>
    <s v="NDZ251523"/>
    <n v="5500000"/>
    <n v="1"/>
    <n v="1"/>
    <n v="5500000"/>
  </r>
  <r>
    <x v="0"/>
    <s v="E"/>
    <s v="안전관리팀"/>
    <s v="8673"/>
    <s v="[E-2]"/>
    <s v="[E-2]디지털 기반 교육자원 재구조화"/>
    <s v="나. 수요자 중심의 교육환경 개선"/>
    <s v="연구공간개선"/>
    <s v="연구공간개선"/>
    <s v="연구공간개선(흄후드, 테이블등)"/>
    <x v="3"/>
    <s v="소모품비:각부서"/>
    <n v="4223401"/>
    <s v="개선비"/>
    <s v="NDZ251523"/>
    <n v="7160000"/>
    <n v="1"/>
    <n v="1"/>
    <n v="7160000"/>
  </r>
  <r>
    <x v="0"/>
    <s v="E"/>
    <s v="안전관리팀"/>
    <s v="8673"/>
    <s v="[E-2]"/>
    <s v="[E-2]디지털 기반 교육자원 재구조화"/>
    <s v="나. 수요자 중심의 교육환경 개선"/>
    <s v="연구공간개선"/>
    <s v="연구공간개선"/>
    <s v="연구공간개선(흄후드, 테이블등)"/>
    <x v="3"/>
    <s v="교육용비품구입지출"/>
    <n v="1315901"/>
    <s v="개선비"/>
    <s v="NDZ251523"/>
    <n v="14520000"/>
    <n v="1"/>
    <n v="1"/>
    <n v="14520000"/>
  </r>
  <r>
    <x v="0"/>
    <s v="E"/>
    <s v="문헌정보팀"/>
    <n v="8692"/>
    <s v="[E-2]"/>
    <s v="[E-2]디지털 기반 교육자원 재구조화"/>
    <s v="나. 수요자 중심의 교육환경 개선"/>
    <m/>
    <m/>
    <m/>
    <x v="3"/>
    <s v="업무용기계기구구입지출"/>
    <n v="1315901"/>
    <s v="기자재구입비"/>
    <s v="NDZ251523"/>
    <m/>
    <m/>
    <m/>
    <n v="100000000"/>
  </r>
  <r>
    <x v="0"/>
    <s v="E"/>
    <s v="시설관리팀"/>
    <s v="8671"/>
    <s v="[E-2]"/>
    <s v="[E-2]디지털 기반 교육자원 재구조화"/>
    <s v="나. 수요자 중심의 교육환경 개선"/>
    <m/>
    <m/>
    <s v="스포츠센터 실내체육관 지붕 보수공사 - 지붕"/>
    <x v="3"/>
    <s v="건축물관리비:기타"/>
    <n v="4211402"/>
    <s v="개선비"/>
    <s v="NDZ251523"/>
    <n v="400000000"/>
    <n v="1"/>
    <n v="1"/>
    <n v="400000000"/>
  </r>
  <r>
    <x v="0"/>
    <s v="E"/>
    <s v="시설관리팀"/>
    <s v="8671"/>
    <s v="[E-2]"/>
    <s v="[E-2]디지털 기반 교육자원 재구조화"/>
    <s v="나. 수요자 중심의 교육환경 개선"/>
    <m/>
    <m/>
    <s v="스포츠센터 실내체육관 지붕 보수공사 - 바닥 에어로빅실 등"/>
    <x v="3"/>
    <s v="건축물관리비:기타"/>
    <n v="4211402"/>
    <s v="개선비"/>
    <s v="NDZ251523"/>
    <n v="400000000"/>
    <n v="1"/>
    <n v="1"/>
    <n v="72000000"/>
  </r>
  <r>
    <x v="0"/>
    <s v="E"/>
    <s v="미래대학혁신지원사업단"/>
    <n v="8719"/>
    <s v="[E-2]"/>
    <s v="[E-2]디지털 기반 교육자원 재구조화"/>
    <s v="나. 수요자 중심의 교육환경 개선"/>
    <s v="환경개선"/>
    <s v="사업단 운영비"/>
    <m/>
    <x v="3"/>
    <s v="일반용역비:부서별"/>
    <n v="4241130"/>
    <m/>
    <s v="NDZ251523"/>
    <n v="70000000"/>
    <n v="1"/>
    <n v="1"/>
    <n v="37537780"/>
  </r>
  <r>
    <x v="0"/>
    <s v="E"/>
    <s v="미래대학혁신지원사업단"/>
    <n v="8719"/>
    <s v="[E-2]"/>
    <s v="[E-2]디지털 기반 교육자원 재구조화"/>
    <s v="나. 수요자 중심의 교육환경 개선"/>
    <s v="환경개선"/>
    <s v="사업단 운영비"/>
    <m/>
    <x v="5"/>
    <s v="교육용기계기구구입지출"/>
    <n v="1314901"/>
    <m/>
    <s v="NDZ251523"/>
    <n v="77017652"/>
    <n v="1"/>
    <n v="1"/>
    <n v="31323000"/>
  </r>
  <r>
    <x v="0"/>
    <s v="E"/>
    <s v="IR센터"/>
    <s v="8623"/>
    <s v="[E-3]"/>
    <s v="[E-3]실시간 성과 분석 환류 IR시스템 구축"/>
    <s v="가. IR 거버넌스 및 운영 체계 확립"/>
    <s v="IR운영계획  및 전략 로드맵 개선/조정"/>
    <s v="IR운영계획 및 전략 로드맵 개선 및 조정 등"/>
    <s v="2025 운영 결과 환류, 교육정책 검토/반영, 의견수렴 등 / IR센터&amp;관련 기관(부서) 협업"/>
    <x v="0"/>
    <s v="기타운영비:부서별"/>
    <n v="4241130"/>
    <s v="운영비"/>
    <s v="NDZ251531"/>
    <n v="300000"/>
    <n v="1"/>
    <n v="1"/>
    <n v="1500000"/>
  </r>
  <r>
    <x v="0"/>
    <s v="E"/>
    <s v="IR센터"/>
    <s v="8623"/>
    <s v="[E-3]"/>
    <s v="[E-3]실시간 성과 분석 환류 IR시스템 구축"/>
    <s v="가. IR 거버넌스 및 운영 체계 확립"/>
    <s v="IR체계 구축 및 성과관리제도 정비"/>
    <s v="IR체계 구축 및 성과관리제도 정비, 개선 등"/>
    <s v="전담인력 전문성 강화 프로그램(전담인력 전문성 강화 프로그램1,500,000원), 전문교육 지원(사업 인력 3명*800,000원=2,400,000원) 등"/>
    <x v="0"/>
    <s v="기타운영비:부서별"/>
    <n v="4241130"/>
    <s v="교육훈련비"/>
    <s v="NDZ251531"/>
    <n v="1200000"/>
    <n v="1"/>
    <n v="1"/>
    <n v="3900000"/>
  </r>
  <r>
    <x v="0"/>
    <s v="E"/>
    <s v="IR센터"/>
    <s v="8623"/>
    <s v="[E-3]"/>
    <s v="[E-3]실시간 성과 분석 환류 IR시스템 구축"/>
    <s v="나. 데이터 통합 및 시각화 기반 성과 분석"/>
    <s v="데이터 수집·관리, 성과분석 및 정책개발 등"/>
    <s v="성과분석 및 정책 개발을 위한 의사결정 지원"/>
    <s v="수요조사(의견수렴), 분석과제 설정, IR 프로젝트 운영(협업 프로젝트 포함) 등"/>
    <x v="0"/>
    <s v="기타운영비:부서별"/>
    <n v="4241130"/>
    <s v="운영비"/>
    <s v="NDZ251531"/>
    <n v="3000000"/>
    <n v="1"/>
    <n v="1"/>
    <n v="7700000"/>
  </r>
  <r>
    <x v="0"/>
    <s v="E"/>
    <s v="IR센터"/>
    <s v="8623"/>
    <s v="[E-3]"/>
    <s v="[E-3]실시간 성과 분석 환류 IR시스템 구축"/>
    <s v="나. 데이터 통합 및 시각화 기반 성과 분석"/>
    <s v="데이터 수집·관리, 성과분석 및 정책개발 등"/>
    <s v="성과분석 및 정책 개발을 위한 의사결정 지원"/>
    <s v="데이터 수집·분석, 활용 관련 전문교육 등"/>
    <x v="0"/>
    <s v="일반용역비:부서별"/>
    <n v="4233201"/>
    <s v="용역비"/>
    <s v="NDZ251531"/>
    <n v="85000"/>
    <n v="1"/>
    <n v="2"/>
    <n v="5500000"/>
  </r>
  <r>
    <x v="0"/>
    <s v="E"/>
    <s v="IR센터"/>
    <s v="8623"/>
    <s v="[E-3]"/>
    <s v="[E-3]실시간 성과 분석 환류 IR시스템 구축"/>
    <s v="나. 데이터 통합 및 시각화 기반 성과 분석"/>
    <s v="IR시스템 구축·운영을 위한 전산 인프라 점검 등"/>
    <s v="IR시스템 구축·운영을 위한 전산 인프라(GPU, 스토리지) 점검 등을 위한 출장"/>
    <s v="IR시스템 운영 전산 인프라 점검 등 관련 출장비, 숙박비 지원 등"/>
    <x v="0"/>
    <s v="기타운영비:부서별"/>
    <n v="4241130"/>
    <s v="출장비"/>
    <s v="NDZ251531"/>
    <n v="0"/>
    <n v="1"/>
    <n v="1"/>
    <n v="1180000"/>
  </r>
  <r>
    <x v="0"/>
    <s v="E"/>
    <s v="IR센터"/>
    <s v="8623"/>
    <s v="[E-3]"/>
    <s v="[E-3]실시간 성과 분석 환류 IR시스템 구축"/>
    <s v="나. 데이터 통합 및 시각화 기반 성과 분석"/>
    <s v="데이터 수집·관리, 성과분석 및 정책개발 등"/>
    <s v="데이터 수집·관리, 성과분석 및 공유 지원 등"/>
    <s v="IR센터 이전 비품 구입 등"/>
    <x v="3"/>
    <s v="업무용비품구입지출"/>
    <n v="1315903"/>
    <s v="환경개선비"/>
    <s v="NDZ251533"/>
    <n v="0"/>
    <n v="1"/>
    <n v="1"/>
    <n v="4000000"/>
  </r>
  <r>
    <x v="0"/>
    <s v="E"/>
    <s v="IR센터"/>
    <s v="8623"/>
    <s v="[E-3]"/>
    <s v="[E-3]실시간 성과 분석 환류 IR시스템 구축"/>
    <s v="나. 데이터 통합 및 시각화 기반 성과 분석"/>
    <s v="IR시스템 구축·운영"/>
    <s v="IR시스템 구축(2차년도), 운영 및 성과관리 지원"/>
    <s v="SW개발자 기자재 지원(노트북 3,993,000원), IR센터 이전 기자재 구입 등"/>
    <x v="3"/>
    <s v="업무용기계기구구입지출"/>
    <n v="1314903"/>
    <s v="기자재구입비"/>
    <s v="NDZ251533"/>
    <n v="20000000"/>
    <n v="1"/>
    <n v="1"/>
    <n v="9000000"/>
  </r>
  <r>
    <x v="0"/>
    <s v="E"/>
    <s v="IR센터"/>
    <s v="8623"/>
    <s v="[E-3]"/>
    <s v="[E-3]실시간 성과 분석 환류 IR시스템 구축"/>
    <s v="다. 실시간 환류 및 공유 시스템 구축"/>
    <s v="교육수요 및 교육만족도 조사 수행"/>
    <s v="조사 업체 선정 및 조사 실시"/>
    <s v="교육수요 및 만족도 조사 용역비, 부서 성과평가 용역비"/>
    <x v="0"/>
    <s v="일반용역비:부서별"/>
    <n v="4233201"/>
    <s v="용역비"/>
    <s v="NDZ251531"/>
    <n v="3000000"/>
    <n v="1"/>
    <n v="1"/>
    <n v="75000000"/>
  </r>
  <r>
    <x v="0"/>
    <s v="E"/>
    <s v="IR센터"/>
    <s v="8623"/>
    <s v="[E-3]"/>
    <s v="[E-3]실시간 성과 분석 환류 IR시스템 구축"/>
    <s v="다. 실시간 환류 및 공유 시스템 구축"/>
    <s v="교육수요 및 교육만족도 조사 결과 분석"/>
    <s v="조사결과 분석 환류 체계 운영"/>
    <s v="환류 체계 운영을 위한 제반 사업 수행비, 부서 성과평가 운영비"/>
    <x v="0"/>
    <s v="기타운영비:부서별"/>
    <n v="4241130"/>
    <s v="운영비"/>
    <s v="NDZ251531"/>
    <n v="2000000"/>
    <n v="1"/>
    <n v="1"/>
    <n v="4380000"/>
  </r>
  <r>
    <x v="0"/>
    <s v="E"/>
    <s v="IR센터"/>
    <s v="8623"/>
    <s v="[E-3]"/>
    <s v="[E-3]실시간 성과 분석 환류 IR시스템 구축"/>
    <s v="다. 실시간 환류 및 공유 시스템 구축"/>
    <s v="실시간 환류 및 공유"/>
    <s v="데이터 및 성과 공유, 확산 체계 정착 / 홍보, 행사"/>
    <s v="성과관리, 모니터링, 공유/확산"/>
    <x v="0"/>
    <s v="기타운영비:부서별"/>
    <m/>
    <s v="행사비"/>
    <s v="NDZ251531"/>
    <m/>
    <m/>
    <m/>
    <n v="2000000"/>
  </r>
  <r>
    <x v="0"/>
    <s v="E"/>
    <s v="IR센터"/>
    <s v="8623"/>
    <s v="[E-3]"/>
    <s v="[E-3]실시간 성과 분석 환류 IR시스템 구축"/>
    <s v="다. 실시간 환류 및 공유 시스템 구축"/>
    <s v="실시간 환류 및 공유"/>
    <s v="연구인력지원★"/>
    <s v="★(전담인력 1인) 대학혁신지원사업팀 배정(감원정)"/>
    <x v="2"/>
    <s v="비전임교원인건비"/>
    <n v="4118701"/>
    <s v="급여"/>
    <s v="NDZ251004"/>
    <m/>
    <m/>
    <m/>
    <n v="38018400"/>
  </r>
  <r>
    <x v="1"/>
    <s v="F"/>
    <s v="미래대학혁신지원사업단"/>
    <n v="8719"/>
    <s v="[F-1]"/>
    <s v="[F-1]지역대학 공유·협력 활성화 및 성과 확산"/>
    <s v="가. 대학 간 교육과정 공유 "/>
    <m/>
    <m/>
    <m/>
    <x v="0"/>
    <s v="기타운영비:부서별"/>
    <n v="4241130"/>
    <m/>
    <m/>
    <n v="0"/>
    <n v="0"/>
    <n v="0"/>
    <n v="0"/>
  </r>
  <r>
    <x v="1"/>
    <s v="F"/>
    <s v="미래대학혁신지원사업단"/>
    <n v="8719"/>
    <s v="[F-1]"/>
    <s v="[F-1]지역대학 공유·협력 활성화 및 성과 확산"/>
    <s v="나. 인프라 공유·협력 체계 구축"/>
    <m/>
    <m/>
    <m/>
    <x v="0"/>
    <s v="기타운영비:부서별"/>
    <n v="4241130"/>
    <m/>
    <m/>
    <n v="0"/>
    <n v="0"/>
    <n v="0"/>
    <n v="0"/>
  </r>
  <r>
    <x v="1"/>
    <s v="F"/>
    <s v="경력개발팀"/>
    <s v="8711"/>
    <s v="[F-1]"/>
    <s v="[F-1]지역대학 공유·협력 활성화 및 성과 확산"/>
    <s v="다. 공유·협력 체계 효율화 방안 모색"/>
    <m/>
    <m/>
    <m/>
    <x v="0"/>
    <s v="기타운영비:부서별"/>
    <n v="4241130"/>
    <m/>
    <s v="NDZ2511611"/>
    <n v="3000000"/>
    <n v="1"/>
    <n v="1"/>
    <n v="3000000"/>
  </r>
  <r>
    <x v="1"/>
    <s v="F"/>
    <s v="미래대학혁신지원사업단"/>
    <n v="8719"/>
    <s v="[F-1]"/>
    <s v="[F-1]지역대학 공유·협력 활성화 및 성과 확산"/>
    <s v="다. 공유·협력 체계 효율화 방안 모색"/>
    <s v="포럼운영"/>
    <s v="영역벌포럼"/>
    <s v="(시기및구성검토중)영역별혁신포럼(9월~1월) 입찰용역비"/>
    <x v="0"/>
    <s v="일반용역비:부서별"/>
    <n v="4233201"/>
    <s v="행사비"/>
    <s v="NDZ251611"/>
    <n v="10000000"/>
    <n v="1"/>
    <n v="6"/>
    <n v="55000000"/>
  </r>
  <r>
    <x v="1"/>
    <s v="F"/>
    <s v="미래대학혁신지원사업단"/>
    <n v="8719"/>
    <s v="[F-1]"/>
    <s v="[F-1]지역대학 공유·협력 활성화 및 성과 확산"/>
    <s v="다. 공유·협력 체계 효율화 방안 모색"/>
    <s v="포럼운영"/>
    <s v="영역벌포럼"/>
    <s v="운영비 배정(전문가활용비 등)"/>
    <x v="0"/>
    <s v="기타운영비:부서별"/>
    <n v="4241130"/>
    <s v="운영비"/>
    <s v="NDZ251611"/>
    <m/>
    <m/>
    <m/>
    <n v="10000000"/>
  </r>
  <r>
    <x v="1"/>
    <s v="F"/>
    <s v="미래대학혁신지원사업단"/>
    <n v="8719"/>
    <s v="[F-1]"/>
    <s v="[F-1]지역대학 공유·협력 활성화 및 성과 확산"/>
    <s v="다. 공유·협력 체계 효율화 방안 모색"/>
    <s v="성과확산 지원"/>
    <s v="성과확산지원"/>
    <s v="타대학 성과확산참여지원, 권역별포럼참석지원, 뉴스레터제작"/>
    <x v="0"/>
    <s v="기타운영비:부서별"/>
    <n v="4241130"/>
    <s v="운영비"/>
    <s v="NDZ251611"/>
    <n v="3200000"/>
    <n v="1"/>
    <n v="1"/>
    <n v="5000000"/>
  </r>
  <r>
    <x v="1"/>
    <s v="F"/>
    <s v="미래대학혁신지원사업단"/>
    <n v="8719"/>
    <s v="[F-1]"/>
    <s v="[F-1]지역대학 공유·협력 활성화 및 성과 확산"/>
    <s v="다. 공유·협력 체계 효율화 방안 모색"/>
    <s v="성과확산 지원"/>
    <s v="성과확산지원"/>
    <s v="공모전운영(참여수기, 캐릭터)"/>
    <x v="0"/>
    <s v="기타운영비:부서별"/>
    <n v="4241130"/>
    <s v="운영비"/>
    <s v="NDZ251611"/>
    <m/>
    <m/>
    <m/>
    <n v="1400000"/>
  </r>
  <r>
    <x v="1"/>
    <s v="F"/>
    <s v="미래대학혁신지원사업단"/>
    <n v="8719"/>
    <s v="[F-1]"/>
    <s v="[F-1]지역대학 공유·협력 활성화 및 성과 확산"/>
    <s v="다. 공유·협력 체계 효율화 방안 모색"/>
    <s v="성과확산 지원"/>
    <s v="성과확산지원"/>
    <s v="공모전운영(심사평가비)"/>
    <x v="0"/>
    <s v="교원기타수당"/>
    <n v="4113401"/>
    <s v="전문가활용비"/>
    <s v="NDZ251611"/>
    <m/>
    <m/>
    <m/>
    <n v="600000"/>
  </r>
  <r>
    <x v="1"/>
    <s v="F"/>
    <s v="미래대학혁신지원사업단"/>
    <n v="8719"/>
    <s v="[F-1]"/>
    <s v="[F-1]지역대학 공유·협력 활성화 및 성과 확산"/>
    <s v="다. 공유·협력 체계 효율화 방안 모색"/>
    <s v="성과확산 지원"/>
    <s v="성과확산지원"/>
    <s v="공모전운영(시상금)"/>
    <x v="1"/>
    <s v="교외장학금"/>
    <n v="4321701"/>
    <s v="시상금"/>
    <s v="NDZ251615"/>
    <m/>
    <m/>
    <m/>
    <n v="3000000"/>
  </r>
  <r>
    <x v="1"/>
    <s v="F"/>
    <s v="미래대학혁신지원사업단"/>
    <n v="8719"/>
    <s v="[F-1]"/>
    <s v="[F-1]지역대학 공유·협력 활성화 및 성과 확산"/>
    <s v="다. 공유·협력 체계 효율화 방안 모색"/>
    <s v="성과확산 지원"/>
    <s v="서포터즈 운영"/>
    <s v="와글와글 홍보 및 운영"/>
    <x v="0"/>
    <s v="기타운영비:부서별"/>
    <n v="4241130"/>
    <s v="기념품비"/>
    <s v="NDZ251611"/>
    <n v="3000"/>
    <n v="1"/>
    <n v="1000"/>
    <n v="3000000"/>
  </r>
  <r>
    <x v="1"/>
    <s v="F"/>
    <s v="미래대학혁신지원사업단"/>
    <n v="8719"/>
    <s v="[F-1]"/>
    <s v="[F-1]지역대학 공유·협력 활성화 및 성과 확산"/>
    <s v="다. 공유·협력 체계 효율화 방안 모색"/>
    <s v="성과확산 지원"/>
    <s v="서포터즈 운영"/>
    <s v="와글와글 홍보 및 운영"/>
    <x v="0"/>
    <s v="기타운영비:부서별"/>
    <n v="4241130"/>
    <s v="학생교육활동지원비"/>
    <s v="NDZ251611"/>
    <n v="150000"/>
    <n v="2"/>
    <n v="5"/>
    <n v="1500000"/>
  </r>
  <r>
    <x v="1"/>
    <s v="F"/>
    <s v="미래대학혁신지원사업단"/>
    <n v="8719"/>
    <s v="[F-1]"/>
    <s v="[F-1]지역대학 공유·협력 활성화 및 성과 확산"/>
    <s v="다. 공유·협력 체계 효율화 방안 모색"/>
    <s v="성과확산 지원"/>
    <s v="서포터즈 운영"/>
    <s v="와글와글 운영 장학금"/>
    <x v="1"/>
    <s v="교외장학금"/>
    <n v="4321701"/>
    <s v="활동지원금"/>
    <s v="NDZ251615"/>
    <n v="440000"/>
    <n v="5"/>
    <n v="2"/>
    <n v="4400000"/>
  </r>
  <r>
    <x v="1"/>
    <s v="F"/>
    <s v="인권센터"/>
    <s v="8655"/>
    <s v="[F-2]"/>
    <s v="[F-2]스마트 ESG 캠퍼스 조성"/>
    <s v="가. 안전한 캠퍼스 조성"/>
    <s v="인권 보호 안전망 구축"/>
    <s v="인권센터 프로그램 운영"/>
    <s v="위원회 개최 회의비(심의위원회, 소위원회, 재심위원회, 운영위원회 등)"/>
    <x v="0"/>
    <s v="기타운영비:부서별"/>
    <n v="4241130"/>
    <s v="운영비"/>
    <s v="NDZ251621"/>
    <n v="30000"/>
    <n v="8"/>
    <n v="10"/>
    <n v="2400000"/>
  </r>
  <r>
    <x v="1"/>
    <s v="F"/>
    <s v="인권센터"/>
    <s v="8655"/>
    <s v="[F-2]"/>
    <s v="[F-2]스마트 ESG 캠퍼스 조성"/>
    <s v="가. 안전한 캠퍼스 조성"/>
    <s v="인권 보호 안전망 구축"/>
    <s v="인권센터 프로그램 운영"/>
    <s v="위원회 외부전문가 수당(자문료)"/>
    <x v="0"/>
    <s v="기타운영비:부서별"/>
    <n v="4241130"/>
    <s v="전문가활용비"/>
    <s v="NDZ251621"/>
    <n v="300000"/>
    <n v="2"/>
    <n v="2"/>
    <n v="1200000"/>
  </r>
  <r>
    <x v="1"/>
    <s v="F"/>
    <s v="인권센터"/>
    <s v="8655"/>
    <s v="[F-2]"/>
    <s v="[F-2]스마트 ESG 캠퍼스 조성"/>
    <s v="가. 안전한 캠퍼스 조성"/>
    <s v="인권 보호 안전망 구축"/>
    <s v="인권센터 프로그램 운영"/>
    <s v="사건 조사 업무 회의비"/>
    <x v="0"/>
    <s v="기타운영비:부서별"/>
    <n v="4241130"/>
    <s v="운영비"/>
    <s v="NDZ251621"/>
    <n v="30000"/>
    <n v="3"/>
    <n v="10"/>
    <n v="900000"/>
  </r>
  <r>
    <x v="1"/>
    <s v="F"/>
    <s v="인권센터"/>
    <s v="8655"/>
    <s v="[F-2]"/>
    <s v="[F-2]스마트 ESG 캠퍼스 조성"/>
    <s v="가. 안전한 캠퍼스 조성"/>
    <s v="인권 보호 안전망 구축"/>
    <s v="인권센터 프로그램 운영"/>
    <s v="폭력예방교육 강사료"/>
    <x v="0"/>
    <s v="기타운영비:부서별"/>
    <n v="4241130"/>
    <s v="전문가활용비"/>
    <s v="NDZ251621"/>
    <n v="300000"/>
    <n v="1"/>
    <n v="7"/>
    <n v="2100000"/>
  </r>
  <r>
    <x v="1"/>
    <s v="F"/>
    <s v="인권센터"/>
    <s v="8655"/>
    <s v="[F-2]"/>
    <s v="[F-2]스마트 ESG 캠퍼스 조성"/>
    <s v="가. 안전한 캠퍼스 조성"/>
    <s v="인권 보호 안전망 구축"/>
    <s v="폭력예방교육 이수율 향상을 위한 이벤트 실시"/>
    <s v="운영회의"/>
    <x v="0"/>
    <s v="기타운영비:부서별"/>
    <n v="4241130"/>
    <s v="운영비"/>
    <s v="NDZ251621"/>
    <n v="30000"/>
    <n v="3"/>
    <n v="2"/>
    <n v="180000"/>
  </r>
  <r>
    <x v="1"/>
    <s v="F"/>
    <s v="인권센터"/>
    <s v="8655"/>
    <s v="[F-2]"/>
    <s v="[F-2]스마트 ESG 캠퍼스 조성"/>
    <s v="가. 안전한 캠퍼스 조성"/>
    <s v="인권 보호 안전망 구축"/>
    <s v="폭력예방교육 이수율 향상을 위한 이벤트 실시"/>
    <s v="참가자 기념품"/>
    <x v="0"/>
    <s v="기타운영비:부서별"/>
    <n v="4241130"/>
    <s v="기념품비"/>
    <s v="NDZ251621"/>
    <n v="40000"/>
    <n v="20"/>
    <n v="2"/>
    <n v="1600000"/>
  </r>
  <r>
    <x v="1"/>
    <s v="F"/>
    <s v="인권센터"/>
    <s v="8655"/>
    <s v="[F-2]"/>
    <s v="[F-2]스마트 ESG 캠퍼스 조성"/>
    <s v="가. 안전한 캠퍼스 조성"/>
    <s v="인권 보호 안전망 구축"/>
    <s v="폭력예방교육 이수율 향상을 위한 이벤트 실시"/>
    <s v="인쇄제본비(현수막, 포스터 등 홍보물 제작비)"/>
    <x v="0"/>
    <s v="기타운영비:부서별"/>
    <n v="4241130"/>
    <s v="운영비"/>
    <s v="NDZ251621"/>
    <n v="300000"/>
    <n v="1"/>
    <n v="2"/>
    <n v="600000"/>
  </r>
  <r>
    <x v="1"/>
    <s v="F"/>
    <s v="인권센터"/>
    <s v="8655"/>
    <s v="[F-2]"/>
    <s v="[F-2]스마트 ESG 캠퍼스 조성"/>
    <s v="가. 안전한 캠퍼스 조성"/>
    <s v="인권 보호 안전망 구축"/>
    <s v="인권센터 프로그램 운영"/>
    <s v="인권보호를 위한 리플렛 제작비"/>
    <x v="0"/>
    <s v="기타운영비:부서별"/>
    <n v="4241130"/>
    <s v="운영비"/>
    <s v="NDZ251621"/>
    <n v="400"/>
    <n v="1500"/>
    <n v="1"/>
    <n v="600000"/>
  </r>
  <r>
    <x v="1"/>
    <s v="F"/>
    <s v="안전관리팀"/>
    <s v="8673"/>
    <s v="[F-2]"/>
    <s v="[F-2]스마트 ESG 캠퍼스 조성"/>
    <s v="가. 안전한 캠퍼스 조성"/>
    <s v="안전한 캠퍼스 조성을 위한 화재감지기 재구축"/>
    <m/>
    <s v="화재감지기 교체 공사로 인한 지속적인 안전의식 향상 증진[미래관]"/>
    <x v="3"/>
    <s v="건축물관리비:기타"/>
    <n v="4211402"/>
    <s v="개선비"/>
    <s v="NDZ251623"/>
    <n v="60000000"/>
    <n v="1"/>
    <n v="1"/>
    <n v="60000000"/>
  </r>
  <r>
    <x v="1"/>
    <s v="F"/>
    <s v="원주박물관"/>
    <s v="8752"/>
    <s v="[F-2]"/>
    <s v="[F-2]스마트 ESG 캠퍼스 조성"/>
    <s v="나. 문화·소통·참여를 통한 사회 기여"/>
    <s v="특별전시 및 문화행사(기획전시) 개최"/>
    <s v="특별전시 및 문화행사(기획전시) 개최"/>
    <s v="특별전시 1회, 기획전시 1회 개최"/>
    <x v="0"/>
    <s v="기타운영비:부서별"/>
    <n v="4241130"/>
    <s v="운영비"/>
    <s v="NDZ251621"/>
    <n v="4750000"/>
    <n v="1"/>
    <n v="3"/>
    <n v="14250000"/>
  </r>
  <r>
    <x v="1"/>
    <s v="F"/>
    <s v="원주박물관"/>
    <s v="8752"/>
    <s v="[F-2]"/>
    <s v="[F-2]스마트 ESG 캠퍼스 조성"/>
    <s v="나. 문화·소통·참여를 통한 사회 기여"/>
    <s v="문화행사(기획전시 연계 작가초청 특강) 개최"/>
    <s v="문화행사(기획전시 연계 작가초청 특강) 개최"/>
    <s v="기획전시연계 작가초청 특강 1회 진행"/>
    <x v="0"/>
    <s v="기타운영비:부서별"/>
    <n v="4241130"/>
    <s v="전문가활용비"/>
    <s v="NDZ251621"/>
    <n v="450000"/>
    <n v="1"/>
    <n v="1"/>
    <n v="450000"/>
  </r>
  <r>
    <x v="1"/>
    <s v="F"/>
    <s v="원주박물관"/>
    <s v="8752"/>
    <s v="[F-2]"/>
    <s v="[F-2]스마트 ESG 캠퍼스 조성"/>
    <s v="나. 문화·소통·참여를 통한 사회 기여"/>
    <s v="문화행사(기획전시 및 기획전시 연계 작가초청 특강) 개최"/>
    <s v="문화행사(기획전시 및 기획전시 연계 작가초청 특강) 개최"/>
    <s v="기획전시 개람식 및 작가초청 특강 행사 진행"/>
    <x v="0"/>
    <s v="기타운영비:부서별"/>
    <n v="4241130"/>
    <s v="행사비"/>
    <s v="NDZ251621"/>
    <n v="150000"/>
    <n v="1"/>
    <n v="2"/>
    <n v="300000"/>
  </r>
  <r>
    <x v="1"/>
    <s v="F"/>
    <s v="대외협력팀"/>
    <s v="8627"/>
    <s v="[F-2]"/>
    <s v="[F-2]스마트 ESG 캠퍼스 조성"/>
    <s v="나. 문화·소통·참여를 통한 사회 기여"/>
    <s v="연세콘서트시리즈"/>
    <s v="연세콘서트시리즈"/>
    <s v="연세콘서트시리즈"/>
    <x v="0"/>
    <s v="기타운영비:부서별"/>
    <n v="4241130"/>
    <s v="행사비"/>
    <s v="NDZ251621"/>
    <n v="90000000"/>
    <n v="1"/>
    <n v="1"/>
    <n v="90000000"/>
  </r>
  <r>
    <x v="1"/>
    <s v="F"/>
    <s v="미래대학혁신지원사업단"/>
    <n v="8719"/>
    <s v="[F-2]"/>
    <s v="[F-2]스마트 ESG 캠퍼스 조성"/>
    <s v="나. 문화·소통·참여를 통한 사회 기여"/>
    <s v="장학금지원"/>
    <s v="장학금지원"/>
    <s v="장학금지원"/>
    <x v="1"/>
    <s v="교외장학금"/>
    <n v="4321701"/>
    <s v="장학금"/>
    <s v="NDZ251625"/>
    <n v="86000000"/>
    <n v="1"/>
    <n v="1"/>
    <n v="78057280"/>
  </r>
  <r>
    <x v="1"/>
    <s v="F"/>
    <s v="미래평생교육원"/>
    <s v="8725"/>
    <s v="[F-2]"/>
    <s v="[F-2]스마트 ESG 캠퍼스 조성"/>
    <s v="나. 문화·소통·참여를 통한 사회 기여"/>
    <s v="미래캠퍼스 자체행사"/>
    <s v="연세아트위크 행사진행"/>
    <s v="연세아트위크 행사운영 용역"/>
    <x v="0"/>
    <s v="일반용역비:부서별"/>
    <n v="4233201"/>
    <s v="행사비"/>
    <s v="NDZ251621"/>
    <n v="150000000"/>
    <n v="1"/>
    <n v="1"/>
    <n v="150000000"/>
  </r>
  <r>
    <x v="1"/>
    <s v="F"/>
    <s v="미래대학혁신지원사업단"/>
    <n v="8719"/>
    <s v="[F-2]"/>
    <s v="[F-2]스마트 ESG 캠퍼스 조성"/>
    <s v="다. 운영체계 및 보고체계 정비"/>
    <s v="연구"/>
    <m/>
    <s v="(이월과업)발전계획연계 용역연구-2025미진행"/>
    <x v="0"/>
    <s v="일반용역비:부서별"/>
    <n v="4233201"/>
    <s v="용역비"/>
    <s v="NDZ251621"/>
    <n v="75900000"/>
    <n v="1"/>
    <n v="1"/>
    <n v="66000000"/>
  </r>
  <r>
    <x v="1"/>
    <s v="F"/>
    <s v="혁신전략기획팀"/>
    <s v="8621"/>
    <s v="[F-2]"/>
    <s v="[F-2]스마트 ESG 캠퍼스 조성"/>
    <s v="다. 운영체계 및 보고체계 정비"/>
    <s v="연구용역"/>
    <m/>
    <s v="발전계획연계 글로벌 이니셔티브 연구 용역"/>
    <x v="0"/>
    <s v="일반용역비:부서별"/>
    <n v="4233201"/>
    <s v="용역비"/>
    <s v="NDZ251621"/>
    <n v="110000000"/>
    <n v="1"/>
    <n v="1"/>
    <n v="110000000"/>
  </r>
  <r>
    <x v="1"/>
    <s v="F"/>
    <s v="인사총무팀"/>
    <s v="8651"/>
    <s v="[F-2]"/>
    <s v="[F-2]스마트 ESG 캠퍼스 조성"/>
    <s v="다. 운영체계 및 보고체계 정비"/>
    <s v="스마트 ESG캠퍼스 조성 사업 운영"/>
    <s v="직원 역량강화를 위한 직무 분석"/>
    <s v="직무기술서 작성 세미나 및 시스템 개발 회의 등 (1학기 871,000원 지출)"/>
    <x v="0"/>
    <s v="기타운영비:부서별"/>
    <n v="4241130"/>
    <s v="운영비"/>
    <s v="NDZ251621"/>
    <n v="50000"/>
    <n v="1"/>
    <n v="50"/>
    <n v="2500000"/>
  </r>
  <r>
    <x v="1"/>
    <s v="F"/>
    <s v="인사총무팀"/>
    <s v="8651"/>
    <s v="[F-2]"/>
    <s v="[F-2]스마트 ESG 캠퍼스 조성"/>
    <s v="다. 운영체계 및 보고체계 정비"/>
    <s v="스마트 ESG캠퍼스 조성 사업 운영"/>
    <s v="직원 역량강화를 위한 직무 분석"/>
    <s v="(직무기술서 작성 &amp; 직원역량강화) 운영 소모품(현수막 등) 및 보고서 인쇄 "/>
    <x v="0"/>
    <s v="기타운영비:부서별"/>
    <n v="4241130"/>
    <s v="운영비"/>
    <s v="NDZ251621"/>
    <n v="100000"/>
    <n v="1"/>
    <n v="20"/>
    <n v="2750000"/>
  </r>
  <r>
    <x v="1"/>
    <s v="F"/>
    <s v="인사총무팀"/>
    <s v="8651"/>
    <s v="[F-2]"/>
    <s v="[F-2]스마트 ESG 캠퍼스 조성"/>
    <s v="다. 운영체계 및 보고체계 정비"/>
    <s v="스마트 ESG캠퍼스 조성 사업 운영"/>
    <s v="직원 역량강화를 위한 직무 분석"/>
    <s v="직원역량 강화교육 강사료(외부/4시간)"/>
    <x v="0"/>
    <s v="기타운영비:부서별"/>
    <n v="4241130"/>
    <s v="전문가활용비"/>
    <s v="NDZ251621"/>
    <n v="100000"/>
    <n v="1"/>
    <n v="30"/>
    <n v="750000"/>
  </r>
  <r>
    <x v="1"/>
    <s v="F"/>
    <s v="인사총무팀"/>
    <s v="8651"/>
    <s v="[F-2]"/>
    <s v="[F-2]스마트 ESG 캠퍼스 조성"/>
    <s v="다. 운영체계 및 보고체계 정비"/>
    <s v="스마트 ESG캠퍼스 조성 사업 운영"/>
    <s v="직원 역량강화를 위한 직무 분석"/>
    <s v="직무기술서 등 작성 유관부서 확대 워크숍 운영 (1학기 4,040,000원 지출)"/>
    <x v="0"/>
    <s v="기타운영비:부서별"/>
    <n v="4241130"/>
    <s v="행사비"/>
    <s v="NDZ251621"/>
    <n v="160000"/>
    <n v="15"/>
    <n v="3"/>
    <n v="10000000"/>
  </r>
  <r>
    <x v="1"/>
    <s v="F"/>
    <s v="인사총무팀"/>
    <s v="8651"/>
    <s v="[F-2]"/>
    <s v="[F-2]스마트 ESG 캠퍼스 조성"/>
    <s v="다. 운영체계 및 보고체계 정비"/>
    <s v="스마트 ESG캠퍼스 조성 사업 운영"/>
    <s v="직원 역량강화를 위한 직무 분석"/>
    <s v="행정 커리어페스티벌(직원역량강화 교육) 운영(화목한 지식 런치 등) 25,000원*40명*5회"/>
    <x v="0"/>
    <s v="기타운영비:부서별"/>
    <n v="4241130"/>
    <s v="행사비"/>
    <s v="NDZ251621"/>
    <n v="40000"/>
    <n v="15"/>
    <n v="3"/>
    <n v="5000000"/>
  </r>
  <r>
    <x v="1"/>
    <s v="F"/>
    <s v="인사총무팀"/>
    <s v="8651"/>
    <s v="[F-2]"/>
    <s v="[F-2]스마트 ESG 캠퍼스 조성"/>
    <s v="다. 운영체계 및 보고체계 정비"/>
    <s v="스마트 ESG캠퍼스 조성 사업 운영"/>
    <s v="직원 역량강화를 위한 직무 분석"/>
    <s v="직무시스템 개발 자문료(내부 교원/10회)"/>
    <x v="0"/>
    <s v="교원기타수당"/>
    <n v="4113401"/>
    <s v="전문가활용비"/>
    <s v="NDZ251621"/>
    <n v="150000"/>
    <n v="1"/>
    <n v="10"/>
    <n v="1000000"/>
  </r>
  <r>
    <x v="1"/>
    <s v="F"/>
    <s v="미래융합교육혁신원"/>
    <s v="8701"/>
    <s v="[F-3]"/>
    <s v="[F-3]지속가능한 발전을 위한 글로벌 사회 혁신"/>
    <s v="가. SDGs 기반 글로벌 공동 수업 혁신"/>
    <s v="COIL(Collaborative Online International Learning)"/>
    <s v="COIL(Collaborative Online International Learning)"/>
    <s v="COIL 수업 운영 지원"/>
    <x v="0"/>
    <s v="기타운영비:부서별"/>
    <n v="4241130"/>
    <s v="교과운영지원비"/>
    <s v="NDZ251631"/>
    <n v="600000"/>
    <n v="3"/>
    <n v="2"/>
    <n v="3000000"/>
  </r>
  <r>
    <x v="1"/>
    <s v="F"/>
    <s v="미래융합교육혁신원"/>
    <s v="8701"/>
    <s v="[F-3]"/>
    <s v="[F-3]지속가능한 발전을 위한 글로벌 사회 혁신"/>
    <s v="가. SDGs 기반 글로벌 공동 수업 혁신"/>
    <s v="COIL(Collaborative Online International Learning)"/>
    <s v="COIL(Collaborative Online International Learning)"/>
    <s v="COIL 수업 운영 지원(수업조교)"/>
    <x v="0"/>
    <s v="교외장학금"/>
    <n v="4321701"/>
    <s v="교과운영지원비"/>
    <s v="NDZ251631"/>
    <n v="3500000"/>
    <n v="1"/>
    <n v="1"/>
    <n v="1400000"/>
  </r>
  <r>
    <x v="1"/>
    <s v="F"/>
    <s v="미래융합교육혁신원"/>
    <s v="8701"/>
    <s v="[F-3]"/>
    <s v="[F-3]지속가능한 발전을 위한 글로벌 사회 혁신"/>
    <s v="가. SDGs 기반 글로벌 공동 수업 혁신"/>
    <s v="COIL(Collaborative Online International Learning)"/>
    <s v="COIL(Collaborative Online International Learning)"/>
    <s v="COIL 수업 운영 지원(수업조교)"/>
    <x v="0"/>
    <s v="교외장학금"/>
    <n v="4321701"/>
    <m/>
    <s v="NDZ251631"/>
    <m/>
    <m/>
    <m/>
    <m/>
  </r>
  <r>
    <x v="1"/>
    <s v="F"/>
    <s v="미래융합교육혁신원"/>
    <s v="8701"/>
    <s v="[F-3]"/>
    <s v="[F-3]지속가능한 발전을 위한 글로벌 사회 혁신"/>
    <s v="가. SDGs 기반 글로벌 공동 수업 혁신"/>
    <s v="동시통역시스템 연구"/>
    <s v="동시통역시스템 연구"/>
    <s v="동시통역시스템 연구(NEW-8월)"/>
    <x v="0"/>
    <s v="교원기타수당"/>
    <n v="4113401"/>
    <s v="연구비"/>
    <s v="NDZ251631"/>
    <n v="1200000"/>
    <n v="1"/>
    <n v="7"/>
    <n v="7200000"/>
  </r>
  <r>
    <x v="1"/>
    <s v="F"/>
    <s v="미래융합교육혁신원"/>
    <s v="8701"/>
    <s v="[F-3]"/>
    <s v="[F-3]지속가능한 발전을 위한 글로벌 사회 혁신"/>
    <s v="가. SDGs 기반 글로벌 공동 수업 혁신"/>
    <s v="동시통역시스템 연구"/>
    <s v="동시통역시스템 연구"/>
    <s v="동시통역시스템 연구 지원(마이크 구입)"/>
    <x v="5"/>
    <s v="교육용기계기구구입지출"/>
    <n v="1314901"/>
    <s v="기자재구입비"/>
    <s v="NDZ251632"/>
    <n v="300000"/>
    <n v="1"/>
    <n v="6"/>
    <n v="1374000"/>
  </r>
  <r>
    <x v="1"/>
    <s v="F"/>
    <s v="머레이봉사센터"/>
    <s v="8717"/>
    <s v="[F-3]"/>
    <s v="[F-3]지속가능한 발전을 위한 글로벌 사회 혁신"/>
    <s v="나. SDGs 연계 글로벌 사회문제 해결"/>
    <s v="연세머레이캠프 교육봉사를 위한 교재 제작"/>
    <s v="봉사 팀별 주제에 맞는 교재 제작"/>
    <s v="봉사팀별 교재제작 지원"/>
    <x v="0"/>
    <s v="기타운영비:부서별"/>
    <n v="4241130"/>
    <s v="운영비"/>
    <s v="NDZ251631"/>
    <n v="200000"/>
    <n v="1"/>
    <n v="50"/>
    <n v="10000000"/>
  </r>
  <r>
    <x v="1"/>
    <s v="F"/>
    <s v="머레이봉사센터"/>
    <s v="8717"/>
    <s v="[F-3]"/>
    <s v="[F-3]지속가능한 발전을 위한 글로벌 사회 혁신"/>
    <s v="나. SDGs 연계 글로벌 사회문제 해결"/>
    <s v="연세머레이캠프 간담회 및 모니터링 회의지원"/>
    <s v="봉사팀별 교직원모니터링 회의지원"/>
    <s v="봉사팀별 교직원모니터링 회의지원"/>
    <x v="0"/>
    <s v="기타운영비:부서별"/>
    <n v="4241130"/>
    <s v="운영비"/>
    <s v="NDZ251631"/>
    <n v="20000"/>
    <n v="10"/>
    <n v="50"/>
    <n v="10000000"/>
  </r>
  <r>
    <x v="1"/>
    <s v="F"/>
    <s v="혁신전략기획팀"/>
    <s v="8621"/>
    <s v="[F-3]"/>
    <s v="[F-3]지속가능한 발전을 위한 글로벌 사회 혁신"/>
    <s v="다. SDGs 성과확산 및 THE Impact 랭킹 제고"/>
    <m/>
    <m/>
    <m/>
    <x v="0"/>
    <s v="기타운영비:부서별"/>
    <n v="4241130"/>
    <s v="운영비"/>
    <s v="NDZ251631"/>
    <n v="10000000"/>
    <n v="1"/>
    <n v="1"/>
    <n v="7500000"/>
  </r>
  <r>
    <x v="2"/>
    <m/>
    <m/>
    <m/>
    <s v=""/>
    <m/>
    <m/>
    <m/>
    <m/>
    <m/>
    <x v="4"/>
    <m/>
    <m/>
    <m/>
    <m/>
    <m/>
    <m/>
    <m/>
    <m/>
  </r>
  <r>
    <x v="3"/>
    <s v="사업관리"/>
    <s v="미래대학혁신지원사업단"/>
    <n v="8719"/>
    <s v="사업관리 "/>
    <s v="사업관리 및 운영"/>
    <s v="사업관리 및 운영"/>
    <s v="사업관리 및 운영"/>
    <s v="인증평가 지원"/>
    <s v="AI보건관리학과 인증(12,000,000원)"/>
    <x v="6"/>
    <s v="기타운영비:부서별"/>
    <n v="4241130"/>
    <s v="일반수용비"/>
    <s v="NDZ251006"/>
    <n v="12000000"/>
    <n v="1"/>
    <n v="1"/>
    <n v="12000000"/>
  </r>
  <r>
    <x v="3"/>
    <s v="사업관리"/>
    <s v="미래대학혁신지원사업단"/>
    <n v="8719"/>
    <s v="사업관리 "/>
    <s v="사업관리 및 운영"/>
    <s v="사업관리 및 운영"/>
    <s v="사업관리 및 운영"/>
    <s v="인증평가 지원"/>
    <s v="4주기 대학기관인증평가(52,510,000원)"/>
    <x v="6"/>
    <s v="기타운영비:부서별"/>
    <n v="4241130"/>
    <s v="일반수용비"/>
    <s v="NDZ251006"/>
    <n v="52510000"/>
    <n v="1"/>
    <n v="1"/>
    <n v="52510000"/>
  </r>
  <r>
    <x v="3"/>
    <s v="사업관리"/>
    <s v="미래대학혁신지원사업단"/>
    <n v="8719"/>
    <s v="사업관리 "/>
    <s v="사업관리 및 운영"/>
    <s v="사업관리 및 운영"/>
    <s v="사업관리 및 운영"/>
    <s v="홍보비 지원"/>
    <s v="지면홍보 지원(5,000,000원)"/>
    <x v="6"/>
    <s v="기타운영비:부서별"/>
    <n v="4241130"/>
    <s v="행사비"/>
    <s v="NDZ251006"/>
    <m/>
    <m/>
    <m/>
    <n v="500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사업계획서, 각종보고서, 뉴스레터 작성 디자인 및 인쇄비"/>
    <x v="6"/>
    <s v="기타운영비:부서별"/>
    <n v="4241130"/>
    <s v="일반수용비"/>
    <s v="NDZ251006"/>
    <n v="50000"/>
    <n v="30"/>
    <n v="4"/>
    <n v="600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총괄협의회 회비가배정액*0.3%)-34.19억기준"/>
    <x v="6"/>
    <s v="기타운영비:부서별"/>
    <n v="4241130"/>
    <s v="일반수용비"/>
    <s v="NDZ251006"/>
    <n v="10257000"/>
    <n v="1"/>
    <n v="1"/>
    <n v="10257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사업단(정수기, 복합기4대, 구글드라이브, 소모품"/>
    <x v="6"/>
    <s v="기타운영비:부서별"/>
    <n v="4241130"/>
    <s v="일반수용비"/>
    <s v="NDZ251006"/>
    <n v="1000000"/>
    <n v="1"/>
    <n v="12"/>
    <n v="2000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사업단 및 유관부서 업무용기계기구구입지원"/>
    <x v="6"/>
    <s v="업무용기계기구구입지출"/>
    <n v="1314903"/>
    <s v="사무환경개선비"/>
    <s v="NDZ251006"/>
    <n v="2500000"/>
    <n v="1"/>
    <n v="5"/>
    <n v="17113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사업단 및 유관부서 업무용 비품구입지원"/>
    <x v="6"/>
    <s v="업무용비품구입지출"/>
    <n v="1315903"/>
    <s v="사무환경개선비"/>
    <s v="NDZ251006"/>
    <n v="1000000"/>
    <n v="1"/>
    <n v="10"/>
    <n v="1000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혁신지원사업 관련 회의비(평가, 위원회, TF운영, 보고서작성 등)"/>
    <x v="6"/>
    <s v="기타운영비:부서별"/>
    <n v="4241130"/>
    <s v="회의비"/>
    <s v="NDZ251006"/>
    <n v="30000"/>
    <n v="10"/>
    <n v="30"/>
    <n v="1000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위원회 참석 수당"/>
    <x v="6"/>
    <s v="기타운영비:부서별"/>
    <n v="4241130"/>
    <s v="전문가활용비"/>
    <s v="NDZ251006"/>
    <n v="300000"/>
    <n v="2"/>
    <n v="4"/>
    <n v="82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사업단 전담인력 교육훈련비(부서파견 전담인력은 부서 프로그램내 집행)"/>
    <x v="6"/>
    <s v="기타운영비:부서별"/>
    <n v="4241130"/>
    <s v="교육훈련비"/>
    <s v="NDZ251006"/>
    <n v="150000"/>
    <n v="3"/>
    <n v="10"/>
    <n v="450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사업단 전담인력 출장비(부서파견 전담인력은 부서 프로그램내 집행)"/>
    <x v="6"/>
    <s v="기타운영비:부서별"/>
    <n v="4241130"/>
    <s v="출장비"/>
    <s v="NDZ251006"/>
    <n v="100000"/>
    <n v="2"/>
    <n v="20"/>
    <n v="400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근로장학생 운영"/>
    <x v="1"/>
    <s v="교외장학금"/>
    <n v="4321701"/>
    <s v="근로장학금"/>
    <s v="NDZ251005"/>
    <n v="650000"/>
    <n v="2"/>
    <n v="10"/>
    <n v="1300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사업단 전담인력 인건비(이경희,김민영,권의정,김선희)"/>
    <x v="2"/>
    <s v="임시직/급여"/>
    <n v="4125101"/>
    <s v="급여"/>
    <s v="NDZ251004"/>
    <n v="34000000"/>
    <n v="20"/>
    <n v="1"/>
    <n v="1179854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사업단 전담인력 연장근로수당"/>
    <x v="2"/>
    <s v="임시직/수당"/>
    <n v="4125301"/>
    <s v="수당"/>
    <s v="NDZ251004"/>
    <m/>
    <m/>
    <m/>
    <n v="3000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사업참여인력(기존교직원/신규교직원) 인센티브"/>
    <x v="2"/>
    <s v="임시직수당:부서별"/>
    <n v="4125302"/>
    <s v="인센티브"/>
    <s v="NDZ251004"/>
    <n v="60000000"/>
    <n v="1"/>
    <n v="1"/>
    <n v="6000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사업참여인력(기존교직원/신규교직원) 인센티브"/>
    <x v="2"/>
    <s v="행정사무직 수당"/>
    <n v="4123801"/>
    <s v="인센티브"/>
    <s v="NDZ251004"/>
    <n v="70000000"/>
    <n v="1"/>
    <n v="1"/>
    <n v="70000000"/>
  </r>
  <r>
    <x v="3"/>
    <s v="사업관리"/>
    <s v="미래대학혁신지원사업단"/>
    <n v="8719"/>
    <s v="사업관리 "/>
    <s v="사업관리 및 운영"/>
    <s v="사업관리 및 운영"/>
    <s v="사업관리 및 운영"/>
    <s v="사업단 운영비"/>
    <s v="보험, 퇴직금 적립 등"/>
    <x v="2"/>
    <s v="임시직/급여:보험통합"/>
    <n v="4125509"/>
    <s v="보험료"/>
    <s v="NDZ251004"/>
    <n v="70000000"/>
    <n v="2"/>
    <n v="1"/>
    <n v="120000000"/>
  </r>
  <r>
    <x v="3"/>
    <s v="사업관리"/>
    <s v="미래대학혁신지원사업단"/>
    <n v="8719"/>
    <s v="사업관리 "/>
    <s v="사업관리 및 운영"/>
    <s v="사업관리 및 운영"/>
    <s v="경상비 지원"/>
    <s v="경상비 지원"/>
    <s v="전기요금 지원(축소계획)-686,200,000원"/>
    <x v="6"/>
    <s v="전기수도료:전기료"/>
    <n v="4226101"/>
    <s v="경상비지원"/>
    <s v="NDZ251006"/>
    <n v="513133000"/>
    <n v="1"/>
    <n v="1"/>
    <n v="530000000"/>
  </r>
  <r>
    <x v="3"/>
    <s v="사업관리"/>
    <s v="미래대학혁신지원사업단"/>
    <n v="8719"/>
    <s v="사업관리 "/>
    <s v="사업관리 및 운영"/>
    <s v="사업관리 및 운영"/>
    <s v="경상비 지원"/>
    <s v="교내교원인건비 지원"/>
    <s v="교내교직원인건비 지원(축소계획)-1,715,500,000원"/>
    <x v="2"/>
    <s v="교원급여/본봉"/>
    <n v="4111101"/>
    <s v="인건비지원"/>
    <s v="NDZ251004"/>
    <n v="785500000"/>
    <n v="1"/>
    <n v="1"/>
    <n v="800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E4CDF-C717-4455-9B2A-934A532749CF}" name="피벗 테이블1" cacheId="1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B8" firstHeaderRow="1" firstDataRow="1" firstDataCol="1"/>
  <pivotFields count="19"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합계 : 최초예산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8D5C8-0BF0-43A4-BC0E-617A39C0157F}" name="피벗 테이블3" cacheId="1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I9" firstHeaderRow="1" firstDataRow="2" firstDataCol="1"/>
  <pivotFields count="19"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0"/>
        <item x="3"/>
        <item x="6"/>
        <item x="5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합계 : 최초예산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86CAE-FF94-43B4-B8F0-C88757567E91}" name="피벗 테이블1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B23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9"/>
        <item x="3"/>
        <item x="18"/>
        <item x="2"/>
        <item x="5"/>
        <item x="11"/>
        <item x="1"/>
        <item x="10"/>
        <item x="7"/>
        <item x="6"/>
        <item x="4"/>
        <item x="13"/>
        <item x="16"/>
        <item x="14"/>
        <item x="17"/>
        <item x="8"/>
        <item x="15"/>
        <item x="12"/>
        <item x="0"/>
        <item t="default"/>
      </items>
    </pivotField>
    <pivotField showAll="0">
      <items count="21">
        <item x="6"/>
        <item x="8"/>
        <item x="12"/>
        <item x="7"/>
        <item x="19"/>
        <item x="2"/>
        <item x="9"/>
        <item x="16"/>
        <item x="13"/>
        <item x="14"/>
        <item x="15"/>
        <item x="17"/>
        <item x="10"/>
        <item x="11"/>
        <item x="18"/>
        <item x="5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합계 : 최초예산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366E9-E105-473B-B278-FC1CF2BE25D7}" name="피벗 테이블3" cacheId="0" applyNumberFormats="0" applyBorderFormats="0" applyFontFormats="0" applyPatternFormats="0" applyAlignmentFormats="0" applyWidthHeightFormats="1" dataCaption="값" grandTotalCaption="총 합계" updatedVersion="7" minRefreshableVersion="3" useAutoFormatting="1" colGrandTotals="0" itemPrintTitles="1" createdVersion="7" indent="0" compact="0" compactData="0" multipleFieldFilters="0">
  <location ref="A2:E129" firstHeaderRow="0" firstDataRow="1" firstDataCol="3"/>
  <pivotFields count="20">
    <pivotField compact="0" outline="0" subtotalTop="0" showAll="0"/>
    <pivotField name="부서" axis="axisRow" compact="0" outline="0" subtotalTop="0" showAll="0">
      <items count="25">
        <item x="3"/>
        <item x="7"/>
        <item x="4"/>
        <item x="8"/>
        <item x="17"/>
        <item x="19"/>
        <item x="11"/>
        <item x="6"/>
        <item x="10"/>
        <item m="1" x="23"/>
        <item x="15"/>
        <item x="5"/>
        <item x="13"/>
        <item x="16"/>
        <item x="22"/>
        <item x="14"/>
        <item x="18"/>
        <item n="전기요금지원" x="21"/>
        <item x="12"/>
        <item x="1"/>
        <item x="9"/>
        <item x="2"/>
        <item x="0"/>
        <item x="20"/>
        <item t="default"/>
      </items>
    </pivotField>
    <pivotField compact="0" outline="0" subtotalTop="0" showAll="0"/>
    <pivotField name="세부과제" axis="axisRow" subtotalCaption="소계" compact="0" outline="0" subtotalTop="0" showAll="0">
      <items count="21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sd="0" x="0"/>
        <item t="default"/>
      </items>
    </pivotField>
    <pivotField name="추진내용" axis="axisRow" compact="0" outline="0" subtotalTop="0" showAll="0" sortType="ascending">
      <items count="55">
        <item x="10"/>
        <item x="25"/>
        <item x="22"/>
        <item x="13"/>
        <item x="4"/>
        <item x="19"/>
        <item x="41"/>
        <item x="50"/>
        <item x="39"/>
        <item x="37"/>
        <item x="44"/>
        <item x="34"/>
        <item x="31"/>
        <item x="47"/>
        <item x="7"/>
        <item x="1"/>
        <item x="28"/>
        <item x="16"/>
        <item x="20"/>
        <item x="26"/>
        <item x="23"/>
        <item x="51"/>
        <item x="29"/>
        <item x="5"/>
        <item x="32"/>
        <item x="17"/>
        <item x="8"/>
        <item x="42"/>
        <item x="48"/>
        <item x="11"/>
        <item x="40"/>
        <item x="14"/>
        <item x="45"/>
        <item x="35"/>
        <item x="38"/>
        <item x="2"/>
        <item x="15"/>
        <item x="27"/>
        <item x="30"/>
        <item x="52"/>
        <item x="46"/>
        <item x="24"/>
        <item x="33"/>
        <item x="9"/>
        <item x="36"/>
        <item x="43"/>
        <item x="49"/>
        <item x="3"/>
        <item x="6"/>
        <item x="18"/>
        <item x="12"/>
        <item x="21"/>
        <item x="53"/>
        <item x="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</pivotFields>
  <rowFields count="3">
    <field x="3"/>
    <field x="1"/>
    <field x="4"/>
  </rowFields>
  <rowItems count="127">
    <i>
      <x/>
      <x v="19"/>
      <x v="15"/>
    </i>
    <i r="2">
      <x v="35"/>
    </i>
    <i r="2">
      <x v="47"/>
    </i>
    <i t="default" r="1">
      <x v="19"/>
    </i>
    <i t="default">
      <x/>
    </i>
    <i>
      <x v="1"/>
      <x v="19"/>
      <x v="4"/>
    </i>
    <i r="2">
      <x v="23"/>
    </i>
    <i t="default" r="1">
      <x v="19"/>
    </i>
    <i r="1">
      <x v="21"/>
      <x v="48"/>
    </i>
    <i t="default" r="1">
      <x v="21"/>
    </i>
    <i t="default">
      <x v="1"/>
    </i>
    <i>
      <x v="2"/>
      <x v="19"/>
      <x v="14"/>
    </i>
    <i r="2">
      <x v="26"/>
    </i>
    <i r="2">
      <x v="43"/>
    </i>
    <i t="default" r="1">
      <x v="19"/>
    </i>
    <i t="default">
      <x v="2"/>
    </i>
    <i>
      <x v="3"/>
      <x/>
      <x/>
    </i>
    <i r="2">
      <x v="29"/>
    </i>
    <i r="2">
      <x v="50"/>
    </i>
    <i t="default" r="1">
      <x/>
    </i>
    <i t="default">
      <x v="3"/>
    </i>
    <i>
      <x v="4"/>
      <x v="2"/>
      <x v="3"/>
    </i>
    <i r="2">
      <x v="31"/>
    </i>
    <i r="2">
      <x v="36"/>
    </i>
    <i t="default" r="1">
      <x v="2"/>
    </i>
    <i t="default">
      <x v="4"/>
    </i>
    <i>
      <x v="5"/>
      <x v="11"/>
      <x v="17"/>
    </i>
    <i r="2">
      <x v="25"/>
    </i>
    <i r="2">
      <x v="49"/>
    </i>
    <i t="default" r="1">
      <x v="11"/>
    </i>
    <i t="default">
      <x v="5"/>
    </i>
    <i>
      <x v="6"/>
      <x v="7"/>
      <x v="5"/>
    </i>
    <i r="2">
      <x v="18"/>
    </i>
    <i r="2">
      <x v="51"/>
    </i>
    <i t="default" r="1">
      <x v="7"/>
    </i>
    <i t="default">
      <x v="6"/>
    </i>
    <i>
      <x v="7"/>
      <x v="7"/>
      <x v="2"/>
    </i>
    <i r="2">
      <x v="20"/>
    </i>
    <i r="2">
      <x v="41"/>
    </i>
    <i t="default" r="1">
      <x v="7"/>
    </i>
    <i t="default">
      <x v="7"/>
    </i>
    <i>
      <x v="8"/>
      <x v="7"/>
      <x v="1"/>
    </i>
    <i r="2">
      <x v="19"/>
    </i>
    <i r="2">
      <x v="37"/>
    </i>
    <i t="default" r="1">
      <x v="7"/>
    </i>
    <i t="default">
      <x v="8"/>
    </i>
    <i>
      <x v="9"/>
      <x v="1"/>
      <x v="16"/>
    </i>
    <i r="2">
      <x v="22"/>
    </i>
    <i r="2">
      <x v="38"/>
    </i>
    <i t="default" r="1">
      <x v="1"/>
    </i>
    <i t="default">
      <x v="9"/>
    </i>
    <i>
      <x v="10"/>
      <x v="1"/>
      <x v="12"/>
    </i>
    <i r="2">
      <x v="24"/>
    </i>
    <i r="2">
      <x v="42"/>
    </i>
    <i t="default" r="1">
      <x v="1"/>
    </i>
    <i t="default">
      <x v="10"/>
    </i>
    <i>
      <x v="11"/>
      <x v="1"/>
      <x v="11"/>
    </i>
    <i r="2">
      <x v="33"/>
    </i>
    <i r="2">
      <x v="44"/>
    </i>
    <i t="default" r="1">
      <x v="1"/>
    </i>
    <i t="default">
      <x v="11"/>
    </i>
    <i>
      <x v="12"/>
      <x v="3"/>
      <x v="9"/>
    </i>
    <i t="default" r="1">
      <x v="3"/>
    </i>
    <i r="1">
      <x v="20"/>
      <x v="34"/>
    </i>
    <i t="default" r="1">
      <x v="20"/>
    </i>
    <i t="default">
      <x v="12"/>
    </i>
    <i>
      <x v="13"/>
      <x v="6"/>
      <x v="30"/>
    </i>
    <i t="default" r="1">
      <x v="6"/>
    </i>
    <i r="1">
      <x v="8"/>
      <x v="30"/>
    </i>
    <i t="default" r="1">
      <x v="8"/>
    </i>
    <i r="1">
      <x v="12"/>
      <x v="30"/>
    </i>
    <i t="default" r="1">
      <x v="12"/>
    </i>
    <i r="1">
      <x v="18"/>
      <x v="30"/>
    </i>
    <i t="default" r="1">
      <x v="18"/>
    </i>
    <i r="1">
      <x v="20"/>
      <x v="8"/>
    </i>
    <i t="default" r="1">
      <x v="20"/>
    </i>
    <i t="default">
      <x v="13"/>
    </i>
    <i>
      <x v="14"/>
      <x/>
      <x v="6"/>
    </i>
    <i r="2">
      <x v="27"/>
    </i>
    <i r="2">
      <x v="45"/>
    </i>
    <i t="default" r="1">
      <x/>
    </i>
    <i t="default">
      <x v="14"/>
    </i>
    <i>
      <x v="15"/>
      <x v="2"/>
      <x v="40"/>
    </i>
    <i t="default" r="1">
      <x v="2"/>
    </i>
    <i r="1">
      <x v="6"/>
      <x v="10"/>
    </i>
    <i r="2">
      <x v="32"/>
    </i>
    <i r="2">
      <x v="40"/>
    </i>
    <i t="default" r="1">
      <x v="6"/>
    </i>
    <i t="default">
      <x v="15"/>
    </i>
    <i>
      <x v="16"/>
      <x v="4"/>
      <x v="28"/>
    </i>
    <i t="default" r="1">
      <x v="4"/>
    </i>
    <i r="1">
      <x v="6"/>
      <x v="28"/>
    </i>
    <i r="2">
      <x v="46"/>
    </i>
    <i t="default" r="1">
      <x v="6"/>
    </i>
    <i r="1">
      <x v="8"/>
      <x v="28"/>
    </i>
    <i t="default" r="1">
      <x v="8"/>
    </i>
    <i r="1">
      <x v="10"/>
      <x v="13"/>
    </i>
    <i t="default" r="1">
      <x v="10"/>
    </i>
    <i r="1">
      <x v="12"/>
      <x v="13"/>
    </i>
    <i t="default" r="1">
      <x v="12"/>
    </i>
    <i r="1">
      <x v="13"/>
      <x v="28"/>
    </i>
    <i t="default" r="1">
      <x v="13"/>
    </i>
    <i r="1">
      <x v="15"/>
      <x v="13"/>
    </i>
    <i t="default" r="1">
      <x v="15"/>
    </i>
    <i r="1">
      <x v="16"/>
      <x v="46"/>
    </i>
    <i t="default" r="1">
      <x v="16"/>
    </i>
    <i r="1">
      <x v="20"/>
      <x v="46"/>
    </i>
    <i t="default" r="1">
      <x v="20"/>
    </i>
    <i t="default">
      <x v="16"/>
    </i>
    <i>
      <x v="17"/>
      <x v="5"/>
      <x v="21"/>
    </i>
    <i t="default" r="1">
      <x v="5"/>
    </i>
    <i r="1">
      <x v="7"/>
      <x v="7"/>
    </i>
    <i t="default" r="1">
      <x v="7"/>
    </i>
    <i r="1">
      <x v="20"/>
      <x v="39"/>
    </i>
    <i t="default" r="1">
      <x v="20"/>
    </i>
    <i t="default">
      <x v="17"/>
    </i>
    <i>
      <x v="18"/>
      <x v="6"/>
      <x v="52"/>
    </i>
    <i t="default" r="1">
      <x v="6"/>
    </i>
    <i r="1">
      <x v="14"/>
      <x v="52"/>
    </i>
    <i t="default" r="1">
      <x v="14"/>
    </i>
    <i r="1">
      <x v="17"/>
      <x v="52"/>
    </i>
    <i t="default" r="1">
      <x v="17"/>
    </i>
    <i r="1">
      <x v="23"/>
      <x v="52"/>
    </i>
    <i t="default" r="1">
      <x v="23"/>
    </i>
    <i t="default"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배정예산" fld="16" baseField="0" baseItem="0"/>
    <dataField name="선배정" fld="17" baseField="0" baseItem="0"/>
  </dataFields>
  <formats count="293">
    <format dxfId="10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4">
      <pivotArea type="all" dataOnly="0" outline="0" fieldPosition="0"/>
    </format>
    <format dxfId="1003">
      <pivotArea outline="0" collapsedLevelsAreSubtotals="1" fieldPosition="0"/>
    </format>
    <format dxfId="1002">
      <pivotArea field="3" type="button" dataOnly="0" labelOnly="1" outline="0" axis="axisRow" fieldPosition="0"/>
    </format>
    <format dxfId="1001">
      <pivotArea field="1" type="button" dataOnly="0" labelOnly="1" outline="0" axis="axisRow" fieldPosition="1"/>
    </format>
    <format dxfId="1000">
      <pivotArea field="4" type="button" dataOnly="0" labelOnly="1" outline="0" axis="axisRow" fieldPosition="2"/>
    </format>
    <format dxfId="999">
      <pivotArea dataOnly="0" labelOnly="1" outline="0" fieldPosition="0">
        <references count="1">
          <reference field="3" count="0"/>
        </references>
      </pivotArea>
    </format>
    <format dxfId="998">
      <pivotArea dataOnly="0" labelOnly="1" outline="0" fieldPosition="0">
        <references count="1">
          <reference field="3" count="19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997">
      <pivotArea dataOnly="0" labelOnly="1" grandRow="1" outline="0" fieldPosition="0"/>
    </format>
    <format dxfId="996">
      <pivotArea dataOnly="0" labelOnly="1" outline="0" fieldPosition="0">
        <references count="2">
          <reference field="1" count="1">
            <x v="19"/>
          </reference>
          <reference field="3" count="1" selected="0">
            <x v="0"/>
          </reference>
        </references>
      </pivotArea>
    </format>
    <format dxfId="995">
      <pivotArea dataOnly="0" labelOnly="1" outline="0" fieldPosition="0">
        <references count="2">
          <reference field="1" count="1" defaultSubtotal="1">
            <x v="19"/>
          </reference>
          <reference field="3" count="1" selected="0">
            <x v="0"/>
          </reference>
        </references>
      </pivotArea>
    </format>
    <format dxfId="994">
      <pivotArea dataOnly="0" labelOnly="1" outline="0" fieldPosition="0">
        <references count="2">
          <reference field="1" count="2">
            <x v="19"/>
            <x v="21"/>
          </reference>
          <reference field="3" count="1" selected="0">
            <x v="1"/>
          </reference>
        </references>
      </pivotArea>
    </format>
    <format dxfId="993">
      <pivotArea dataOnly="0" labelOnly="1" outline="0" fieldPosition="0">
        <references count="2">
          <reference field="1" count="2" defaultSubtotal="1">
            <x v="19"/>
            <x v="21"/>
          </reference>
          <reference field="3" count="1" selected="0">
            <x v="1"/>
          </reference>
        </references>
      </pivotArea>
    </format>
    <format dxfId="992">
      <pivotArea dataOnly="0" labelOnly="1" outline="0" fieldPosition="0">
        <references count="2">
          <reference field="1" count="1">
            <x v="19"/>
          </reference>
          <reference field="3" count="1" selected="0">
            <x v="2"/>
          </reference>
        </references>
      </pivotArea>
    </format>
    <format dxfId="991">
      <pivotArea dataOnly="0" labelOnly="1" outline="0" fieldPosition="0">
        <references count="2">
          <reference field="1" count="1" defaultSubtotal="1">
            <x v="19"/>
          </reference>
          <reference field="3" count="1" selected="0">
            <x v="2"/>
          </reference>
        </references>
      </pivotArea>
    </format>
    <format dxfId="990">
      <pivotArea dataOnly="0" labelOnly="1" outline="0" fieldPosition="0">
        <references count="2">
          <reference field="1" count="1">
            <x v="0"/>
          </reference>
          <reference field="3" count="1" selected="0">
            <x v="3"/>
          </reference>
        </references>
      </pivotArea>
    </format>
    <format dxfId="989">
      <pivotArea dataOnly="0" labelOnly="1" outline="0" fieldPosition="0">
        <references count="2">
          <reference field="1" count="1" defaultSubtotal="1">
            <x v="0"/>
          </reference>
          <reference field="3" count="1" selected="0">
            <x v="3"/>
          </reference>
        </references>
      </pivotArea>
    </format>
    <format dxfId="988">
      <pivotArea dataOnly="0" labelOnly="1" outline="0" fieldPosition="0">
        <references count="2">
          <reference field="1" count="1">
            <x v="2"/>
          </reference>
          <reference field="3" count="1" selected="0">
            <x v="4"/>
          </reference>
        </references>
      </pivotArea>
    </format>
    <format dxfId="987">
      <pivotArea dataOnly="0" labelOnly="1" outline="0" fieldPosition="0">
        <references count="2">
          <reference field="1" count="1" defaultSubtotal="1">
            <x v="2"/>
          </reference>
          <reference field="3" count="1" selected="0">
            <x v="4"/>
          </reference>
        </references>
      </pivotArea>
    </format>
    <format dxfId="986">
      <pivotArea dataOnly="0" labelOnly="1" outline="0" fieldPosition="0">
        <references count="2">
          <reference field="1" count="1">
            <x v="11"/>
          </reference>
          <reference field="3" count="1" selected="0">
            <x v="5"/>
          </reference>
        </references>
      </pivotArea>
    </format>
    <format dxfId="985">
      <pivotArea dataOnly="0" labelOnly="1" outline="0" fieldPosition="0">
        <references count="2">
          <reference field="1" count="1" defaultSubtotal="1">
            <x v="11"/>
          </reference>
          <reference field="3" count="1" selected="0">
            <x v="5"/>
          </reference>
        </references>
      </pivotArea>
    </format>
    <format dxfId="984">
      <pivotArea dataOnly="0" labelOnly="1" outline="0" fieldPosition="0">
        <references count="2">
          <reference field="1" count="1">
            <x v="7"/>
          </reference>
          <reference field="3" count="1" selected="0">
            <x v="6"/>
          </reference>
        </references>
      </pivotArea>
    </format>
    <format dxfId="983">
      <pivotArea dataOnly="0" labelOnly="1" outline="0" fieldPosition="0">
        <references count="2">
          <reference field="1" count="1" defaultSubtotal="1">
            <x v="7"/>
          </reference>
          <reference field="3" count="1" selected="0">
            <x v="6"/>
          </reference>
        </references>
      </pivotArea>
    </format>
    <format dxfId="982">
      <pivotArea dataOnly="0" labelOnly="1" outline="0" fieldPosition="0">
        <references count="2">
          <reference field="1" count="1">
            <x v="7"/>
          </reference>
          <reference field="3" count="1" selected="0">
            <x v="7"/>
          </reference>
        </references>
      </pivotArea>
    </format>
    <format dxfId="981">
      <pivotArea dataOnly="0" labelOnly="1" outline="0" fieldPosition="0">
        <references count="2">
          <reference field="1" count="1" defaultSubtotal="1">
            <x v="7"/>
          </reference>
          <reference field="3" count="1" selected="0">
            <x v="7"/>
          </reference>
        </references>
      </pivotArea>
    </format>
    <format dxfId="980">
      <pivotArea dataOnly="0" labelOnly="1" outline="0" fieldPosition="0">
        <references count="2">
          <reference field="1" count="1">
            <x v="7"/>
          </reference>
          <reference field="3" count="1" selected="0">
            <x v="8"/>
          </reference>
        </references>
      </pivotArea>
    </format>
    <format dxfId="979">
      <pivotArea dataOnly="0" labelOnly="1" outline="0" fieldPosition="0">
        <references count="2">
          <reference field="1" count="1" defaultSubtotal="1">
            <x v="7"/>
          </reference>
          <reference field="3" count="1" selected="0">
            <x v="8"/>
          </reference>
        </references>
      </pivotArea>
    </format>
    <format dxfId="978">
      <pivotArea dataOnly="0" labelOnly="1" outline="0" fieldPosition="0">
        <references count="2">
          <reference field="1" count="1">
            <x v="1"/>
          </reference>
          <reference field="3" count="1" selected="0">
            <x v="9"/>
          </reference>
        </references>
      </pivotArea>
    </format>
    <format dxfId="977">
      <pivotArea dataOnly="0" labelOnly="1" outline="0" fieldPosition="0">
        <references count="2">
          <reference field="1" count="1" defaultSubtotal="1">
            <x v="1"/>
          </reference>
          <reference field="3" count="1" selected="0">
            <x v="9"/>
          </reference>
        </references>
      </pivotArea>
    </format>
    <format dxfId="976">
      <pivotArea dataOnly="0" labelOnly="1" outline="0" fieldPosition="0">
        <references count="2">
          <reference field="1" count="1">
            <x v="1"/>
          </reference>
          <reference field="3" count="1" selected="0">
            <x v="10"/>
          </reference>
        </references>
      </pivotArea>
    </format>
    <format dxfId="975">
      <pivotArea dataOnly="0" labelOnly="1" outline="0" fieldPosition="0">
        <references count="2">
          <reference field="1" count="1" defaultSubtotal="1">
            <x v="1"/>
          </reference>
          <reference field="3" count="1" selected="0">
            <x v="10"/>
          </reference>
        </references>
      </pivotArea>
    </format>
    <format dxfId="974">
      <pivotArea dataOnly="0" labelOnly="1" outline="0" fieldPosition="0">
        <references count="2">
          <reference field="1" count="1">
            <x v="1"/>
          </reference>
          <reference field="3" count="1" selected="0">
            <x v="11"/>
          </reference>
        </references>
      </pivotArea>
    </format>
    <format dxfId="973">
      <pivotArea dataOnly="0" labelOnly="1" outline="0" fieldPosition="0">
        <references count="2">
          <reference field="1" count="1" defaultSubtotal="1">
            <x v="1"/>
          </reference>
          <reference field="3" count="1" selected="0">
            <x v="11"/>
          </reference>
        </references>
      </pivotArea>
    </format>
    <format dxfId="972">
      <pivotArea dataOnly="0" labelOnly="1" outline="0" fieldPosition="0">
        <references count="2">
          <reference field="1" count="2">
            <x v="3"/>
            <x v="20"/>
          </reference>
          <reference field="3" count="1" selected="0">
            <x v="12"/>
          </reference>
        </references>
      </pivotArea>
    </format>
    <format dxfId="971">
      <pivotArea dataOnly="0" labelOnly="1" outline="0" fieldPosition="0">
        <references count="2">
          <reference field="1" count="2" defaultSubtotal="1">
            <x v="3"/>
            <x v="20"/>
          </reference>
          <reference field="3" count="1" selected="0">
            <x v="12"/>
          </reference>
        </references>
      </pivotArea>
    </format>
    <format dxfId="970">
      <pivotArea dataOnly="0" labelOnly="1" outline="0" fieldPosition="0">
        <references count="2">
          <reference field="1" count="5">
            <x v="6"/>
            <x v="8"/>
            <x v="12"/>
            <x v="18"/>
            <x v="20"/>
          </reference>
          <reference field="3" count="1" selected="0">
            <x v="13"/>
          </reference>
        </references>
      </pivotArea>
    </format>
    <format dxfId="969">
      <pivotArea dataOnly="0" labelOnly="1" outline="0" fieldPosition="0">
        <references count="2">
          <reference field="1" count="5" defaultSubtotal="1">
            <x v="6"/>
            <x v="8"/>
            <x v="12"/>
            <x v="18"/>
            <x v="20"/>
          </reference>
          <reference field="3" count="1" selected="0">
            <x v="13"/>
          </reference>
        </references>
      </pivotArea>
    </format>
    <format dxfId="968">
      <pivotArea dataOnly="0" labelOnly="1" outline="0" fieldPosition="0">
        <references count="2">
          <reference field="1" count="1">
            <x v="0"/>
          </reference>
          <reference field="3" count="1" selected="0">
            <x v="14"/>
          </reference>
        </references>
      </pivotArea>
    </format>
    <format dxfId="967">
      <pivotArea dataOnly="0" labelOnly="1" outline="0" fieldPosition="0">
        <references count="2">
          <reference field="1" count="1" defaultSubtotal="1">
            <x v="0"/>
          </reference>
          <reference field="3" count="1" selected="0">
            <x v="14"/>
          </reference>
        </references>
      </pivotArea>
    </format>
    <format dxfId="966">
      <pivotArea dataOnly="0" labelOnly="1" outline="0" fieldPosition="0">
        <references count="2">
          <reference field="1" count="2">
            <x v="2"/>
            <x v="6"/>
          </reference>
          <reference field="3" count="1" selected="0">
            <x v="15"/>
          </reference>
        </references>
      </pivotArea>
    </format>
    <format dxfId="965">
      <pivotArea dataOnly="0" labelOnly="1" outline="0" fieldPosition="0">
        <references count="2">
          <reference field="1" count="2" defaultSubtotal="1">
            <x v="2"/>
            <x v="6"/>
          </reference>
          <reference field="3" count="1" selected="0">
            <x v="15"/>
          </reference>
        </references>
      </pivotArea>
    </format>
    <format dxfId="964">
      <pivotArea dataOnly="0" labelOnly="1" outline="0" fieldPosition="0">
        <references count="2">
          <reference field="1" count="9">
            <x v="4"/>
            <x v="6"/>
            <x v="8"/>
            <x v="10"/>
            <x v="12"/>
            <x v="13"/>
            <x v="15"/>
            <x v="16"/>
            <x v="20"/>
          </reference>
          <reference field="3" count="1" selected="0">
            <x v="16"/>
          </reference>
        </references>
      </pivotArea>
    </format>
    <format dxfId="963">
      <pivotArea dataOnly="0" labelOnly="1" outline="0" fieldPosition="0">
        <references count="2">
          <reference field="1" count="9" defaultSubtotal="1">
            <x v="4"/>
            <x v="6"/>
            <x v="8"/>
            <x v="10"/>
            <x v="12"/>
            <x v="13"/>
            <x v="15"/>
            <x v="16"/>
            <x v="20"/>
          </reference>
          <reference field="3" count="1" selected="0">
            <x v="16"/>
          </reference>
        </references>
      </pivotArea>
    </format>
    <format dxfId="962">
      <pivotArea dataOnly="0" labelOnly="1" outline="0" fieldPosition="0">
        <references count="2">
          <reference field="1" count="3">
            <x v="5"/>
            <x v="7"/>
            <x v="20"/>
          </reference>
          <reference field="3" count="1" selected="0">
            <x v="17"/>
          </reference>
        </references>
      </pivotArea>
    </format>
    <format dxfId="961">
      <pivotArea dataOnly="0" labelOnly="1" outline="0" fieldPosition="0">
        <references count="2">
          <reference field="1" count="3" defaultSubtotal="1">
            <x v="5"/>
            <x v="7"/>
            <x v="20"/>
          </reference>
          <reference field="3" count="1" selected="0">
            <x v="17"/>
          </reference>
        </references>
      </pivotArea>
    </format>
    <format dxfId="960">
      <pivotArea dataOnly="0" labelOnly="1" outline="0" fieldPosition="0">
        <references count="2">
          <reference field="1" count="6">
            <x v="6"/>
            <x v="9"/>
            <x v="14"/>
            <x v="17"/>
            <x v="20"/>
            <x v="23"/>
          </reference>
          <reference field="3" count="1" selected="0">
            <x v="18"/>
          </reference>
        </references>
      </pivotArea>
    </format>
    <format dxfId="959">
      <pivotArea dataOnly="0" labelOnly="1" outline="0" fieldPosition="0">
        <references count="2">
          <reference field="1" count="6" defaultSubtotal="1">
            <x v="6"/>
            <x v="9"/>
            <x v="14"/>
            <x v="17"/>
            <x v="20"/>
            <x v="23"/>
          </reference>
          <reference field="3" count="1" selected="0">
            <x v="18"/>
          </reference>
        </references>
      </pivotArea>
    </format>
    <format dxfId="958">
      <pivotArea dataOnly="0" labelOnly="1" outline="0" fieldPosition="0">
        <references count="3">
          <reference field="1" count="1" selected="0">
            <x v="19"/>
          </reference>
          <reference field="3" count="1" selected="0">
            <x v="0"/>
          </reference>
          <reference field="4" count="3">
            <x v="15"/>
            <x v="35"/>
            <x v="47"/>
          </reference>
        </references>
      </pivotArea>
    </format>
    <format dxfId="957">
      <pivotArea dataOnly="0" labelOnly="1" outline="0" fieldPosition="0">
        <references count="3">
          <reference field="1" count="1" selected="0">
            <x v="19"/>
          </reference>
          <reference field="3" count="1" selected="0">
            <x v="1"/>
          </reference>
          <reference field="4" count="2">
            <x v="4"/>
            <x v="23"/>
          </reference>
        </references>
      </pivotArea>
    </format>
    <format dxfId="956">
      <pivotArea dataOnly="0" labelOnly="1" outline="0" fieldPosition="0">
        <references count="3">
          <reference field="1" count="1" selected="0">
            <x v="21"/>
          </reference>
          <reference field="3" count="1" selected="0">
            <x v="1"/>
          </reference>
          <reference field="4" count="1">
            <x v="48"/>
          </reference>
        </references>
      </pivotArea>
    </format>
    <format dxfId="955">
      <pivotArea dataOnly="0" labelOnly="1" outline="0" fieldPosition="0">
        <references count="3">
          <reference field="1" count="1" selected="0">
            <x v="19"/>
          </reference>
          <reference field="3" count="1" selected="0">
            <x v="2"/>
          </reference>
          <reference field="4" count="3">
            <x v="14"/>
            <x v="26"/>
            <x v="43"/>
          </reference>
        </references>
      </pivotArea>
    </format>
    <format dxfId="954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4" count="3">
            <x v="0"/>
            <x v="29"/>
            <x v="50"/>
          </reference>
        </references>
      </pivotArea>
    </format>
    <format dxfId="95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"/>
          </reference>
          <reference field="4" count="3">
            <x v="3"/>
            <x v="31"/>
            <x v="36"/>
          </reference>
        </references>
      </pivotArea>
    </format>
    <format dxfId="952">
      <pivotArea dataOnly="0" labelOnly="1" outline="0" fieldPosition="0">
        <references count="3">
          <reference field="1" count="1" selected="0">
            <x v="11"/>
          </reference>
          <reference field="3" count="1" selected="0">
            <x v="5"/>
          </reference>
          <reference field="4" count="3">
            <x v="17"/>
            <x v="25"/>
            <x v="49"/>
          </reference>
        </references>
      </pivotArea>
    </format>
    <format dxfId="951">
      <pivotArea dataOnly="0" labelOnly="1" outline="0" fieldPosition="0">
        <references count="3">
          <reference field="1" count="1" selected="0">
            <x v="7"/>
          </reference>
          <reference field="3" count="1" selected="0">
            <x v="6"/>
          </reference>
          <reference field="4" count="3">
            <x v="5"/>
            <x v="18"/>
            <x v="51"/>
          </reference>
        </references>
      </pivotArea>
    </format>
    <format dxfId="950">
      <pivotArea dataOnly="0" labelOnly="1" outline="0" fieldPosition="0">
        <references count="3">
          <reference field="1" count="1" selected="0">
            <x v="7"/>
          </reference>
          <reference field="3" count="1" selected="0">
            <x v="7"/>
          </reference>
          <reference field="4" count="3">
            <x v="2"/>
            <x v="20"/>
            <x v="41"/>
          </reference>
        </references>
      </pivotArea>
    </format>
    <format dxfId="949">
      <pivotArea dataOnly="0" labelOnly="1" outline="0" fieldPosition="0">
        <references count="3">
          <reference field="1" count="1" selected="0">
            <x v="7"/>
          </reference>
          <reference field="3" count="1" selected="0">
            <x v="8"/>
          </reference>
          <reference field="4" count="3">
            <x v="1"/>
            <x v="19"/>
            <x v="37"/>
          </reference>
        </references>
      </pivotArea>
    </format>
    <format dxfId="94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9"/>
          </reference>
          <reference field="4" count="3">
            <x v="16"/>
            <x v="22"/>
            <x v="38"/>
          </reference>
        </references>
      </pivotArea>
    </format>
    <format dxfId="94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0"/>
          </reference>
          <reference field="4" count="3">
            <x v="12"/>
            <x v="24"/>
            <x v="42"/>
          </reference>
        </references>
      </pivotArea>
    </format>
    <format dxfId="94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1"/>
          </reference>
          <reference field="4" count="3">
            <x v="11"/>
            <x v="33"/>
            <x v="44"/>
          </reference>
        </references>
      </pivotArea>
    </format>
    <format dxfId="94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12"/>
          </reference>
          <reference field="4" count="1">
            <x v="9"/>
          </reference>
        </references>
      </pivotArea>
    </format>
    <format dxfId="944">
      <pivotArea dataOnly="0" labelOnly="1" outline="0" fieldPosition="0">
        <references count="3">
          <reference field="1" count="1" selected="0">
            <x v="20"/>
          </reference>
          <reference field="3" count="1" selected="0">
            <x v="12"/>
          </reference>
          <reference field="4" count="1">
            <x v="34"/>
          </reference>
        </references>
      </pivotArea>
    </format>
    <format dxfId="943">
      <pivotArea dataOnly="0" labelOnly="1" outline="0" fieldPosition="0">
        <references count="3">
          <reference field="1" count="1" selected="0">
            <x v="6"/>
          </reference>
          <reference field="3" count="1" selected="0">
            <x v="13"/>
          </reference>
          <reference field="4" count="1">
            <x v="30"/>
          </reference>
        </references>
      </pivotArea>
    </format>
    <format dxfId="942">
      <pivotArea dataOnly="0" labelOnly="1" outline="0" fieldPosition="0">
        <references count="3">
          <reference field="1" count="1" selected="0">
            <x v="8"/>
          </reference>
          <reference field="3" count="1" selected="0">
            <x v="13"/>
          </reference>
          <reference field="4" count="1">
            <x v="30"/>
          </reference>
        </references>
      </pivotArea>
    </format>
    <format dxfId="941">
      <pivotArea dataOnly="0" labelOnly="1" outline="0" fieldPosition="0">
        <references count="3">
          <reference field="1" count="1" selected="0">
            <x v="12"/>
          </reference>
          <reference field="3" count="1" selected="0">
            <x v="13"/>
          </reference>
          <reference field="4" count="1">
            <x v="30"/>
          </reference>
        </references>
      </pivotArea>
    </format>
    <format dxfId="940">
      <pivotArea dataOnly="0" labelOnly="1" outline="0" fieldPosition="0">
        <references count="3">
          <reference field="1" count="1" selected="0">
            <x v="18"/>
          </reference>
          <reference field="3" count="1" selected="0">
            <x v="13"/>
          </reference>
          <reference field="4" count="1">
            <x v="30"/>
          </reference>
        </references>
      </pivotArea>
    </format>
    <format dxfId="939">
      <pivotArea dataOnly="0" labelOnly="1" outline="0" fieldPosition="0">
        <references count="3">
          <reference field="1" count="1" selected="0">
            <x v="20"/>
          </reference>
          <reference field="3" count="1" selected="0">
            <x v="13"/>
          </reference>
          <reference field="4" count="1">
            <x v="8"/>
          </reference>
        </references>
      </pivotArea>
    </format>
    <format dxfId="938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4"/>
          </reference>
          <reference field="4" count="3">
            <x v="6"/>
            <x v="27"/>
            <x v="45"/>
          </reference>
        </references>
      </pivotArea>
    </format>
    <format dxfId="93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5"/>
          </reference>
          <reference field="4" count="1">
            <x v="40"/>
          </reference>
        </references>
      </pivotArea>
    </format>
    <format dxfId="936">
      <pivotArea dataOnly="0" labelOnly="1" outline="0" fieldPosition="0">
        <references count="3">
          <reference field="1" count="1" selected="0">
            <x v="6"/>
          </reference>
          <reference field="3" count="1" selected="0">
            <x v="15"/>
          </reference>
          <reference field="4" count="3">
            <x v="10"/>
            <x v="32"/>
            <x v="40"/>
          </reference>
        </references>
      </pivotArea>
    </format>
    <format dxfId="935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16"/>
          </reference>
          <reference field="4" count="1">
            <x v="28"/>
          </reference>
        </references>
      </pivotArea>
    </format>
    <format dxfId="934">
      <pivotArea dataOnly="0" labelOnly="1" outline="0" fieldPosition="0">
        <references count="3">
          <reference field="1" count="1" selected="0">
            <x v="6"/>
          </reference>
          <reference field="3" count="1" selected="0">
            <x v="16"/>
          </reference>
          <reference field="4" count="2">
            <x v="28"/>
            <x v="46"/>
          </reference>
        </references>
      </pivotArea>
    </format>
    <format dxfId="933">
      <pivotArea dataOnly="0" labelOnly="1" outline="0" fieldPosition="0">
        <references count="3">
          <reference field="1" count="1" selected="0">
            <x v="8"/>
          </reference>
          <reference field="3" count="1" selected="0">
            <x v="16"/>
          </reference>
          <reference field="4" count="1">
            <x v="28"/>
          </reference>
        </references>
      </pivotArea>
    </format>
    <format dxfId="932">
      <pivotArea dataOnly="0" labelOnly="1" outline="0" fieldPosition="0">
        <references count="3">
          <reference field="1" count="1" selected="0">
            <x v="10"/>
          </reference>
          <reference field="3" count="1" selected="0">
            <x v="16"/>
          </reference>
          <reference field="4" count="1">
            <x v="13"/>
          </reference>
        </references>
      </pivotArea>
    </format>
    <format dxfId="931">
      <pivotArea dataOnly="0" labelOnly="1" outline="0" fieldPosition="0">
        <references count="3">
          <reference field="1" count="1" selected="0">
            <x v="12"/>
          </reference>
          <reference field="3" count="1" selected="0">
            <x v="16"/>
          </reference>
          <reference field="4" count="1">
            <x v="13"/>
          </reference>
        </references>
      </pivotArea>
    </format>
    <format dxfId="930">
      <pivotArea dataOnly="0" labelOnly="1" outline="0" fieldPosition="0">
        <references count="3">
          <reference field="1" count="1" selected="0">
            <x v="13"/>
          </reference>
          <reference field="3" count="1" selected="0">
            <x v="16"/>
          </reference>
          <reference field="4" count="1">
            <x v="28"/>
          </reference>
        </references>
      </pivotArea>
    </format>
    <format dxfId="929">
      <pivotArea dataOnly="0" labelOnly="1" outline="0" fieldPosition="0">
        <references count="3">
          <reference field="1" count="1" selected="0">
            <x v="15"/>
          </reference>
          <reference field="3" count="1" selected="0">
            <x v="16"/>
          </reference>
          <reference field="4" count="1">
            <x v="13"/>
          </reference>
        </references>
      </pivotArea>
    </format>
    <format dxfId="928">
      <pivotArea dataOnly="0" labelOnly="1" outline="0" fieldPosition="0">
        <references count="3">
          <reference field="1" count="1" selected="0">
            <x v="16"/>
          </reference>
          <reference field="3" count="1" selected="0">
            <x v="16"/>
          </reference>
          <reference field="4" count="1">
            <x v="46"/>
          </reference>
        </references>
      </pivotArea>
    </format>
    <format dxfId="927">
      <pivotArea dataOnly="0" labelOnly="1" outline="0" fieldPosition="0">
        <references count="3">
          <reference field="1" count="1" selected="0">
            <x v="20"/>
          </reference>
          <reference field="3" count="1" selected="0">
            <x v="16"/>
          </reference>
          <reference field="4" count="1">
            <x v="46"/>
          </reference>
        </references>
      </pivotArea>
    </format>
    <format dxfId="92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"/>
          </reference>
          <reference field="4" count="1">
            <x v="21"/>
          </reference>
        </references>
      </pivotArea>
    </format>
    <format dxfId="925">
      <pivotArea dataOnly="0" labelOnly="1" outline="0" fieldPosition="0">
        <references count="3">
          <reference field="1" count="1" selected="0">
            <x v="7"/>
          </reference>
          <reference field="3" count="1" selected="0">
            <x v="17"/>
          </reference>
          <reference field="4" count="1">
            <x v="7"/>
          </reference>
        </references>
      </pivotArea>
    </format>
    <format dxfId="924">
      <pivotArea dataOnly="0" labelOnly="1" outline="0" fieldPosition="0">
        <references count="3">
          <reference field="1" count="1" selected="0">
            <x v="20"/>
          </reference>
          <reference field="3" count="1" selected="0">
            <x v="17"/>
          </reference>
          <reference field="4" count="1">
            <x v="39"/>
          </reference>
        </references>
      </pivotArea>
    </format>
    <format dxfId="923">
      <pivotArea dataOnly="0" labelOnly="1" outline="0" fieldPosition="0">
        <references count="3">
          <reference field="1" count="1" selected="0">
            <x v="6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922">
      <pivotArea dataOnly="0" labelOnly="1" outline="0" fieldPosition="0">
        <references count="3">
          <reference field="1" count="1" selected="0">
            <x v="9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921">
      <pivotArea dataOnly="0" labelOnly="1" outline="0" fieldPosition="0">
        <references count="3">
          <reference field="1" count="1" selected="0">
            <x v="14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920">
      <pivotArea dataOnly="0" labelOnly="1" outline="0" fieldPosition="0">
        <references count="3">
          <reference field="1" count="1" selected="0">
            <x v="17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919">
      <pivotArea dataOnly="0" labelOnly="1" outline="0" fieldPosition="0">
        <references count="3">
          <reference field="1" count="1" selected="0">
            <x v="20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918">
      <pivotArea dataOnly="0" labelOnly="1" outline="0" fieldPosition="0">
        <references count="3">
          <reference field="1" count="1" selected="0">
            <x v="23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9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6">
      <pivotArea field="3" type="button" dataOnly="0" labelOnly="1" outline="0" axis="axisRow" fieldPosition="0"/>
    </format>
    <format dxfId="915">
      <pivotArea field="1" type="button" dataOnly="0" labelOnly="1" outline="0" axis="axisRow" fieldPosition="1"/>
    </format>
    <format dxfId="914">
      <pivotArea field="4" type="button" dataOnly="0" labelOnly="1" outline="0" axis="axisRow" fieldPosition="2"/>
    </format>
    <format dxfId="9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2">
      <pivotArea type="all" dataOnly="0" outline="0" fieldPosition="0"/>
    </format>
    <format dxfId="911">
      <pivotArea field="3" type="button" dataOnly="0" labelOnly="1" outline="0" axis="axisRow" fieldPosition="0"/>
    </format>
    <format dxfId="910">
      <pivotArea dataOnly="0" labelOnly="1" outline="0" fieldPosition="0">
        <references count="1">
          <reference field="3" count="0"/>
        </references>
      </pivotArea>
    </format>
    <format dxfId="909">
      <pivotArea dataOnly="0" labelOnly="1" outline="0" fieldPosition="0">
        <references count="1">
          <reference field="3" count="19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908">
      <pivotArea dataOnly="0" labelOnly="1" grandRow="1" outline="0" fieldPosition="0"/>
    </format>
    <format dxfId="907">
      <pivotArea dataOnly="0" labelOnly="1" outline="0" fieldPosition="0">
        <references count="2">
          <reference field="1" count="6">
            <x v="6"/>
            <x v="9"/>
            <x v="14"/>
            <x v="17"/>
            <x v="20"/>
            <x v="23"/>
          </reference>
          <reference field="3" count="1" selected="0">
            <x v="18"/>
          </reference>
        </references>
      </pivotArea>
    </format>
    <format dxfId="906">
      <pivotArea dataOnly="0" labelOnly="1" outline="0" fieldPosition="0">
        <references count="3">
          <reference field="1" count="1" selected="0">
            <x v="23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905">
      <pivotArea field="3" type="button" dataOnly="0" labelOnly="1" outline="0" axis="axisRow" fieldPosition="0"/>
    </format>
    <format dxfId="904">
      <pivotArea dataOnly="0" labelOnly="1" outline="0" fieldPosition="0">
        <references count="1">
          <reference field="3" count="1">
            <x v="0"/>
          </reference>
        </references>
      </pivotArea>
    </format>
    <format dxfId="903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902">
      <pivotArea dataOnly="0" labelOnly="1" outline="0" fieldPosition="0">
        <references count="1">
          <reference field="3" count="1">
            <x v="1"/>
          </reference>
        </references>
      </pivotArea>
    </format>
    <format dxfId="901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900">
      <pivotArea dataOnly="0" labelOnly="1" outline="0" fieldPosition="0">
        <references count="1">
          <reference field="3" count="1">
            <x v="2"/>
          </reference>
        </references>
      </pivotArea>
    </format>
    <format dxfId="899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898">
      <pivotArea dataOnly="0" labelOnly="1" outline="0" fieldPosition="0">
        <references count="1">
          <reference field="3" count="1">
            <x v="3"/>
          </reference>
        </references>
      </pivotArea>
    </format>
    <format dxfId="897">
      <pivotArea dataOnly="0" labelOnly="1" outline="0" fieldPosition="0">
        <references count="1">
          <reference field="3" count="1" defaultSubtotal="1">
            <x v="3"/>
          </reference>
        </references>
      </pivotArea>
    </format>
    <format dxfId="896">
      <pivotArea dataOnly="0" labelOnly="1" outline="0" fieldPosition="0">
        <references count="1">
          <reference field="3" count="1">
            <x v="4"/>
          </reference>
        </references>
      </pivotArea>
    </format>
    <format dxfId="895">
      <pivotArea dataOnly="0" labelOnly="1" outline="0" fieldPosition="0">
        <references count="1">
          <reference field="3" count="1" defaultSubtotal="1">
            <x v="4"/>
          </reference>
        </references>
      </pivotArea>
    </format>
    <format dxfId="894">
      <pivotArea dataOnly="0" labelOnly="1" outline="0" fieldPosition="0">
        <references count="1">
          <reference field="3" count="1">
            <x v="5"/>
          </reference>
        </references>
      </pivotArea>
    </format>
    <format dxfId="893">
      <pivotArea dataOnly="0" labelOnly="1" outline="0" fieldPosition="0">
        <references count="1">
          <reference field="3" count="1" defaultSubtotal="1">
            <x v="5"/>
          </reference>
        </references>
      </pivotArea>
    </format>
    <format dxfId="892">
      <pivotArea dataOnly="0" labelOnly="1" outline="0" fieldPosition="0">
        <references count="1">
          <reference field="3" count="1">
            <x v="6"/>
          </reference>
        </references>
      </pivotArea>
    </format>
    <format dxfId="891">
      <pivotArea dataOnly="0" labelOnly="1" outline="0" fieldPosition="0">
        <references count="1">
          <reference field="3" count="1" defaultSubtotal="1">
            <x v="6"/>
          </reference>
        </references>
      </pivotArea>
    </format>
    <format dxfId="890">
      <pivotArea dataOnly="0" labelOnly="1" outline="0" fieldPosition="0">
        <references count="1">
          <reference field="3" count="1">
            <x v="7"/>
          </reference>
        </references>
      </pivotArea>
    </format>
    <format dxfId="889">
      <pivotArea dataOnly="0" labelOnly="1" outline="0" fieldPosition="0">
        <references count="1">
          <reference field="3" count="1" defaultSubtotal="1">
            <x v="7"/>
          </reference>
        </references>
      </pivotArea>
    </format>
    <format dxfId="888">
      <pivotArea dataOnly="0" labelOnly="1" outline="0" fieldPosition="0">
        <references count="1">
          <reference field="3" count="1">
            <x v="8"/>
          </reference>
        </references>
      </pivotArea>
    </format>
    <format dxfId="887">
      <pivotArea dataOnly="0" labelOnly="1" outline="0" fieldPosition="0">
        <references count="1">
          <reference field="3" count="1" defaultSubtotal="1">
            <x v="8"/>
          </reference>
        </references>
      </pivotArea>
    </format>
    <format dxfId="886">
      <pivotArea dataOnly="0" labelOnly="1" outline="0" fieldPosition="0">
        <references count="1">
          <reference field="3" count="1">
            <x v="9"/>
          </reference>
        </references>
      </pivotArea>
    </format>
    <format dxfId="885">
      <pivotArea dataOnly="0" labelOnly="1" outline="0" fieldPosition="0">
        <references count="1">
          <reference field="3" count="1" defaultSubtotal="1">
            <x v="9"/>
          </reference>
        </references>
      </pivotArea>
    </format>
    <format dxfId="884">
      <pivotArea dataOnly="0" labelOnly="1" outline="0" fieldPosition="0">
        <references count="1">
          <reference field="3" count="1">
            <x v="10"/>
          </reference>
        </references>
      </pivotArea>
    </format>
    <format dxfId="883">
      <pivotArea dataOnly="0" labelOnly="1" outline="0" fieldPosition="0">
        <references count="1">
          <reference field="3" count="1" defaultSubtotal="1">
            <x v="10"/>
          </reference>
        </references>
      </pivotArea>
    </format>
    <format dxfId="882">
      <pivotArea dataOnly="0" labelOnly="1" outline="0" fieldPosition="0">
        <references count="1">
          <reference field="3" count="1">
            <x v="11"/>
          </reference>
        </references>
      </pivotArea>
    </format>
    <format dxfId="881">
      <pivotArea dataOnly="0" labelOnly="1" outline="0" fieldPosition="0">
        <references count="1">
          <reference field="3" count="1" defaultSubtotal="1">
            <x v="11"/>
          </reference>
        </references>
      </pivotArea>
    </format>
    <format dxfId="880">
      <pivotArea dataOnly="0" labelOnly="1" outline="0" fieldPosition="0">
        <references count="1">
          <reference field="3" count="1">
            <x v="12"/>
          </reference>
        </references>
      </pivotArea>
    </format>
    <format dxfId="879">
      <pivotArea dataOnly="0" labelOnly="1" outline="0" fieldPosition="0">
        <references count="1">
          <reference field="3" count="1" defaultSubtotal="1">
            <x v="12"/>
          </reference>
        </references>
      </pivotArea>
    </format>
    <format dxfId="878">
      <pivotArea dataOnly="0" labelOnly="1" outline="0" fieldPosition="0">
        <references count="1">
          <reference field="3" count="1">
            <x v="13"/>
          </reference>
        </references>
      </pivotArea>
    </format>
    <format dxfId="877">
      <pivotArea dataOnly="0" labelOnly="1" outline="0" fieldPosition="0">
        <references count="1">
          <reference field="3" count="1" defaultSubtotal="1">
            <x v="13"/>
          </reference>
        </references>
      </pivotArea>
    </format>
    <format dxfId="876">
      <pivotArea dataOnly="0" labelOnly="1" outline="0" fieldPosition="0">
        <references count="1">
          <reference field="3" count="1">
            <x v="14"/>
          </reference>
        </references>
      </pivotArea>
    </format>
    <format dxfId="875">
      <pivotArea dataOnly="0" labelOnly="1" outline="0" fieldPosition="0">
        <references count="1">
          <reference field="3" count="1" defaultSubtotal="1">
            <x v="14"/>
          </reference>
        </references>
      </pivotArea>
    </format>
    <format dxfId="874">
      <pivotArea dataOnly="0" labelOnly="1" outline="0" fieldPosition="0">
        <references count="1">
          <reference field="3" count="1">
            <x v="15"/>
          </reference>
        </references>
      </pivotArea>
    </format>
    <format dxfId="873">
      <pivotArea dataOnly="0" labelOnly="1" outline="0" fieldPosition="0">
        <references count="1">
          <reference field="3" count="1" defaultSubtotal="1">
            <x v="15"/>
          </reference>
        </references>
      </pivotArea>
    </format>
    <format dxfId="872">
      <pivotArea dataOnly="0" labelOnly="1" outline="0" fieldPosition="0">
        <references count="1">
          <reference field="3" count="1">
            <x v="16"/>
          </reference>
        </references>
      </pivotArea>
    </format>
    <format dxfId="871">
      <pivotArea dataOnly="0" labelOnly="1" outline="0" fieldPosition="0">
        <references count="1">
          <reference field="3" count="1" defaultSubtotal="1">
            <x v="16"/>
          </reference>
        </references>
      </pivotArea>
    </format>
    <format dxfId="870">
      <pivotArea dataOnly="0" labelOnly="1" outline="0" fieldPosition="0">
        <references count="1">
          <reference field="3" count="1">
            <x v="17"/>
          </reference>
        </references>
      </pivotArea>
    </format>
    <format dxfId="869">
      <pivotArea dataOnly="0" labelOnly="1" outline="0" fieldPosition="0">
        <references count="1">
          <reference field="3" count="1" defaultSubtotal="1">
            <x v="17"/>
          </reference>
        </references>
      </pivotArea>
    </format>
    <format dxfId="868">
      <pivotArea dataOnly="0" labelOnly="1" outline="0" fieldPosition="0">
        <references count="1">
          <reference field="3" count="1">
            <x v="18"/>
          </reference>
        </references>
      </pivotArea>
    </format>
    <format dxfId="867">
      <pivotArea dataOnly="0" labelOnly="1" outline="0" fieldPosition="0">
        <references count="1">
          <reference field="3" count="1" defaultSubtotal="1">
            <x v="18"/>
          </reference>
        </references>
      </pivotArea>
    </format>
    <format dxfId="866">
      <pivotArea dataOnly="0" labelOnly="1" outline="0" fieldPosition="0">
        <references count="1">
          <reference field="3" count="1">
            <x v="19"/>
          </reference>
        </references>
      </pivotArea>
    </format>
    <format dxfId="865">
      <pivotArea dataOnly="0" labelOnly="1" grandRow="1" outline="0" fieldPosition="0"/>
    </format>
    <format dxfId="864">
      <pivotArea field="3" type="button" dataOnly="0" labelOnly="1" outline="0" axis="axisRow" fieldPosition="0"/>
    </format>
    <format dxfId="863">
      <pivotArea dataOnly="0" labelOnly="1" outline="0" fieldPosition="0">
        <references count="1">
          <reference field="3" count="1">
            <x v="18"/>
          </reference>
        </references>
      </pivotArea>
    </format>
    <format dxfId="862">
      <pivotArea field="3" type="button" dataOnly="0" labelOnly="1" outline="0" axis="axisRow" fieldPosition="0"/>
    </format>
    <format dxfId="861">
      <pivotArea outline="0" fieldPosition="0">
        <references count="1">
          <reference field="3" count="1" selected="0" defaultSubtotal="1">
            <x v="0"/>
          </reference>
        </references>
      </pivotArea>
    </format>
    <format dxfId="860">
      <pivotArea outline="0" fieldPosition="0">
        <references count="1">
          <reference field="3" count="1" selected="0" defaultSubtotal="1">
            <x v="2"/>
          </reference>
        </references>
      </pivotArea>
    </format>
    <format dxfId="859">
      <pivotArea outline="0" fieldPosition="0">
        <references count="1">
          <reference field="3" count="1" selected="0" defaultSubtotal="1">
            <x v="1"/>
          </reference>
        </references>
      </pivotArea>
    </format>
    <format dxfId="858">
      <pivotArea outline="0" fieldPosition="0">
        <references count="1">
          <reference field="3" count="1" selected="0" defaultSubtotal="1">
            <x v="3"/>
          </reference>
        </references>
      </pivotArea>
    </format>
    <format dxfId="857">
      <pivotArea outline="0" fieldPosition="0">
        <references count="1">
          <reference field="3" count="1" selected="0" defaultSubtotal="1">
            <x v="4"/>
          </reference>
        </references>
      </pivotArea>
    </format>
    <format dxfId="856">
      <pivotArea outline="0" fieldPosition="0">
        <references count="1">
          <reference field="3" count="1" selected="0" defaultSubtotal="1">
            <x v="5"/>
          </reference>
        </references>
      </pivotArea>
    </format>
    <format dxfId="855">
      <pivotArea outline="0" fieldPosition="0">
        <references count="1">
          <reference field="3" count="1" selected="0" defaultSubtotal="1">
            <x v="6"/>
          </reference>
        </references>
      </pivotArea>
    </format>
    <format dxfId="854">
      <pivotArea outline="0" fieldPosition="0">
        <references count="1">
          <reference field="3" count="1" selected="0" defaultSubtotal="1">
            <x v="7"/>
          </reference>
        </references>
      </pivotArea>
    </format>
    <format dxfId="853">
      <pivotArea outline="0" fieldPosition="0">
        <references count="1">
          <reference field="3" count="1" selected="0" defaultSubtotal="1">
            <x v="8"/>
          </reference>
        </references>
      </pivotArea>
    </format>
    <format dxfId="852">
      <pivotArea outline="0" fieldPosition="0">
        <references count="1">
          <reference field="3" count="1" selected="0" defaultSubtotal="1">
            <x v="9"/>
          </reference>
        </references>
      </pivotArea>
    </format>
    <format dxfId="851">
      <pivotArea outline="0" fieldPosition="0">
        <references count="1">
          <reference field="3" count="1" selected="0" defaultSubtotal="1">
            <x v="10"/>
          </reference>
        </references>
      </pivotArea>
    </format>
    <format dxfId="850">
      <pivotArea outline="0" fieldPosition="0">
        <references count="1">
          <reference field="3" count="1" selected="0" defaultSubtotal="1">
            <x v="11"/>
          </reference>
        </references>
      </pivotArea>
    </format>
    <format dxfId="849">
      <pivotArea outline="0" fieldPosition="0">
        <references count="1">
          <reference field="3" count="1" selected="0" defaultSubtotal="1">
            <x v="12"/>
          </reference>
        </references>
      </pivotArea>
    </format>
    <format dxfId="848">
      <pivotArea outline="0" fieldPosition="0">
        <references count="1">
          <reference field="3" count="1" selected="0" defaultSubtotal="1">
            <x v="13"/>
          </reference>
        </references>
      </pivotArea>
    </format>
    <format dxfId="847">
      <pivotArea outline="0" fieldPosition="0">
        <references count="1">
          <reference field="3" count="1" selected="0" defaultSubtotal="1">
            <x v="14"/>
          </reference>
        </references>
      </pivotArea>
    </format>
    <format dxfId="846">
      <pivotArea outline="0" fieldPosition="0">
        <references count="1">
          <reference field="3" count="1" selected="0" defaultSubtotal="1">
            <x v="15"/>
          </reference>
        </references>
      </pivotArea>
    </format>
    <format dxfId="845">
      <pivotArea outline="0" fieldPosition="0">
        <references count="1">
          <reference field="3" count="1" selected="0" defaultSubtotal="1">
            <x v="16"/>
          </reference>
        </references>
      </pivotArea>
    </format>
    <format dxfId="844">
      <pivotArea outline="0" fieldPosition="0">
        <references count="1">
          <reference field="3" count="1" selected="0" defaultSubtotal="1">
            <x v="17"/>
          </reference>
        </references>
      </pivotArea>
    </format>
    <format dxfId="843">
      <pivotArea outline="0" fieldPosition="0">
        <references count="1">
          <reference field="3" count="1" selected="0" defaultSubtotal="1">
            <x v="18"/>
          </reference>
        </references>
      </pivotArea>
    </format>
    <format dxfId="842">
      <pivotArea outline="0" fieldPosition="0">
        <references count="3">
          <reference field="1" count="1" selected="0">
            <x v="23"/>
          </reference>
          <reference field="3" count="1" selected="0">
            <x v="18"/>
          </reference>
          <reference field="4" count="1" selected="0">
            <x v="52"/>
          </reference>
        </references>
      </pivotArea>
    </format>
    <format dxfId="841">
      <pivotArea dataOnly="0" labelOnly="1" outline="0" offset="IV11" fieldPosition="0">
        <references count="1">
          <reference field="3" count="1">
            <x v="18"/>
          </reference>
        </references>
      </pivotArea>
    </format>
    <format dxfId="840">
      <pivotArea dataOnly="0" labelOnly="1" outline="0" fieldPosition="0">
        <references count="2">
          <reference field="1" count="1">
            <x v="23"/>
          </reference>
          <reference field="3" count="1" selected="0">
            <x v="18"/>
          </reference>
        </references>
      </pivotArea>
    </format>
    <format dxfId="839">
      <pivotArea dataOnly="0" labelOnly="1" outline="0" fieldPosition="0">
        <references count="3">
          <reference field="1" count="1" selected="0">
            <x v="23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838">
      <pivotArea dataOnly="0" labelOnly="1" grandRow="1" outline="0" fieldPosition="0"/>
    </format>
    <format dxfId="837">
      <pivotArea type="all" dataOnly="0" outline="0" fieldPosition="0"/>
    </format>
    <format dxfId="836">
      <pivotArea field="3" type="button" dataOnly="0" labelOnly="1" outline="0" axis="axisRow" fieldPosition="0"/>
    </format>
    <format dxfId="835">
      <pivotArea field="3" type="button" dataOnly="0" labelOnly="1" outline="0" axis="axisRow" fieldPosition="0"/>
    </format>
    <format dxfId="834">
      <pivotArea type="all" dataOnly="0" outline="0" fieldPosition="0"/>
    </format>
    <format dxfId="833">
      <pivotArea outline="0" collapsedLevelsAreSubtotals="1" fieldPosition="0"/>
    </format>
    <format dxfId="832">
      <pivotArea field="3" type="button" dataOnly="0" labelOnly="1" outline="0" axis="axisRow" fieldPosition="0"/>
    </format>
    <format dxfId="831">
      <pivotArea field="1" type="button" dataOnly="0" labelOnly="1" outline="0" axis="axisRow" fieldPosition="1"/>
    </format>
    <format dxfId="830">
      <pivotArea field="4" type="button" dataOnly="0" labelOnly="1" outline="0" axis="axisRow" fieldPosition="2"/>
    </format>
    <format dxfId="829">
      <pivotArea dataOnly="0" labelOnly="1" outline="0" fieldPosition="0">
        <references count="1">
          <reference field="3" count="0"/>
        </references>
      </pivotArea>
    </format>
    <format dxfId="828">
      <pivotArea dataOnly="0" labelOnly="1" outline="0" fieldPosition="0">
        <references count="1">
          <reference field="3" count="19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827">
      <pivotArea dataOnly="0" labelOnly="1" grandRow="1" outline="0" fieldPosition="0"/>
    </format>
    <format dxfId="826">
      <pivotArea dataOnly="0" labelOnly="1" outline="0" fieldPosition="0">
        <references count="2">
          <reference field="1" count="1">
            <x v="19"/>
          </reference>
          <reference field="3" count="1" selected="0">
            <x v="0"/>
          </reference>
        </references>
      </pivotArea>
    </format>
    <format dxfId="825">
      <pivotArea dataOnly="0" labelOnly="1" outline="0" fieldPosition="0">
        <references count="2">
          <reference field="1" count="1" defaultSubtotal="1">
            <x v="19"/>
          </reference>
          <reference field="3" count="1" selected="0">
            <x v="0"/>
          </reference>
        </references>
      </pivotArea>
    </format>
    <format dxfId="824">
      <pivotArea dataOnly="0" labelOnly="1" outline="0" fieldPosition="0">
        <references count="2">
          <reference field="1" count="2">
            <x v="19"/>
            <x v="21"/>
          </reference>
          <reference field="3" count="1" selected="0">
            <x v="1"/>
          </reference>
        </references>
      </pivotArea>
    </format>
    <format dxfId="823">
      <pivotArea dataOnly="0" labelOnly="1" outline="0" fieldPosition="0">
        <references count="2">
          <reference field="1" count="2" defaultSubtotal="1">
            <x v="19"/>
            <x v="21"/>
          </reference>
          <reference field="3" count="1" selected="0">
            <x v="1"/>
          </reference>
        </references>
      </pivotArea>
    </format>
    <format dxfId="822">
      <pivotArea dataOnly="0" labelOnly="1" outline="0" fieldPosition="0">
        <references count="2">
          <reference field="1" count="1">
            <x v="19"/>
          </reference>
          <reference field="3" count="1" selected="0">
            <x v="2"/>
          </reference>
        </references>
      </pivotArea>
    </format>
    <format dxfId="821">
      <pivotArea dataOnly="0" labelOnly="1" outline="0" fieldPosition="0">
        <references count="2">
          <reference field="1" count="1" defaultSubtotal="1">
            <x v="19"/>
          </reference>
          <reference field="3" count="1" selected="0">
            <x v="2"/>
          </reference>
        </references>
      </pivotArea>
    </format>
    <format dxfId="820">
      <pivotArea dataOnly="0" labelOnly="1" outline="0" fieldPosition="0">
        <references count="2">
          <reference field="1" count="1">
            <x v="0"/>
          </reference>
          <reference field="3" count="1" selected="0">
            <x v="3"/>
          </reference>
        </references>
      </pivotArea>
    </format>
    <format dxfId="819">
      <pivotArea dataOnly="0" labelOnly="1" outline="0" fieldPosition="0">
        <references count="2">
          <reference field="1" count="1" defaultSubtotal="1">
            <x v="0"/>
          </reference>
          <reference field="3" count="1" selected="0">
            <x v="3"/>
          </reference>
        </references>
      </pivotArea>
    </format>
    <format dxfId="818">
      <pivotArea dataOnly="0" labelOnly="1" outline="0" fieldPosition="0">
        <references count="2">
          <reference field="1" count="1">
            <x v="2"/>
          </reference>
          <reference field="3" count="1" selected="0">
            <x v="4"/>
          </reference>
        </references>
      </pivotArea>
    </format>
    <format dxfId="817">
      <pivotArea dataOnly="0" labelOnly="1" outline="0" fieldPosition="0">
        <references count="2">
          <reference field="1" count="1" defaultSubtotal="1">
            <x v="2"/>
          </reference>
          <reference field="3" count="1" selected="0">
            <x v="4"/>
          </reference>
        </references>
      </pivotArea>
    </format>
    <format dxfId="816">
      <pivotArea dataOnly="0" labelOnly="1" outline="0" fieldPosition="0">
        <references count="2">
          <reference field="1" count="1">
            <x v="11"/>
          </reference>
          <reference field="3" count="1" selected="0">
            <x v="5"/>
          </reference>
        </references>
      </pivotArea>
    </format>
    <format dxfId="815">
      <pivotArea dataOnly="0" labelOnly="1" outline="0" fieldPosition="0">
        <references count="2">
          <reference field="1" count="1" defaultSubtotal="1">
            <x v="11"/>
          </reference>
          <reference field="3" count="1" selected="0">
            <x v="5"/>
          </reference>
        </references>
      </pivotArea>
    </format>
    <format dxfId="814">
      <pivotArea dataOnly="0" labelOnly="1" outline="0" fieldPosition="0">
        <references count="2">
          <reference field="1" count="1">
            <x v="7"/>
          </reference>
          <reference field="3" count="1" selected="0">
            <x v="6"/>
          </reference>
        </references>
      </pivotArea>
    </format>
    <format dxfId="813">
      <pivotArea dataOnly="0" labelOnly="1" outline="0" fieldPosition="0">
        <references count="2">
          <reference field="1" count="1" defaultSubtotal="1">
            <x v="7"/>
          </reference>
          <reference field="3" count="1" selected="0">
            <x v="6"/>
          </reference>
        </references>
      </pivotArea>
    </format>
    <format dxfId="812">
      <pivotArea dataOnly="0" labelOnly="1" outline="0" fieldPosition="0">
        <references count="2">
          <reference field="1" count="1">
            <x v="7"/>
          </reference>
          <reference field="3" count="1" selected="0">
            <x v="7"/>
          </reference>
        </references>
      </pivotArea>
    </format>
    <format dxfId="811">
      <pivotArea dataOnly="0" labelOnly="1" outline="0" fieldPosition="0">
        <references count="2">
          <reference field="1" count="1" defaultSubtotal="1">
            <x v="7"/>
          </reference>
          <reference field="3" count="1" selected="0">
            <x v="7"/>
          </reference>
        </references>
      </pivotArea>
    </format>
    <format dxfId="810">
      <pivotArea dataOnly="0" labelOnly="1" outline="0" fieldPosition="0">
        <references count="2">
          <reference field="1" count="1">
            <x v="7"/>
          </reference>
          <reference field="3" count="1" selected="0">
            <x v="8"/>
          </reference>
        </references>
      </pivotArea>
    </format>
    <format dxfId="809">
      <pivotArea dataOnly="0" labelOnly="1" outline="0" fieldPosition="0">
        <references count="2">
          <reference field="1" count="1" defaultSubtotal="1">
            <x v="7"/>
          </reference>
          <reference field="3" count="1" selected="0">
            <x v="8"/>
          </reference>
        </references>
      </pivotArea>
    </format>
    <format dxfId="808">
      <pivotArea dataOnly="0" labelOnly="1" outline="0" fieldPosition="0">
        <references count="2">
          <reference field="1" count="1">
            <x v="1"/>
          </reference>
          <reference field="3" count="1" selected="0">
            <x v="9"/>
          </reference>
        </references>
      </pivotArea>
    </format>
    <format dxfId="807">
      <pivotArea dataOnly="0" labelOnly="1" outline="0" fieldPosition="0">
        <references count="2">
          <reference field="1" count="1" defaultSubtotal="1">
            <x v="1"/>
          </reference>
          <reference field="3" count="1" selected="0">
            <x v="9"/>
          </reference>
        </references>
      </pivotArea>
    </format>
    <format dxfId="806">
      <pivotArea dataOnly="0" labelOnly="1" outline="0" fieldPosition="0">
        <references count="2">
          <reference field="1" count="1">
            <x v="1"/>
          </reference>
          <reference field="3" count="1" selected="0">
            <x v="10"/>
          </reference>
        </references>
      </pivotArea>
    </format>
    <format dxfId="805">
      <pivotArea dataOnly="0" labelOnly="1" outline="0" fieldPosition="0">
        <references count="2">
          <reference field="1" count="1" defaultSubtotal="1">
            <x v="1"/>
          </reference>
          <reference field="3" count="1" selected="0">
            <x v="10"/>
          </reference>
        </references>
      </pivotArea>
    </format>
    <format dxfId="804">
      <pivotArea dataOnly="0" labelOnly="1" outline="0" fieldPosition="0">
        <references count="2">
          <reference field="1" count="1">
            <x v="1"/>
          </reference>
          <reference field="3" count="1" selected="0">
            <x v="11"/>
          </reference>
        </references>
      </pivotArea>
    </format>
    <format dxfId="803">
      <pivotArea dataOnly="0" labelOnly="1" outline="0" fieldPosition="0">
        <references count="2">
          <reference field="1" count="1" defaultSubtotal="1">
            <x v="1"/>
          </reference>
          <reference field="3" count="1" selected="0">
            <x v="11"/>
          </reference>
        </references>
      </pivotArea>
    </format>
    <format dxfId="802">
      <pivotArea dataOnly="0" labelOnly="1" outline="0" fieldPosition="0">
        <references count="2">
          <reference field="1" count="2">
            <x v="3"/>
            <x v="20"/>
          </reference>
          <reference field="3" count="1" selected="0">
            <x v="12"/>
          </reference>
        </references>
      </pivotArea>
    </format>
    <format dxfId="801">
      <pivotArea dataOnly="0" labelOnly="1" outline="0" fieldPosition="0">
        <references count="2">
          <reference field="1" count="2" defaultSubtotal="1">
            <x v="3"/>
            <x v="20"/>
          </reference>
          <reference field="3" count="1" selected="0">
            <x v="12"/>
          </reference>
        </references>
      </pivotArea>
    </format>
    <format dxfId="800">
      <pivotArea dataOnly="0" labelOnly="1" outline="0" fieldPosition="0">
        <references count="2">
          <reference field="1" count="5">
            <x v="6"/>
            <x v="8"/>
            <x v="12"/>
            <x v="18"/>
            <x v="20"/>
          </reference>
          <reference field="3" count="1" selected="0">
            <x v="13"/>
          </reference>
        </references>
      </pivotArea>
    </format>
    <format dxfId="799">
      <pivotArea dataOnly="0" labelOnly="1" outline="0" fieldPosition="0">
        <references count="2">
          <reference field="1" count="5" defaultSubtotal="1">
            <x v="6"/>
            <x v="8"/>
            <x v="12"/>
            <x v="18"/>
            <x v="20"/>
          </reference>
          <reference field="3" count="1" selected="0">
            <x v="13"/>
          </reference>
        </references>
      </pivotArea>
    </format>
    <format dxfId="798">
      <pivotArea dataOnly="0" labelOnly="1" outline="0" fieldPosition="0">
        <references count="2">
          <reference field="1" count="1">
            <x v="0"/>
          </reference>
          <reference field="3" count="1" selected="0">
            <x v="14"/>
          </reference>
        </references>
      </pivotArea>
    </format>
    <format dxfId="797">
      <pivotArea dataOnly="0" labelOnly="1" outline="0" fieldPosition="0">
        <references count="2">
          <reference field="1" count="1" defaultSubtotal="1">
            <x v="0"/>
          </reference>
          <reference field="3" count="1" selected="0">
            <x v="14"/>
          </reference>
        </references>
      </pivotArea>
    </format>
    <format dxfId="796">
      <pivotArea dataOnly="0" labelOnly="1" outline="0" fieldPosition="0">
        <references count="2">
          <reference field="1" count="2">
            <x v="2"/>
            <x v="6"/>
          </reference>
          <reference field="3" count="1" selected="0">
            <x v="15"/>
          </reference>
        </references>
      </pivotArea>
    </format>
    <format dxfId="795">
      <pivotArea dataOnly="0" labelOnly="1" outline="0" fieldPosition="0">
        <references count="2">
          <reference field="1" count="2" defaultSubtotal="1">
            <x v="2"/>
            <x v="6"/>
          </reference>
          <reference field="3" count="1" selected="0">
            <x v="15"/>
          </reference>
        </references>
      </pivotArea>
    </format>
    <format dxfId="794">
      <pivotArea dataOnly="0" labelOnly="1" outline="0" fieldPosition="0">
        <references count="2">
          <reference field="1" count="9">
            <x v="4"/>
            <x v="6"/>
            <x v="8"/>
            <x v="10"/>
            <x v="12"/>
            <x v="13"/>
            <x v="15"/>
            <x v="16"/>
            <x v="20"/>
          </reference>
          <reference field="3" count="1" selected="0">
            <x v="16"/>
          </reference>
        </references>
      </pivotArea>
    </format>
    <format dxfId="793">
      <pivotArea dataOnly="0" labelOnly="1" outline="0" fieldPosition="0">
        <references count="2">
          <reference field="1" count="9" defaultSubtotal="1">
            <x v="4"/>
            <x v="6"/>
            <x v="8"/>
            <x v="10"/>
            <x v="12"/>
            <x v="13"/>
            <x v="15"/>
            <x v="16"/>
            <x v="20"/>
          </reference>
          <reference field="3" count="1" selected="0">
            <x v="16"/>
          </reference>
        </references>
      </pivotArea>
    </format>
    <format dxfId="792">
      <pivotArea dataOnly="0" labelOnly="1" outline="0" fieldPosition="0">
        <references count="2">
          <reference field="1" count="3">
            <x v="5"/>
            <x v="7"/>
            <x v="20"/>
          </reference>
          <reference field="3" count="1" selected="0">
            <x v="17"/>
          </reference>
        </references>
      </pivotArea>
    </format>
    <format dxfId="791">
      <pivotArea dataOnly="0" labelOnly="1" outline="0" fieldPosition="0">
        <references count="2">
          <reference field="1" count="3" defaultSubtotal="1">
            <x v="5"/>
            <x v="7"/>
            <x v="20"/>
          </reference>
          <reference field="3" count="1" selected="0">
            <x v="17"/>
          </reference>
        </references>
      </pivotArea>
    </format>
    <format dxfId="790">
      <pivotArea dataOnly="0" labelOnly="1" outline="0" fieldPosition="0">
        <references count="2">
          <reference field="1" count="6">
            <x v="6"/>
            <x v="9"/>
            <x v="14"/>
            <x v="17"/>
            <x v="20"/>
            <x v="23"/>
          </reference>
          <reference field="3" count="1" selected="0">
            <x v="18"/>
          </reference>
        </references>
      </pivotArea>
    </format>
    <format dxfId="789">
      <pivotArea dataOnly="0" labelOnly="1" outline="0" fieldPosition="0">
        <references count="2">
          <reference field="1" count="6" defaultSubtotal="1">
            <x v="6"/>
            <x v="9"/>
            <x v="14"/>
            <x v="17"/>
            <x v="20"/>
            <x v="23"/>
          </reference>
          <reference field="3" count="1" selected="0">
            <x v="18"/>
          </reference>
        </references>
      </pivotArea>
    </format>
    <format dxfId="788">
      <pivotArea dataOnly="0" labelOnly="1" outline="0" fieldPosition="0">
        <references count="3">
          <reference field="1" count="1" selected="0">
            <x v="19"/>
          </reference>
          <reference field="3" count="1" selected="0">
            <x v="0"/>
          </reference>
          <reference field="4" count="3">
            <x v="15"/>
            <x v="35"/>
            <x v="47"/>
          </reference>
        </references>
      </pivotArea>
    </format>
    <format dxfId="787">
      <pivotArea dataOnly="0" labelOnly="1" outline="0" fieldPosition="0">
        <references count="3">
          <reference field="1" count="1" selected="0">
            <x v="19"/>
          </reference>
          <reference field="3" count="1" selected="0">
            <x v="1"/>
          </reference>
          <reference field="4" count="2">
            <x v="4"/>
            <x v="23"/>
          </reference>
        </references>
      </pivotArea>
    </format>
    <format dxfId="786">
      <pivotArea dataOnly="0" labelOnly="1" outline="0" fieldPosition="0">
        <references count="3">
          <reference field="1" count="1" selected="0">
            <x v="21"/>
          </reference>
          <reference field="3" count="1" selected="0">
            <x v="1"/>
          </reference>
          <reference field="4" count="1">
            <x v="48"/>
          </reference>
        </references>
      </pivotArea>
    </format>
    <format dxfId="785">
      <pivotArea dataOnly="0" labelOnly="1" outline="0" fieldPosition="0">
        <references count="3">
          <reference field="1" count="1" selected="0">
            <x v="19"/>
          </reference>
          <reference field="3" count="1" selected="0">
            <x v="2"/>
          </reference>
          <reference field="4" count="3">
            <x v="14"/>
            <x v="26"/>
            <x v="43"/>
          </reference>
        </references>
      </pivotArea>
    </format>
    <format dxfId="784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4" count="3">
            <x v="0"/>
            <x v="29"/>
            <x v="50"/>
          </reference>
        </references>
      </pivotArea>
    </format>
    <format dxfId="78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"/>
          </reference>
          <reference field="4" count="3">
            <x v="3"/>
            <x v="31"/>
            <x v="36"/>
          </reference>
        </references>
      </pivotArea>
    </format>
    <format dxfId="782">
      <pivotArea dataOnly="0" labelOnly="1" outline="0" fieldPosition="0">
        <references count="3">
          <reference field="1" count="1" selected="0">
            <x v="11"/>
          </reference>
          <reference field="3" count="1" selected="0">
            <x v="5"/>
          </reference>
          <reference field="4" count="3">
            <x v="17"/>
            <x v="25"/>
            <x v="49"/>
          </reference>
        </references>
      </pivotArea>
    </format>
    <format dxfId="781">
      <pivotArea dataOnly="0" labelOnly="1" outline="0" fieldPosition="0">
        <references count="3">
          <reference field="1" count="1" selected="0">
            <x v="7"/>
          </reference>
          <reference field="3" count="1" selected="0">
            <x v="6"/>
          </reference>
          <reference field="4" count="3">
            <x v="5"/>
            <x v="18"/>
            <x v="51"/>
          </reference>
        </references>
      </pivotArea>
    </format>
    <format dxfId="780">
      <pivotArea dataOnly="0" labelOnly="1" outline="0" fieldPosition="0">
        <references count="3">
          <reference field="1" count="1" selected="0">
            <x v="7"/>
          </reference>
          <reference field="3" count="1" selected="0">
            <x v="7"/>
          </reference>
          <reference field="4" count="3">
            <x v="2"/>
            <x v="20"/>
            <x v="41"/>
          </reference>
        </references>
      </pivotArea>
    </format>
    <format dxfId="779">
      <pivotArea dataOnly="0" labelOnly="1" outline="0" fieldPosition="0">
        <references count="3">
          <reference field="1" count="1" selected="0">
            <x v="7"/>
          </reference>
          <reference field="3" count="1" selected="0">
            <x v="8"/>
          </reference>
          <reference field="4" count="3">
            <x v="1"/>
            <x v="19"/>
            <x v="37"/>
          </reference>
        </references>
      </pivotArea>
    </format>
    <format dxfId="77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9"/>
          </reference>
          <reference field="4" count="3">
            <x v="16"/>
            <x v="22"/>
            <x v="38"/>
          </reference>
        </references>
      </pivotArea>
    </format>
    <format dxfId="77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0"/>
          </reference>
          <reference field="4" count="3">
            <x v="12"/>
            <x v="24"/>
            <x v="42"/>
          </reference>
        </references>
      </pivotArea>
    </format>
    <format dxfId="77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1"/>
          </reference>
          <reference field="4" count="3">
            <x v="11"/>
            <x v="33"/>
            <x v="44"/>
          </reference>
        </references>
      </pivotArea>
    </format>
    <format dxfId="77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12"/>
          </reference>
          <reference field="4" count="1">
            <x v="9"/>
          </reference>
        </references>
      </pivotArea>
    </format>
    <format dxfId="774">
      <pivotArea dataOnly="0" labelOnly="1" outline="0" fieldPosition="0">
        <references count="3">
          <reference field="1" count="1" selected="0">
            <x v="20"/>
          </reference>
          <reference field="3" count="1" selected="0">
            <x v="12"/>
          </reference>
          <reference field="4" count="1">
            <x v="34"/>
          </reference>
        </references>
      </pivotArea>
    </format>
    <format dxfId="773">
      <pivotArea dataOnly="0" labelOnly="1" outline="0" fieldPosition="0">
        <references count="3">
          <reference field="1" count="1" selected="0">
            <x v="6"/>
          </reference>
          <reference field="3" count="1" selected="0">
            <x v="13"/>
          </reference>
          <reference field="4" count="1">
            <x v="30"/>
          </reference>
        </references>
      </pivotArea>
    </format>
    <format dxfId="772">
      <pivotArea dataOnly="0" labelOnly="1" outline="0" fieldPosition="0">
        <references count="3">
          <reference field="1" count="1" selected="0">
            <x v="8"/>
          </reference>
          <reference field="3" count="1" selected="0">
            <x v="13"/>
          </reference>
          <reference field="4" count="1">
            <x v="30"/>
          </reference>
        </references>
      </pivotArea>
    </format>
    <format dxfId="771">
      <pivotArea dataOnly="0" labelOnly="1" outline="0" fieldPosition="0">
        <references count="3">
          <reference field="1" count="1" selected="0">
            <x v="12"/>
          </reference>
          <reference field="3" count="1" selected="0">
            <x v="13"/>
          </reference>
          <reference field="4" count="1">
            <x v="30"/>
          </reference>
        </references>
      </pivotArea>
    </format>
    <format dxfId="770">
      <pivotArea dataOnly="0" labelOnly="1" outline="0" fieldPosition="0">
        <references count="3">
          <reference field="1" count="1" selected="0">
            <x v="18"/>
          </reference>
          <reference field="3" count="1" selected="0">
            <x v="13"/>
          </reference>
          <reference field="4" count="1">
            <x v="30"/>
          </reference>
        </references>
      </pivotArea>
    </format>
    <format dxfId="769">
      <pivotArea dataOnly="0" labelOnly="1" outline="0" fieldPosition="0">
        <references count="3">
          <reference field="1" count="1" selected="0">
            <x v="20"/>
          </reference>
          <reference field="3" count="1" selected="0">
            <x v="13"/>
          </reference>
          <reference field="4" count="1">
            <x v="8"/>
          </reference>
        </references>
      </pivotArea>
    </format>
    <format dxfId="768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4"/>
          </reference>
          <reference field="4" count="3">
            <x v="6"/>
            <x v="27"/>
            <x v="45"/>
          </reference>
        </references>
      </pivotArea>
    </format>
    <format dxfId="76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5"/>
          </reference>
          <reference field="4" count="1">
            <x v="40"/>
          </reference>
        </references>
      </pivotArea>
    </format>
    <format dxfId="766">
      <pivotArea dataOnly="0" labelOnly="1" outline="0" fieldPosition="0">
        <references count="3">
          <reference field="1" count="1" selected="0">
            <x v="6"/>
          </reference>
          <reference field="3" count="1" selected="0">
            <x v="15"/>
          </reference>
          <reference field="4" count="3">
            <x v="10"/>
            <x v="32"/>
            <x v="40"/>
          </reference>
        </references>
      </pivotArea>
    </format>
    <format dxfId="765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16"/>
          </reference>
          <reference field="4" count="1">
            <x v="28"/>
          </reference>
        </references>
      </pivotArea>
    </format>
    <format dxfId="764">
      <pivotArea dataOnly="0" labelOnly="1" outline="0" fieldPosition="0">
        <references count="3">
          <reference field="1" count="1" selected="0">
            <x v="6"/>
          </reference>
          <reference field="3" count="1" selected="0">
            <x v="16"/>
          </reference>
          <reference field="4" count="2">
            <x v="28"/>
            <x v="46"/>
          </reference>
        </references>
      </pivotArea>
    </format>
    <format dxfId="763">
      <pivotArea dataOnly="0" labelOnly="1" outline="0" fieldPosition="0">
        <references count="3">
          <reference field="1" count="1" selected="0">
            <x v="8"/>
          </reference>
          <reference field="3" count="1" selected="0">
            <x v="16"/>
          </reference>
          <reference field="4" count="1">
            <x v="28"/>
          </reference>
        </references>
      </pivotArea>
    </format>
    <format dxfId="762">
      <pivotArea dataOnly="0" labelOnly="1" outline="0" fieldPosition="0">
        <references count="3">
          <reference field="1" count="1" selected="0">
            <x v="10"/>
          </reference>
          <reference field="3" count="1" selected="0">
            <x v="16"/>
          </reference>
          <reference field="4" count="1">
            <x v="13"/>
          </reference>
        </references>
      </pivotArea>
    </format>
    <format dxfId="761">
      <pivotArea dataOnly="0" labelOnly="1" outline="0" fieldPosition="0">
        <references count="3">
          <reference field="1" count="1" selected="0">
            <x v="12"/>
          </reference>
          <reference field="3" count="1" selected="0">
            <x v="16"/>
          </reference>
          <reference field="4" count="1">
            <x v="13"/>
          </reference>
        </references>
      </pivotArea>
    </format>
    <format dxfId="760">
      <pivotArea dataOnly="0" labelOnly="1" outline="0" fieldPosition="0">
        <references count="3">
          <reference field="1" count="1" selected="0">
            <x v="13"/>
          </reference>
          <reference field="3" count="1" selected="0">
            <x v="16"/>
          </reference>
          <reference field="4" count="1">
            <x v="28"/>
          </reference>
        </references>
      </pivotArea>
    </format>
    <format dxfId="759">
      <pivotArea dataOnly="0" labelOnly="1" outline="0" fieldPosition="0">
        <references count="3">
          <reference field="1" count="1" selected="0">
            <x v="15"/>
          </reference>
          <reference field="3" count="1" selected="0">
            <x v="16"/>
          </reference>
          <reference field="4" count="1">
            <x v="13"/>
          </reference>
        </references>
      </pivotArea>
    </format>
    <format dxfId="758">
      <pivotArea dataOnly="0" labelOnly="1" outline="0" fieldPosition="0">
        <references count="3">
          <reference field="1" count="1" selected="0">
            <x v="16"/>
          </reference>
          <reference field="3" count="1" selected="0">
            <x v="16"/>
          </reference>
          <reference field="4" count="1">
            <x v="46"/>
          </reference>
        </references>
      </pivotArea>
    </format>
    <format dxfId="757">
      <pivotArea dataOnly="0" labelOnly="1" outline="0" fieldPosition="0">
        <references count="3">
          <reference field="1" count="1" selected="0">
            <x v="20"/>
          </reference>
          <reference field="3" count="1" selected="0">
            <x v="16"/>
          </reference>
          <reference field="4" count="1">
            <x v="46"/>
          </reference>
        </references>
      </pivotArea>
    </format>
    <format dxfId="75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"/>
          </reference>
          <reference field="4" count="1">
            <x v="21"/>
          </reference>
        </references>
      </pivotArea>
    </format>
    <format dxfId="755">
      <pivotArea dataOnly="0" labelOnly="1" outline="0" fieldPosition="0">
        <references count="3">
          <reference field="1" count="1" selected="0">
            <x v="7"/>
          </reference>
          <reference field="3" count="1" selected="0">
            <x v="17"/>
          </reference>
          <reference field="4" count="1">
            <x v="7"/>
          </reference>
        </references>
      </pivotArea>
    </format>
    <format dxfId="754">
      <pivotArea dataOnly="0" labelOnly="1" outline="0" fieldPosition="0">
        <references count="3">
          <reference field="1" count="1" selected="0">
            <x v="20"/>
          </reference>
          <reference field="3" count="1" selected="0">
            <x v="17"/>
          </reference>
          <reference field="4" count="1">
            <x v="39"/>
          </reference>
        </references>
      </pivotArea>
    </format>
    <format dxfId="753">
      <pivotArea dataOnly="0" labelOnly="1" outline="0" fieldPosition="0">
        <references count="3">
          <reference field="1" count="1" selected="0">
            <x v="6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752">
      <pivotArea dataOnly="0" labelOnly="1" outline="0" fieldPosition="0">
        <references count="3">
          <reference field="1" count="1" selected="0">
            <x v="9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751">
      <pivotArea dataOnly="0" labelOnly="1" outline="0" fieldPosition="0">
        <references count="3">
          <reference field="1" count="1" selected="0">
            <x v="14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750">
      <pivotArea dataOnly="0" labelOnly="1" outline="0" fieldPosition="0">
        <references count="3">
          <reference field="1" count="1" selected="0">
            <x v="17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749">
      <pivotArea dataOnly="0" labelOnly="1" outline="0" fieldPosition="0">
        <references count="3">
          <reference field="1" count="1" selected="0">
            <x v="20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748">
      <pivotArea dataOnly="0" labelOnly="1" outline="0" fieldPosition="0">
        <references count="3">
          <reference field="1" count="1" selected="0">
            <x v="23"/>
          </reference>
          <reference field="3" count="1" selected="0">
            <x v="18"/>
          </reference>
          <reference field="4" count="1">
            <x v="52"/>
          </reference>
        </references>
      </pivotArea>
    </format>
    <format dxfId="7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6">
      <pivotArea dataOnly="0" labelOnly="1" outline="0" fieldPosition="0">
        <references count="1">
          <reference field="3" count="1">
            <x v="0"/>
          </reference>
        </references>
      </pivotArea>
    </format>
    <format dxfId="745">
      <pivotArea dataOnly="0" labelOnly="1" outline="0" fieldPosition="0">
        <references count="1">
          <reference field="3" count="1">
            <x v="1"/>
          </reference>
        </references>
      </pivotArea>
    </format>
    <format dxfId="744">
      <pivotArea dataOnly="0" labelOnly="1" outline="0" fieldPosition="0">
        <references count="1">
          <reference field="3" count="1">
            <x v="2"/>
          </reference>
        </references>
      </pivotArea>
    </format>
    <format dxfId="743">
      <pivotArea dataOnly="0" labelOnly="1" outline="0" fieldPosition="0">
        <references count="1">
          <reference field="3" count="1">
            <x v="3"/>
          </reference>
        </references>
      </pivotArea>
    </format>
    <format dxfId="742">
      <pivotArea dataOnly="0" labelOnly="1" outline="0" fieldPosition="0">
        <references count="1">
          <reference field="3" count="1">
            <x v="4"/>
          </reference>
        </references>
      </pivotArea>
    </format>
    <format dxfId="741">
      <pivotArea dataOnly="0" labelOnly="1" outline="0" fieldPosition="0">
        <references count="1">
          <reference field="3" count="1">
            <x v="5"/>
          </reference>
        </references>
      </pivotArea>
    </format>
    <format dxfId="740">
      <pivotArea dataOnly="0" labelOnly="1" outline="0" fieldPosition="0">
        <references count="1">
          <reference field="3" count="1">
            <x v="6"/>
          </reference>
        </references>
      </pivotArea>
    </format>
    <format dxfId="739">
      <pivotArea dataOnly="0" labelOnly="1" outline="0" fieldPosition="0">
        <references count="1">
          <reference field="3" count="1">
            <x v="7"/>
          </reference>
        </references>
      </pivotArea>
    </format>
    <format dxfId="738">
      <pivotArea dataOnly="0" labelOnly="1" outline="0" fieldPosition="0">
        <references count="1">
          <reference field="3" count="1">
            <x v="8"/>
          </reference>
        </references>
      </pivotArea>
    </format>
    <format dxfId="737">
      <pivotArea dataOnly="0" labelOnly="1" outline="0" fieldPosition="0">
        <references count="1">
          <reference field="3" count="1">
            <x v="9"/>
          </reference>
        </references>
      </pivotArea>
    </format>
    <format dxfId="736">
      <pivotArea dataOnly="0" labelOnly="1" outline="0" fieldPosition="0">
        <references count="1">
          <reference field="3" count="1">
            <x v="10"/>
          </reference>
        </references>
      </pivotArea>
    </format>
    <format dxfId="735">
      <pivotArea dataOnly="0" labelOnly="1" outline="0" fieldPosition="0">
        <references count="1">
          <reference field="3" count="1">
            <x v="11"/>
          </reference>
        </references>
      </pivotArea>
    </format>
    <format dxfId="734">
      <pivotArea dataOnly="0" labelOnly="1" outline="0" fieldPosition="0">
        <references count="1">
          <reference field="3" count="1">
            <x v="12"/>
          </reference>
        </references>
      </pivotArea>
    </format>
    <format dxfId="733">
      <pivotArea dataOnly="0" labelOnly="1" outline="0" fieldPosition="0">
        <references count="1">
          <reference field="3" count="1">
            <x v="13"/>
          </reference>
        </references>
      </pivotArea>
    </format>
    <format dxfId="732">
      <pivotArea dataOnly="0" labelOnly="1" outline="0" fieldPosition="0">
        <references count="1">
          <reference field="3" count="1">
            <x v="14"/>
          </reference>
        </references>
      </pivotArea>
    </format>
    <format dxfId="731">
      <pivotArea dataOnly="0" labelOnly="1" outline="0" fieldPosition="0">
        <references count="1">
          <reference field="3" count="1">
            <x v="15"/>
          </reference>
        </references>
      </pivotArea>
    </format>
    <format dxfId="730">
      <pivotArea dataOnly="0" labelOnly="1" outline="0" fieldPosition="0">
        <references count="1">
          <reference field="3" count="1">
            <x v="16"/>
          </reference>
        </references>
      </pivotArea>
    </format>
    <format dxfId="729">
      <pivotArea dataOnly="0" labelOnly="1" outline="0" fieldPosition="0">
        <references count="1">
          <reference field="3" count="1">
            <x v="17"/>
          </reference>
        </references>
      </pivotArea>
    </format>
    <format dxfId="728">
      <pivotArea dataOnly="0" labelOnly="1" outline="0" fieldPosition="0">
        <references count="1">
          <reference field="3" count="1">
            <x v="18"/>
          </reference>
        </references>
      </pivotArea>
    </format>
    <format dxfId="727">
      <pivotArea dataOnly="0" labelOnly="1" outline="0" fieldPosition="0">
        <references count="1">
          <reference field="3" count="1">
            <x v="19"/>
          </reference>
        </references>
      </pivotArea>
    </format>
    <format dxfId="726">
      <pivotArea field="3" type="button" dataOnly="0" labelOnly="1" outline="0" axis="axisRow" fieldPosition="0"/>
    </format>
    <format dxfId="725">
      <pivotArea dataOnly="0" outline="0" fieldPosition="0">
        <references count="1">
          <reference field="3" count="0" defaultSubtotal="1"/>
        </references>
      </pivotArea>
    </format>
    <format dxfId="724">
      <pivotArea dataOnly="0" labelOnly="1" grandRow="1" outline="0" fieldPosition="0"/>
    </format>
    <format dxfId="723">
      <pivotArea dataOnly="0" labelOnly="1" grandRow="1" outline="0" offset="IV256" fieldPosition="0"/>
    </format>
    <format dxfId="722">
      <pivotArea field="3" grandRow="1" outline="0" axis="axisRow" fieldPosition="0">
        <references count="1">
          <reference field="4294967294" count="1" selected="0">
            <x v="0"/>
          </reference>
        </references>
      </pivotArea>
    </format>
    <format dxfId="721">
      <pivotArea field="3" grandRow="1" outline="0" axis="axisRow" fieldPosition="0">
        <references count="1">
          <reference field="4294967294" count="1" selected="0">
            <x v="1"/>
          </reference>
        </references>
      </pivotArea>
    </format>
    <format dxfId="720">
      <pivotArea outline="0" fieldPosition="0">
        <references count="4">
          <reference field="4294967294" count="1" selected="0">
            <x v="1"/>
          </reference>
          <reference field="1" count="1" selected="0">
            <x v="7"/>
          </reference>
          <reference field="3" count="1" selected="0">
            <x v="6"/>
          </reference>
          <reference field="4" count="3" selected="0">
            <x v="5"/>
            <x v="18"/>
            <x v="51"/>
          </reference>
        </references>
      </pivotArea>
    </format>
    <format dxfId="719">
      <pivotArea outline="0" fieldPosition="0">
        <references count="4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6"/>
          </reference>
          <reference field="4" count="3" selected="0">
            <x v="5"/>
            <x v="18"/>
            <x v="51"/>
          </reference>
        </references>
      </pivotArea>
    </format>
    <format dxfId="718">
      <pivotArea outline="0" fieldPosition="0">
        <references count="4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7"/>
          </reference>
          <reference field="4" count="3" selected="0">
            <x v="2"/>
            <x v="20"/>
            <x v="41"/>
          </reference>
        </references>
      </pivotArea>
    </format>
    <format dxfId="717">
      <pivotArea outline="0" fieldPosition="0">
        <references count="2">
          <reference field="4294967294" count="1" selected="0">
            <x v="0"/>
          </reference>
          <reference field="3" count="1" selected="0" defaultSubtotal="1">
            <x v="6"/>
          </reference>
        </references>
      </pivotArea>
    </format>
    <format dxfId="716">
      <pivotArea outline="0" fieldPosition="0">
        <references count="2">
          <reference field="4294967294" count="1" selected="0">
            <x v="0"/>
          </reference>
          <reference field="3" count="1" selected="0" defaultSubtotal="1">
            <x v="7"/>
          </reference>
        </references>
      </pivotArea>
    </format>
    <format dxfId="715">
      <pivotArea outline="0" fieldPosition="0">
        <references count="4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8"/>
          </reference>
          <reference field="4" count="3" selected="0">
            <x v="1"/>
            <x v="19"/>
            <x v="37"/>
          </reference>
        </references>
      </pivotArea>
    </format>
    <format dxfId="714">
      <pivotArea outline="0" fieldPosition="0">
        <references count="2">
          <reference field="4294967294" count="1" selected="0">
            <x v="0"/>
          </reference>
          <reference field="3" count="1" selected="0" defaultSubtotal="1">
            <x v="8"/>
          </reference>
        </references>
      </pivotArea>
    </format>
    <format dxfId="713">
      <pivotArea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9"/>
          </reference>
          <reference field="4" count="3" selected="0">
            <x v="16"/>
            <x v="22"/>
            <x v="3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F034-88D0-4E21-8287-362A9F726FEA}">
  <sheetPr>
    <tabColor theme="7"/>
    <pageSetUpPr fitToPage="1"/>
  </sheetPr>
  <dimension ref="A1:AG509"/>
  <sheetViews>
    <sheetView tabSelected="1" topLeftCell="A422" zoomScale="70" zoomScaleNormal="70" workbookViewId="0">
      <selection activeCell="F439" sqref="F439"/>
    </sheetView>
  </sheetViews>
  <sheetFormatPr defaultColWidth="9" defaultRowHeight="17.25" customHeight="1"/>
  <cols>
    <col min="1" max="1" width="10" style="4" customWidth="1"/>
    <col min="2" max="2" width="8.25" style="6" customWidth="1"/>
    <col min="3" max="3" width="15.5" style="4" customWidth="1"/>
    <col min="4" max="4" width="9.375" style="6" bestFit="1" customWidth="1"/>
    <col min="5" max="5" width="11.875" style="6" customWidth="1"/>
    <col min="6" max="6" width="34.5" style="10" customWidth="1"/>
    <col min="7" max="7" width="34.125" style="4" customWidth="1"/>
    <col min="8" max="8" width="32.25" style="6" customWidth="1"/>
    <col min="9" max="9" width="34.125" style="4" customWidth="1"/>
    <col min="10" max="10" width="69.75" style="4" customWidth="1"/>
    <col min="11" max="11" width="24.875" style="6" customWidth="1"/>
    <col min="12" max="12" width="18.875" style="6" customWidth="1"/>
    <col min="13" max="13" width="11.5" style="6" customWidth="1"/>
    <col min="14" max="14" width="15.625" style="6" customWidth="1"/>
    <col min="15" max="15" width="11.75" style="6" customWidth="1"/>
    <col min="16" max="16" width="15.375" style="9" customWidth="1"/>
    <col min="17" max="17" width="13.75" style="9" customWidth="1"/>
    <col min="18" max="18" width="11.875" style="9" customWidth="1"/>
    <col min="19" max="19" width="17.5" style="5" customWidth="1"/>
    <col min="20" max="20" width="22.625" style="8" hidden="1" customWidth="1"/>
    <col min="21" max="21" width="14.375" style="5" bestFit="1" customWidth="1"/>
    <col min="22" max="22" width="8" style="4" customWidth="1"/>
    <col min="23" max="23" width="9" style="7"/>
    <col min="24" max="24" width="25.75" style="5" customWidth="1"/>
    <col min="25" max="25" width="15.875" style="6" customWidth="1"/>
    <col min="26" max="26" width="26" style="5" bestFit="1" customWidth="1"/>
    <col min="27" max="27" width="20.125" style="4" customWidth="1"/>
    <col min="28" max="28" width="15.5" style="4" customWidth="1"/>
    <col min="29" max="29" width="17.375" style="4" customWidth="1"/>
    <col min="30" max="30" width="13.75" style="5" bestFit="1" customWidth="1"/>
    <col min="31" max="31" width="15.25" style="5" customWidth="1"/>
    <col min="32" max="32" width="17.75" style="4" customWidth="1"/>
    <col min="33" max="33" width="17.875" style="4" customWidth="1"/>
    <col min="34" max="16384" width="9" style="4"/>
  </cols>
  <sheetData>
    <row r="1" spans="1:31" ht="17.25" customHeight="1">
      <c r="B1" s="244" t="s">
        <v>1063</v>
      </c>
      <c r="C1" s="242"/>
      <c r="D1" s="241"/>
      <c r="E1" s="241"/>
      <c r="F1" s="243"/>
      <c r="G1" s="242"/>
      <c r="H1" s="241"/>
      <c r="I1" s="242"/>
      <c r="J1" s="242"/>
      <c r="K1" s="241"/>
      <c r="L1" s="241"/>
      <c r="M1" s="241"/>
      <c r="N1" s="241"/>
      <c r="O1" s="241"/>
      <c r="P1" s="240"/>
      <c r="Q1" s="240" t="s">
        <v>1062</v>
      </c>
      <c r="R1" s="240" t="s">
        <v>1061</v>
      </c>
      <c r="S1" s="239">
        <f>SUBTOTAL(9,S3:S455)</f>
        <v>7247118572</v>
      </c>
      <c r="T1" s="238"/>
      <c r="U1" s="237">
        <f>SUBTOTAL(9,U2:U6868)</f>
        <v>7011881940</v>
      </c>
      <c r="W1" s="7">
        <f>U1/S1</f>
        <v>0.96754066741658384</v>
      </c>
      <c r="X1" s="5">
        <v>7247118572</v>
      </c>
      <c r="Y1" s="225" t="s">
        <v>63</v>
      </c>
      <c r="Z1" s="224">
        <v>6862000000</v>
      </c>
      <c r="AA1" s="49">
        <f>S1-U1</f>
        <v>235236632</v>
      </c>
    </row>
    <row r="2" spans="1:31" ht="17.25" customHeight="1">
      <c r="A2" s="4" t="s">
        <v>1060</v>
      </c>
      <c r="B2" s="235" t="s">
        <v>1059</v>
      </c>
      <c r="C2" s="235" t="s">
        <v>1058</v>
      </c>
      <c r="D2" s="234" t="s">
        <v>1057</v>
      </c>
      <c r="E2" s="234" t="s">
        <v>1056</v>
      </c>
      <c r="F2" s="235" t="s">
        <v>1055</v>
      </c>
      <c r="G2" s="236" t="s">
        <v>1054</v>
      </c>
      <c r="H2" s="235" t="s">
        <v>1053</v>
      </c>
      <c r="I2" s="235" t="s">
        <v>1052</v>
      </c>
      <c r="J2" s="235" t="s">
        <v>1051</v>
      </c>
      <c r="K2" s="235" t="s">
        <v>1050</v>
      </c>
      <c r="L2" s="235" t="s">
        <v>1049</v>
      </c>
      <c r="M2" s="234" t="s">
        <v>1048</v>
      </c>
      <c r="N2" s="233" t="s">
        <v>1047</v>
      </c>
      <c r="O2" s="232" t="s">
        <v>1046</v>
      </c>
      <c r="P2" s="231" t="s">
        <v>1045</v>
      </c>
      <c r="Q2" s="231" t="s">
        <v>1045</v>
      </c>
      <c r="R2" s="231" t="s">
        <v>1045</v>
      </c>
      <c r="S2" s="230" t="s">
        <v>1044</v>
      </c>
      <c r="T2" s="229"/>
      <c r="U2" s="228" t="s">
        <v>1043</v>
      </c>
      <c r="V2" s="227" t="s">
        <v>1042</v>
      </c>
      <c r="W2" s="226" t="s">
        <v>1041</v>
      </c>
      <c r="X2" s="5">
        <f>X1-S1</f>
        <v>0</v>
      </c>
      <c r="Y2" s="225" t="s">
        <v>48</v>
      </c>
      <c r="Z2" s="224">
        <v>385118572</v>
      </c>
    </row>
    <row r="3" spans="1:31" s="59" customFormat="1" ht="17.25" customHeight="1">
      <c r="A3" s="59" t="s">
        <v>257</v>
      </c>
      <c r="B3" s="72" t="s">
        <v>905</v>
      </c>
      <c r="C3" s="155" t="s">
        <v>904</v>
      </c>
      <c r="D3" s="58" t="str">
        <f>VLOOKUP(C3,코드!$E$3:$F$30,2,FALSE)</f>
        <v>8634</v>
      </c>
      <c r="E3" s="58" t="str">
        <f t="shared" ref="E3:E66" si="0">LEFT(F3, 5)</f>
        <v>[A-1]</v>
      </c>
      <c r="F3" s="65" t="s">
        <v>1023</v>
      </c>
      <c r="G3" s="65" t="s">
        <v>1031</v>
      </c>
      <c r="H3" s="66" t="s">
        <v>1037</v>
      </c>
      <c r="I3" s="65" t="s">
        <v>1039</v>
      </c>
      <c r="J3" s="65" t="s">
        <v>1040</v>
      </c>
      <c r="K3" s="72" t="s">
        <v>130</v>
      </c>
      <c r="L3" s="72" t="s">
        <v>17</v>
      </c>
      <c r="M3" s="58">
        <f>VLOOKUP(L3,코드!$B$3:$C$29,2,FALSE)</f>
        <v>4241130</v>
      </c>
      <c r="N3" s="72" t="s">
        <v>129</v>
      </c>
      <c r="O3" s="72" t="s">
        <v>990</v>
      </c>
      <c r="P3" s="75">
        <v>30000</v>
      </c>
      <c r="Q3" s="75">
        <v>20</v>
      </c>
      <c r="R3" s="75">
        <v>2</v>
      </c>
      <c r="S3" s="76">
        <v>1200000</v>
      </c>
      <c r="T3" s="75"/>
      <c r="U3" s="78">
        <v>1200000</v>
      </c>
      <c r="V3" s="71" t="s">
        <v>316</v>
      </c>
      <c r="W3" s="60">
        <f t="shared" ref="W3:W34" si="1">U3/S3</f>
        <v>1</v>
      </c>
      <c r="X3" s="46"/>
      <c r="Y3" s="25"/>
      <c r="Z3" s="26">
        <f>SUM(Z1:Z2)</f>
        <v>7247118572</v>
      </c>
      <c r="AD3" s="46"/>
      <c r="AE3" s="46"/>
    </row>
    <row r="4" spans="1:31" s="59" customFormat="1" ht="17.25" customHeight="1">
      <c r="A4" s="59" t="s">
        <v>257</v>
      </c>
      <c r="B4" s="72" t="s">
        <v>905</v>
      </c>
      <c r="C4" s="155" t="s">
        <v>904</v>
      </c>
      <c r="D4" s="58" t="str">
        <f>VLOOKUP(C4,코드!$E$3:$F$30,2,FALSE)</f>
        <v>8634</v>
      </c>
      <c r="E4" s="58" t="str">
        <f t="shared" si="0"/>
        <v>[A-1]</v>
      </c>
      <c r="F4" s="65" t="s">
        <v>995</v>
      </c>
      <c r="G4" s="65" t="s">
        <v>1031</v>
      </c>
      <c r="H4" s="66" t="s">
        <v>1037</v>
      </c>
      <c r="I4" s="65" t="s">
        <v>1039</v>
      </c>
      <c r="J4" s="65" t="s">
        <v>1038</v>
      </c>
      <c r="K4" s="72" t="s">
        <v>130</v>
      </c>
      <c r="L4" s="72" t="s">
        <v>11</v>
      </c>
      <c r="M4" s="58">
        <f>VLOOKUP(L4,코드!$B$3:$C$29,2,FALSE)</f>
        <v>4113401</v>
      </c>
      <c r="N4" s="72" t="s">
        <v>682</v>
      </c>
      <c r="O4" s="72" t="s">
        <v>990</v>
      </c>
      <c r="P4" s="75">
        <v>3000000</v>
      </c>
      <c r="Q4" s="75">
        <v>4</v>
      </c>
      <c r="R4" s="75">
        <v>1</v>
      </c>
      <c r="S4" s="76">
        <v>12000000</v>
      </c>
      <c r="T4" s="75"/>
      <c r="U4" s="78">
        <v>12000000</v>
      </c>
      <c r="V4" s="71" t="s">
        <v>316</v>
      </c>
      <c r="W4" s="60">
        <f t="shared" si="1"/>
        <v>1</v>
      </c>
      <c r="X4" s="46"/>
      <c r="Y4" s="74"/>
      <c r="Z4" s="223">
        <f>U1</f>
        <v>7011881940</v>
      </c>
      <c r="AD4" s="46"/>
      <c r="AE4" s="46"/>
    </row>
    <row r="5" spans="1:31" s="59" customFormat="1" ht="17.25" customHeight="1">
      <c r="A5" s="59" t="s">
        <v>257</v>
      </c>
      <c r="B5" s="72" t="s">
        <v>905</v>
      </c>
      <c r="C5" s="155" t="s">
        <v>904</v>
      </c>
      <c r="D5" s="58" t="str">
        <f>VLOOKUP(C5,코드!$E$3:$F$30,2,FALSE)</f>
        <v>8634</v>
      </c>
      <c r="E5" s="58" t="str">
        <f t="shared" si="0"/>
        <v>[A-1]</v>
      </c>
      <c r="F5" s="65" t="s">
        <v>995</v>
      </c>
      <c r="G5" s="65" t="s">
        <v>1031</v>
      </c>
      <c r="H5" s="66" t="s">
        <v>1037</v>
      </c>
      <c r="I5" s="65" t="s">
        <v>1036</v>
      </c>
      <c r="J5" s="65" t="s">
        <v>1035</v>
      </c>
      <c r="K5" s="72" t="s">
        <v>130</v>
      </c>
      <c r="L5" s="72" t="s">
        <v>17</v>
      </c>
      <c r="M5" s="58">
        <f>VLOOKUP(L5,코드!$B$3:$C$29,2,FALSE)</f>
        <v>4241130</v>
      </c>
      <c r="N5" s="72" t="s">
        <v>129</v>
      </c>
      <c r="O5" s="72" t="s">
        <v>990</v>
      </c>
      <c r="P5" s="75">
        <v>30000</v>
      </c>
      <c r="Q5" s="75">
        <v>20</v>
      </c>
      <c r="R5" s="75">
        <v>1</v>
      </c>
      <c r="S5" s="76">
        <v>600000</v>
      </c>
      <c r="T5" s="75"/>
      <c r="U5" s="78">
        <v>600000</v>
      </c>
      <c r="V5" s="61" t="s">
        <v>127</v>
      </c>
      <c r="W5" s="60">
        <f t="shared" si="1"/>
        <v>1</v>
      </c>
      <c r="X5" s="46"/>
      <c r="Y5" s="74"/>
      <c r="Z5" s="46">
        <f>S1-U1</f>
        <v>235236632</v>
      </c>
      <c r="AD5" s="46"/>
      <c r="AE5" s="46"/>
    </row>
    <row r="6" spans="1:31" s="59" customFormat="1" ht="17.25" customHeight="1">
      <c r="A6" s="59" t="s">
        <v>257</v>
      </c>
      <c r="B6" s="72" t="s">
        <v>905</v>
      </c>
      <c r="C6" s="155" t="s">
        <v>904</v>
      </c>
      <c r="D6" s="58" t="str">
        <f>VLOOKUP(C6,코드!$E$3:$F$30,2,FALSE)</f>
        <v>8634</v>
      </c>
      <c r="E6" s="58" t="str">
        <f t="shared" si="0"/>
        <v>[A-1]</v>
      </c>
      <c r="F6" s="65" t="s">
        <v>995</v>
      </c>
      <c r="G6" s="65" t="s">
        <v>1031</v>
      </c>
      <c r="H6" s="66" t="s">
        <v>1034</v>
      </c>
      <c r="I6" s="65" t="s">
        <v>1033</v>
      </c>
      <c r="J6" s="65" t="s">
        <v>1032</v>
      </c>
      <c r="K6" s="72" t="s">
        <v>130</v>
      </c>
      <c r="L6" s="72" t="s">
        <v>17</v>
      </c>
      <c r="M6" s="58">
        <f>VLOOKUP(L6,코드!$B$3:$C$29,2,FALSE)</f>
        <v>4241130</v>
      </c>
      <c r="N6" s="72" t="s">
        <v>129</v>
      </c>
      <c r="O6" s="72" t="s">
        <v>990</v>
      </c>
      <c r="P6" s="75">
        <v>30000</v>
      </c>
      <c r="Q6" s="75">
        <v>20</v>
      </c>
      <c r="R6" s="75">
        <v>1</v>
      </c>
      <c r="S6" s="76">
        <v>600000</v>
      </c>
      <c r="T6" s="75"/>
      <c r="U6" s="78">
        <v>600000</v>
      </c>
      <c r="V6" s="87" t="s">
        <v>153</v>
      </c>
      <c r="W6" s="60">
        <f t="shared" si="1"/>
        <v>1</v>
      </c>
      <c r="X6" s="46"/>
      <c r="Y6" s="74"/>
      <c r="Z6" s="46"/>
      <c r="AD6" s="46"/>
      <c r="AE6" s="46"/>
    </row>
    <row r="7" spans="1:31" s="59" customFormat="1" ht="17.25" customHeight="1">
      <c r="A7" s="59" t="s">
        <v>257</v>
      </c>
      <c r="B7" s="72" t="s">
        <v>905</v>
      </c>
      <c r="C7" s="155" t="s">
        <v>904</v>
      </c>
      <c r="D7" s="58" t="str">
        <f>VLOOKUP(C7,코드!$E$3:$F$30,2,FALSE)</f>
        <v>8634</v>
      </c>
      <c r="E7" s="58" t="str">
        <f t="shared" si="0"/>
        <v>[A-1]</v>
      </c>
      <c r="F7" s="65" t="s">
        <v>995</v>
      </c>
      <c r="G7" s="65" t="s">
        <v>1031</v>
      </c>
      <c r="H7" s="66" t="s">
        <v>1030</v>
      </c>
      <c r="I7" s="65" t="s">
        <v>1029</v>
      </c>
      <c r="J7" s="65" t="s">
        <v>1028</v>
      </c>
      <c r="K7" s="72" t="s">
        <v>130</v>
      </c>
      <c r="L7" s="72" t="s">
        <v>17</v>
      </c>
      <c r="M7" s="58">
        <f>VLOOKUP(L7,코드!$B$3:$C$29,2,FALSE)</f>
        <v>4241130</v>
      </c>
      <c r="N7" s="72" t="s">
        <v>129</v>
      </c>
      <c r="O7" s="72" t="s">
        <v>990</v>
      </c>
      <c r="P7" s="75">
        <v>30000</v>
      </c>
      <c r="Q7" s="75">
        <v>30</v>
      </c>
      <c r="R7" s="75">
        <v>1</v>
      </c>
      <c r="S7" s="76">
        <v>900000</v>
      </c>
      <c r="T7" s="75"/>
      <c r="U7" s="78">
        <v>900000</v>
      </c>
      <c r="V7" s="71" t="s">
        <v>316</v>
      </c>
      <c r="W7" s="60">
        <f t="shared" si="1"/>
        <v>1</v>
      </c>
      <c r="X7" s="46"/>
      <c r="Y7" s="74" t="s">
        <v>1027</v>
      </c>
      <c r="Z7" s="220">
        <f>SUMIF($E$3:$E$500, Y7, S$3:S$500)/$Z$3</f>
        <v>4.0912812044439119E-3</v>
      </c>
      <c r="AA7" s="46">
        <f>SUMIF($E$3:$E$500, Y7, S$3:S$500)</f>
        <v>29650000</v>
      </c>
      <c r="AD7" s="46">
        <f t="shared" ref="AD7:AD26" si="2">SUM(AA7:AB7)</f>
        <v>29650000</v>
      </c>
      <c r="AE7" s="46"/>
    </row>
    <row r="8" spans="1:31" s="59" customFormat="1" ht="17.25" customHeight="1">
      <c r="A8" s="59" t="s">
        <v>257</v>
      </c>
      <c r="B8" s="72" t="s">
        <v>905</v>
      </c>
      <c r="C8" s="155" t="s">
        <v>904</v>
      </c>
      <c r="D8" s="58" t="str">
        <f>VLOOKUP(C8,코드!$E$3:$F$30,2,FALSE)</f>
        <v>8634</v>
      </c>
      <c r="E8" s="58" t="str">
        <f t="shared" si="0"/>
        <v>[A-1]</v>
      </c>
      <c r="F8" s="65" t="s">
        <v>995</v>
      </c>
      <c r="G8" s="65" t="s">
        <v>1014</v>
      </c>
      <c r="H8" s="66" t="s">
        <v>1013</v>
      </c>
      <c r="I8" s="65" t="s">
        <v>1026</v>
      </c>
      <c r="J8" s="65" t="s">
        <v>1025</v>
      </c>
      <c r="K8" s="72" t="s">
        <v>130</v>
      </c>
      <c r="L8" s="72" t="s">
        <v>17</v>
      </c>
      <c r="M8" s="58">
        <f>VLOOKUP(L8,코드!$B$3:$C$29,2,FALSE)</f>
        <v>4241130</v>
      </c>
      <c r="N8" s="72" t="s">
        <v>129</v>
      </c>
      <c r="O8" s="72" t="s">
        <v>990</v>
      </c>
      <c r="P8" s="75">
        <v>30000</v>
      </c>
      <c r="Q8" s="75">
        <v>20</v>
      </c>
      <c r="R8" s="75">
        <v>1</v>
      </c>
      <c r="S8" s="76">
        <v>600000</v>
      </c>
      <c r="T8" s="75"/>
      <c r="U8" s="78">
        <v>600000</v>
      </c>
      <c r="V8" s="71" t="s">
        <v>316</v>
      </c>
      <c r="W8" s="60">
        <f t="shared" si="1"/>
        <v>1</v>
      </c>
      <c r="X8" s="46"/>
      <c r="Y8" s="74" t="s">
        <v>1024</v>
      </c>
      <c r="Z8" s="220">
        <f>SUMIF($E$3:$E$500, Y8, S$3:S$500)/$Z$3</f>
        <v>2.5734365754765245E-2</v>
      </c>
      <c r="AA8" s="46">
        <f>SUMIF($E$3:$E$500, Y8, S$3:S$500)</f>
        <v>186500000</v>
      </c>
      <c r="AD8" s="46">
        <f t="shared" si="2"/>
        <v>186500000</v>
      </c>
      <c r="AE8" s="46"/>
    </row>
    <row r="9" spans="1:31" ht="17.25" customHeight="1">
      <c r="A9" s="59" t="s">
        <v>257</v>
      </c>
      <c r="B9" s="72" t="s">
        <v>905</v>
      </c>
      <c r="C9" s="155" t="s">
        <v>904</v>
      </c>
      <c r="D9" s="58" t="str">
        <f>VLOOKUP(C9,코드!$E$3:$F$30,2,FALSE)</f>
        <v>8634</v>
      </c>
      <c r="E9" s="58" t="str">
        <f t="shared" si="0"/>
        <v>[A-1]</v>
      </c>
      <c r="F9" s="65" t="s">
        <v>1023</v>
      </c>
      <c r="G9" s="65" t="s">
        <v>1014</v>
      </c>
      <c r="H9" s="66" t="s">
        <v>1013</v>
      </c>
      <c r="I9" s="65" t="s">
        <v>1022</v>
      </c>
      <c r="J9" s="65" t="s">
        <v>1021</v>
      </c>
      <c r="K9" s="72" t="s">
        <v>130</v>
      </c>
      <c r="L9" s="72" t="s">
        <v>17</v>
      </c>
      <c r="M9" s="58">
        <f>VLOOKUP(L9,코드!$B$3:$C$29,2,FALSE)</f>
        <v>4241130</v>
      </c>
      <c r="N9" s="72" t="s">
        <v>129</v>
      </c>
      <c r="O9" s="72" t="s">
        <v>990</v>
      </c>
      <c r="P9" s="75">
        <v>30000</v>
      </c>
      <c r="Q9" s="75">
        <v>30</v>
      </c>
      <c r="R9" s="75">
        <v>2</v>
      </c>
      <c r="S9" s="76">
        <v>1800000</v>
      </c>
      <c r="T9" s="75"/>
      <c r="U9" s="78">
        <v>1800000</v>
      </c>
      <c r="V9" s="61" t="s">
        <v>127</v>
      </c>
      <c r="W9" s="60">
        <f t="shared" si="1"/>
        <v>1</v>
      </c>
      <c r="X9" s="46"/>
      <c r="Y9" s="74" t="s">
        <v>1020</v>
      </c>
      <c r="Z9" s="220">
        <f>SUMIF($E$3:$E$500, Y9, S$3:S$500)/$Z$3</f>
        <v>4.429346599077557E-2</v>
      </c>
      <c r="AA9" s="46">
        <f>SUMIF($E$3:$E$500, Y9, S$3:S$500)</f>
        <v>321000000</v>
      </c>
      <c r="AB9" s="59"/>
      <c r="AC9" s="59"/>
      <c r="AD9" s="46">
        <f t="shared" si="2"/>
        <v>321000000</v>
      </c>
    </row>
    <row r="10" spans="1:31" s="59" customFormat="1" ht="17.25" customHeight="1">
      <c r="A10" s="59" t="s">
        <v>257</v>
      </c>
      <c r="B10" s="72" t="s">
        <v>905</v>
      </c>
      <c r="C10" s="155" t="s">
        <v>904</v>
      </c>
      <c r="D10" s="58" t="str">
        <f>VLOOKUP(C10,코드!$E$3:$F$30,2,FALSE)</f>
        <v>8634</v>
      </c>
      <c r="E10" s="58" t="str">
        <f t="shared" si="0"/>
        <v>[A-1]</v>
      </c>
      <c r="F10" s="65" t="s">
        <v>995</v>
      </c>
      <c r="G10" s="65" t="s">
        <v>1014</v>
      </c>
      <c r="H10" s="66" t="s">
        <v>1013</v>
      </c>
      <c r="I10" s="65" t="s">
        <v>1012</v>
      </c>
      <c r="J10" s="65" t="s">
        <v>1011</v>
      </c>
      <c r="K10" s="72" t="s">
        <v>130</v>
      </c>
      <c r="L10" s="72" t="s">
        <v>17</v>
      </c>
      <c r="M10" s="58">
        <f>VLOOKUP(L10,코드!$B$3:$C$29,2,FALSE)</f>
        <v>4241130</v>
      </c>
      <c r="N10" s="72" t="s">
        <v>129</v>
      </c>
      <c r="O10" s="72" t="s">
        <v>990</v>
      </c>
      <c r="P10" s="75">
        <v>30000</v>
      </c>
      <c r="Q10" s="75">
        <v>15</v>
      </c>
      <c r="R10" s="75">
        <v>1</v>
      </c>
      <c r="S10" s="76">
        <v>450000</v>
      </c>
      <c r="T10" s="75"/>
      <c r="U10" s="78">
        <v>450000</v>
      </c>
      <c r="V10" s="71" t="s">
        <v>316</v>
      </c>
      <c r="W10" s="60">
        <f t="shared" si="1"/>
        <v>1</v>
      </c>
      <c r="X10" s="46"/>
      <c r="Y10" s="74" t="s">
        <v>1019</v>
      </c>
      <c r="Z10" s="220">
        <f>SUMIF($E$3:$E$500, Y10, S$3:S$500)/$Z$3</f>
        <v>5.3534518049555099E-2</v>
      </c>
      <c r="AA10" s="46">
        <f>SUMIF($E$3:$E$500, Y10, S$3:S$500)</f>
        <v>387971000</v>
      </c>
      <c r="AB10" s="59">
        <v>1000000</v>
      </c>
      <c r="AC10" s="220">
        <f>AA10/SUM(AA10,AB10)</f>
        <v>0.99742911425273351</v>
      </c>
      <c r="AD10" s="46">
        <f t="shared" si="2"/>
        <v>388971000</v>
      </c>
      <c r="AE10" s="46"/>
    </row>
    <row r="11" spans="1:31" s="59" customFormat="1" ht="17.25" customHeight="1">
      <c r="A11" s="59" t="s">
        <v>257</v>
      </c>
      <c r="B11" s="72" t="s">
        <v>905</v>
      </c>
      <c r="C11" s="155" t="s">
        <v>904</v>
      </c>
      <c r="D11" s="58" t="str">
        <f>VLOOKUP(C11,코드!$E$3:$F$30,2,FALSE)</f>
        <v>8634</v>
      </c>
      <c r="E11" s="58" t="str">
        <f t="shared" si="0"/>
        <v>[A-1]</v>
      </c>
      <c r="F11" s="65" t="s">
        <v>995</v>
      </c>
      <c r="G11" s="65" t="s">
        <v>1014</v>
      </c>
      <c r="H11" s="66" t="s">
        <v>1018</v>
      </c>
      <c r="I11" s="65" t="s">
        <v>1017</v>
      </c>
      <c r="J11" s="65" t="s">
        <v>1016</v>
      </c>
      <c r="K11" s="72" t="s">
        <v>130</v>
      </c>
      <c r="L11" s="72" t="s">
        <v>17</v>
      </c>
      <c r="M11" s="58">
        <f>VLOOKUP(L11,코드!$B$3:$C$29,2,FALSE)</f>
        <v>4241130</v>
      </c>
      <c r="N11" s="72" t="s">
        <v>129</v>
      </c>
      <c r="O11" s="72" t="s">
        <v>990</v>
      </c>
      <c r="P11" s="75">
        <v>30000</v>
      </c>
      <c r="Q11" s="75">
        <v>30</v>
      </c>
      <c r="R11" s="75">
        <v>1</v>
      </c>
      <c r="S11" s="76">
        <v>900000</v>
      </c>
      <c r="T11" s="75"/>
      <c r="U11" s="78">
        <v>900000</v>
      </c>
      <c r="V11" s="61" t="s">
        <v>127</v>
      </c>
      <c r="W11" s="60">
        <f t="shared" si="1"/>
        <v>1</v>
      </c>
      <c r="X11" s="46"/>
      <c r="Y11" s="74" t="s">
        <v>1015</v>
      </c>
      <c r="Z11" s="220">
        <f>SUMIF($E$3:$E$500, Y11, S$3:S$500)/$Z$3</f>
        <v>6.2786884950114211E-2</v>
      </c>
      <c r="AA11" s="46">
        <f>SUMIF($E$3:$E$500, Y11, S$3:S$500)</f>
        <v>455024000</v>
      </c>
      <c r="AB11" s="59">
        <v>14000000</v>
      </c>
      <c r="AC11" s="220">
        <f>AA11/SUM(AA11,AB11)</f>
        <v>0.97015078119669784</v>
      </c>
      <c r="AD11" s="222">
        <f t="shared" si="2"/>
        <v>469024000</v>
      </c>
      <c r="AE11" s="46"/>
    </row>
    <row r="12" spans="1:31" s="59" customFormat="1" ht="17.25" customHeight="1">
      <c r="A12" s="59" t="s">
        <v>257</v>
      </c>
      <c r="B12" s="72" t="s">
        <v>905</v>
      </c>
      <c r="C12" s="155" t="s">
        <v>904</v>
      </c>
      <c r="D12" s="58" t="str">
        <f>VLOOKUP(C12,코드!$E$3:$F$30,2,FALSE)</f>
        <v>8634</v>
      </c>
      <c r="E12" s="58" t="str">
        <f t="shared" si="0"/>
        <v>[A-1]</v>
      </c>
      <c r="F12" s="65" t="s">
        <v>995</v>
      </c>
      <c r="G12" s="65" t="s">
        <v>1014</v>
      </c>
      <c r="H12" s="66" t="s">
        <v>1013</v>
      </c>
      <c r="I12" s="65" t="s">
        <v>1012</v>
      </c>
      <c r="J12" s="65" t="s">
        <v>1011</v>
      </c>
      <c r="K12" s="72" t="s">
        <v>130</v>
      </c>
      <c r="L12" s="72" t="s">
        <v>11</v>
      </c>
      <c r="M12" s="58">
        <f>VLOOKUP(L12,코드!$B$3:$C$29,2,FALSE)</f>
        <v>4113401</v>
      </c>
      <c r="N12" s="72" t="s">
        <v>154</v>
      </c>
      <c r="O12" s="72" t="s">
        <v>990</v>
      </c>
      <c r="P12" s="75">
        <v>3000000</v>
      </c>
      <c r="Q12" s="75">
        <v>2</v>
      </c>
      <c r="R12" s="75">
        <v>1</v>
      </c>
      <c r="S12" s="76">
        <v>6000000</v>
      </c>
      <c r="T12" s="75"/>
      <c r="U12" s="78">
        <v>6000000</v>
      </c>
      <c r="V12" s="71" t="s">
        <v>316</v>
      </c>
      <c r="W12" s="60">
        <f t="shared" si="1"/>
        <v>1</v>
      </c>
      <c r="X12" s="46"/>
      <c r="Y12" s="74" t="s">
        <v>1010</v>
      </c>
      <c r="Z12" s="220">
        <f>SUMIF($E$3:$E$500, Y12, S$3:S$500)/$Z$3</f>
        <v>2.4198571923130942E-2</v>
      </c>
      <c r="AA12" s="46">
        <f>SUMIF($E$3:$E$500, Y12, S$3:S$500)</f>
        <v>175369920</v>
      </c>
      <c r="AB12" s="59">
        <v>4000000</v>
      </c>
      <c r="AC12" s="221">
        <f>AA12/SUM(AA12,AB12)</f>
        <v>0.97769971687560542</v>
      </c>
      <c r="AD12" s="46">
        <f t="shared" si="2"/>
        <v>179369920</v>
      </c>
      <c r="AE12" s="46"/>
    </row>
    <row r="13" spans="1:31" s="59" customFormat="1" ht="17.25" customHeight="1">
      <c r="A13" s="59" t="s">
        <v>257</v>
      </c>
      <c r="B13" s="72" t="s">
        <v>905</v>
      </c>
      <c r="C13" s="155" t="s">
        <v>904</v>
      </c>
      <c r="D13" s="58" t="str">
        <f>VLOOKUP(C13,코드!$E$3:$F$30,2,FALSE)</f>
        <v>8634</v>
      </c>
      <c r="E13" s="58" t="str">
        <f t="shared" si="0"/>
        <v>[A-1]</v>
      </c>
      <c r="F13" s="65" t="s">
        <v>995</v>
      </c>
      <c r="G13" s="65" t="s">
        <v>994</v>
      </c>
      <c r="H13" s="66" t="s">
        <v>1009</v>
      </c>
      <c r="I13" s="65" t="s">
        <v>1008</v>
      </c>
      <c r="J13" s="65" t="s">
        <v>1007</v>
      </c>
      <c r="K13" s="72" t="s">
        <v>130</v>
      </c>
      <c r="L13" s="72" t="s">
        <v>17</v>
      </c>
      <c r="M13" s="58">
        <f>VLOOKUP(L13,코드!$B$3:$C$29,2,FALSE)</f>
        <v>4241130</v>
      </c>
      <c r="N13" s="72" t="s">
        <v>129</v>
      </c>
      <c r="O13" s="72" t="s">
        <v>990</v>
      </c>
      <c r="P13" s="75">
        <v>30000</v>
      </c>
      <c r="Q13" s="75">
        <v>30</v>
      </c>
      <c r="R13" s="75">
        <v>1</v>
      </c>
      <c r="S13" s="76">
        <v>900000</v>
      </c>
      <c r="T13" s="75"/>
      <c r="U13" s="78">
        <v>900000</v>
      </c>
      <c r="V13" s="61" t="s">
        <v>127</v>
      </c>
      <c r="W13" s="60">
        <f t="shared" si="1"/>
        <v>1</v>
      </c>
      <c r="X13" s="46"/>
      <c r="Y13" s="74" t="s">
        <v>1006</v>
      </c>
      <c r="Z13" s="220">
        <f>SUMIF($E$3:$E$500, Y13, S$3:S$500)/$Z$3</f>
        <v>2.341683778373262E-2</v>
      </c>
      <c r="AA13" s="46">
        <f>SUMIF($E$3:$E$500, Y13, S$3:S$500)</f>
        <v>169704600</v>
      </c>
      <c r="AD13" s="46">
        <f t="shared" si="2"/>
        <v>169704600</v>
      </c>
      <c r="AE13" s="46"/>
    </row>
    <row r="14" spans="1:31" s="59" customFormat="1" ht="17.25" customHeight="1">
      <c r="A14" s="59" t="s">
        <v>257</v>
      </c>
      <c r="B14" s="72" t="s">
        <v>905</v>
      </c>
      <c r="C14" s="155" t="s">
        <v>904</v>
      </c>
      <c r="D14" s="58" t="str">
        <f>VLOOKUP(C14,코드!$E$3:$F$30,2,FALSE)</f>
        <v>8634</v>
      </c>
      <c r="E14" s="58" t="str">
        <f t="shared" si="0"/>
        <v>[A-1]</v>
      </c>
      <c r="F14" s="65" t="s">
        <v>995</v>
      </c>
      <c r="G14" s="65" t="s">
        <v>994</v>
      </c>
      <c r="H14" s="66" t="s">
        <v>1005</v>
      </c>
      <c r="I14" s="65" t="s">
        <v>1004</v>
      </c>
      <c r="J14" s="65" t="s">
        <v>1003</v>
      </c>
      <c r="K14" s="72" t="s">
        <v>130</v>
      </c>
      <c r="L14" s="72" t="s">
        <v>17</v>
      </c>
      <c r="M14" s="58">
        <f>VLOOKUP(L14,코드!$B$3:$C$29,2,FALSE)</f>
        <v>4241130</v>
      </c>
      <c r="N14" s="72" t="s">
        <v>129</v>
      </c>
      <c r="O14" s="72" t="s">
        <v>990</v>
      </c>
      <c r="P14" s="75">
        <v>30000</v>
      </c>
      <c r="Q14" s="75">
        <v>30</v>
      </c>
      <c r="R14" s="75">
        <v>1</v>
      </c>
      <c r="S14" s="76">
        <v>900000</v>
      </c>
      <c r="T14" s="75"/>
      <c r="U14" s="78">
        <v>900000</v>
      </c>
      <c r="V14" s="61" t="s">
        <v>127</v>
      </c>
      <c r="W14" s="60">
        <f t="shared" si="1"/>
        <v>1</v>
      </c>
      <c r="X14" s="46"/>
      <c r="Y14" s="74" t="s">
        <v>1002</v>
      </c>
      <c r="Z14" s="220">
        <f>SUMIF($E$3:$E$500, Y14, S$3:S$500)/$Z$3</f>
        <v>6.5483702975903238E-2</v>
      </c>
      <c r="AA14" s="46">
        <f>SUMIF($E$3:$E$500, Y14, S$3:S$500)</f>
        <v>474568160</v>
      </c>
      <c r="AD14" s="46">
        <f t="shared" si="2"/>
        <v>474568160</v>
      </c>
      <c r="AE14" s="46"/>
    </row>
    <row r="15" spans="1:31" s="59" customFormat="1" ht="17.25" customHeight="1">
      <c r="A15" s="59" t="s">
        <v>257</v>
      </c>
      <c r="B15" s="72" t="s">
        <v>905</v>
      </c>
      <c r="C15" s="155" t="s">
        <v>904</v>
      </c>
      <c r="D15" s="58" t="str">
        <f>VLOOKUP(C15,코드!$E$3:$F$30,2,FALSE)</f>
        <v>8634</v>
      </c>
      <c r="E15" s="58" t="str">
        <f t="shared" si="0"/>
        <v>[A-1]</v>
      </c>
      <c r="F15" s="65" t="s">
        <v>995</v>
      </c>
      <c r="G15" s="65" t="s">
        <v>994</v>
      </c>
      <c r="H15" s="66" t="s">
        <v>993</v>
      </c>
      <c r="I15" s="65" t="s">
        <v>1001</v>
      </c>
      <c r="J15" s="65" t="s">
        <v>1000</v>
      </c>
      <c r="K15" s="72" t="s">
        <v>130</v>
      </c>
      <c r="L15" s="72" t="s">
        <v>17</v>
      </c>
      <c r="M15" s="58">
        <f>VLOOKUP(L15,코드!$B$3:$C$29,2,FALSE)</f>
        <v>4241130</v>
      </c>
      <c r="N15" s="72" t="s">
        <v>129</v>
      </c>
      <c r="O15" s="72" t="s">
        <v>990</v>
      </c>
      <c r="P15" s="75">
        <v>30000</v>
      </c>
      <c r="Q15" s="75">
        <v>30</v>
      </c>
      <c r="R15" s="75">
        <v>1</v>
      </c>
      <c r="S15" s="76">
        <v>900000</v>
      </c>
      <c r="T15" s="75"/>
      <c r="U15" s="78">
        <v>900000</v>
      </c>
      <c r="V15" s="61" t="s">
        <v>127</v>
      </c>
      <c r="W15" s="60">
        <f t="shared" si="1"/>
        <v>1</v>
      </c>
      <c r="X15" s="46"/>
      <c r="Y15" s="74" t="s">
        <v>999</v>
      </c>
      <c r="Z15" s="220">
        <f>SUMIF($E$3:$E$500, Y15, S$3:S$500)/$Z$3</f>
        <v>4.2938918262258013E-2</v>
      </c>
      <c r="AA15" s="46">
        <f>SUMIF($E$3:$E$500, Y15, S$3:S$500)</f>
        <v>311183432</v>
      </c>
      <c r="AD15" s="46">
        <f t="shared" si="2"/>
        <v>311183432</v>
      </c>
      <c r="AE15" s="46"/>
    </row>
    <row r="16" spans="1:31" s="59" customFormat="1" ht="17.25" customHeight="1">
      <c r="A16" s="59" t="s">
        <v>257</v>
      </c>
      <c r="B16" s="72" t="s">
        <v>905</v>
      </c>
      <c r="C16" s="155" t="s">
        <v>904</v>
      </c>
      <c r="D16" s="58" t="str">
        <f>VLOOKUP(C16,코드!$E$3:$F$30,2,FALSE)</f>
        <v>8634</v>
      </c>
      <c r="E16" s="58" t="str">
        <f t="shared" si="0"/>
        <v>[A-1]</v>
      </c>
      <c r="F16" s="65" t="s">
        <v>995</v>
      </c>
      <c r="G16" s="65" t="s">
        <v>994</v>
      </c>
      <c r="H16" s="66" t="s">
        <v>993</v>
      </c>
      <c r="I16" s="65" t="s">
        <v>998</v>
      </c>
      <c r="J16" s="65" t="s">
        <v>997</v>
      </c>
      <c r="K16" s="72" t="s">
        <v>130</v>
      </c>
      <c r="L16" s="72" t="s">
        <v>17</v>
      </c>
      <c r="M16" s="58">
        <f>VLOOKUP(L16,코드!$B$3:$C$29,2,FALSE)</f>
        <v>4241130</v>
      </c>
      <c r="N16" s="72" t="s">
        <v>129</v>
      </c>
      <c r="O16" s="72" t="s">
        <v>990</v>
      </c>
      <c r="P16" s="75">
        <v>30000</v>
      </c>
      <c r="Q16" s="75">
        <v>15</v>
      </c>
      <c r="R16" s="75">
        <v>2</v>
      </c>
      <c r="S16" s="76">
        <v>900000</v>
      </c>
      <c r="T16" s="75"/>
      <c r="U16" s="78">
        <v>900000</v>
      </c>
      <c r="V16" s="61" t="s">
        <v>127</v>
      </c>
      <c r="W16" s="60">
        <f t="shared" si="1"/>
        <v>1</v>
      </c>
      <c r="X16" s="46"/>
      <c r="Y16" s="74" t="s">
        <v>996</v>
      </c>
      <c r="Z16" s="220">
        <f>SUMIF($E$3:$E$500, Y16, S$3:S$500)/$Z$3</f>
        <v>3.9905515154306216E-2</v>
      </c>
      <c r="AA16" s="46">
        <f>SUMIF($E$3:$E$500, Y16, S$3:S$500)</f>
        <v>289200000</v>
      </c>
      <c r="AB16" s="59">
        <v>62240000</v>
      </c>
      <c r="AC16" s="220">
        <f>AA16/SUM(AA16,AB16)</f>
        <v>0.82290006829046214</v>
      </c>
      <c r="AD16" s="46">
        <f t="shared" si="2"/>
        <v>351440000</v>
      </c>
      <c r="AE16" s="46"/>
    </row>
    <row r="17" spans="1:31" s="59" customFormat="1" ht="17.25" customHeight="1">
      <c r="A17" s="59" t="s">
        <v>257</v>
      </c>
      <c r="B17" s="72" t="s">
        <v>905</v>
      </c>
      <c r="C17" s="155" t="s">
        <v>904</v>
      </c>
      <c r="D17" s="58" t="str">
        <f>VLOOKUP(C17,코드!$E$3:$F$30,2,FALSE)</f>
        <v>8634</v>
      </c>
      <c r="E17" s="58" t="str">
        <f t="shared" si="0"/>
        <v>[A-1]</v>
      </c>
      <c r="F17" s="65" t="s">
        <v>995</v>
      </c>
      <c r="G17" s="65" t="s">
        <v>994</v>
      </c>
      <c r="H17" s="66" t="s">
        <v>993</v>
      </c>
      <c r="I17" s="65" t="s">
        <v>992</v>
      </c>
      <c r="J17" s="65" t="s">
        <v>991</v>
      </c>
      <c r="K17" s="72" t="s">
        <v>130</v>
      </c>
      <c r="L17" s="72" t="s">
        <v>17</v>
      </c>
      <c r="M17" s="58">
        <f>VLOOKUP(L17,코드!$B$3:$C$29,2,FALSE)</f>
        <v>4241130</v>
      </c>
      <c r="N17" s="72" t="s">
        <v>129</v>
      </c>
      <c r="O17" s="72" t="s">
        <v>990</v>
      </c>
      <c r="P17" s="75">
        <v>1000000</v>
      </c>
      <c r="Q17" s="75">
        <v>1</v>
      </c>
      <c r="R17" s="75">
        <v>1</v>
      </c>
      <c r="S17" s="76">
        <v>1000000</v>
      </c>
      <c r="T17" s="75"/>
      <c r="U17" s="78">
        <v>1000000</v>
      </c>
      <c r="V17" s="71" t="s">
        <v>316</v>
      </c>
      <c r="W17" s="60">
        <f t="shared" si="1"/>
        <v>1</v>
      </c>
      <c r="X17" s="46"/>
      <c r="Y17" s="74" t="s">
        <v>989</v>
      </c>
      <c r="Z17" s="220">
        <f>SUMIF($E$3:$E$500, Y17, S$3:S$500)/$Z$3</f>
        <v>1.2135857737971063E-2</v>
      </c>
      <c r="AA17" s="46">
        <f>SUMIF($E$3:$E$500, Y17, S$3:S$500)</f>
        <v>87950000</v>
      </c>
      <c r="AD17" s="46">
        <f t="shared" si="2"/>
        <v>87950000</v>
      </c>
      <c r="AE17" s="46"/>
    </row>
    <row r="18" spans="1:31" s="59" customFormat="1" ht="17.25" customHeight="1">
      <c r="A18" s="59" t="s">
        <v>257</v>
      </c>
      <c r="B18" s="72" t="s">
        <v>905</v>
      </c>
      <c r="C18" s="155" t="s">
        <v>904</v>
      </c>
      <c r="D18" s="58" t="str">
        <f>VLOOKUP(C18,코드!$E$3:$F$30,2,FALSE)</f>
        <v>8634</v>
      </c>
      <c r="E18" s="58" t="str">
        <f t="shared" si="0"/>
        <v>[A-2]</v>
      </c>
      <c r="F18" s="65" t="s">
        <v>942</v>
      </c>
      <c r="G18" s="65" t="s">
        <v>972</v>
      </c>
      <c r="H18" s="66" t="s">
        <v>985</v>
      </c>
      <c r="I18" s="65" t="s">
        <v>988</v>
      </c>
      <c r="J18" s="65" t="s">
        <v>987</v>
      </c>
      <c r="K18" s="72" t="s">
        <v>130</v>
      </c>
      <c r="L18" s="72" t="s">
        <v>17</v>
      </c>
      <c r="M18" s="58">
        <f>VLOOKUP(L18,코드!$B$3:$C$29,2,FALSE)</f>
        <v>4241130</v>
      </c>
      <c r="N18" s="72" t="s">
        <v>129</v>
      </c>
      <c r="O18" s="72" t="s">
        <v>944</v>
      </c>
      <c r="P18" s="75">
        <v>30000</v>
      </c>
      <c r="Q18" s="75">
        <v>30</v>
      </c>
      <c r="R18" s="75">
        <v>1</v>
      </c>
      <c r="S18" s="76">
        <v>900000</v>
      </c>
      <c r="T18" s="75"/>
      <c r="U18" s="78">
        <v>900000</v>
      </c>
      <c r="V18" s="87" t="s">
        <v>153</v>
      </c>
      <c r="W18" s="60">
        <f t="shared" si="1"/>
        <v>1</v>
      </c>
      <c r="X18" s="46"/>
      <c r="Y18" s="74" t="s">
        <v>986</v>
      </c>
      <c r="Z18" s="220">
        <f>SUMIF($E$3:$E$500, Y18, S$3:S$500)/$Z$3</f>
        <v>4.2377062959416414E-2</v>
      </c>
      <c r="AA18" s="46">
        <f>SUMIF($E$3:$E$500, Y18, S$3:S$500)</f>
        <v>307111600</v>
      </c>
      <c r="AD18" s="46">
        <f t="shared" si="2"/>
        <v>307111600</v>
      </c>
      <c r="AE18" s="46"/>
    </row>
    <row r="19" spans="1:31" s="59" customFormat="1" ht="17.25" customHeight="1">
      <c r="A19" s="59" t="s">
        <v>257</v>
      </c>
      <c r="B19" s="72" t="s">
        <v>905</v>
      </c>
      <c r="C19" s="155" t="s">
        <v>904</v>
      </c>
      <c r="D19" s="58" t="str">
        <f>VLOOKUP(C19,코드!$E$3:$F$30,2,FALSE)</f>
        <v>8634</v>
      </c>
      <c r="E19" s="58" t="str">
        <f t="shared" si="0"/>
        <v>[A-2]</v>
      </c>
      <c r="F19" s="65" t="s">
        <v>942</v>
      </c>
      <c r="G19" s="65" t="s">
        <v>972</v>
      </c>
      <c r="H19" s="66" t="s">
        <v>985</v>
      </c>
      <c r="I19" s="65" t="s">
        <v>984</v>
      </c>
      <c r="J19" s="65" t="s">
        <v>983</v>
      </c>
      <c r="K19" s="72" t="s">
        <v>130</v>
      </c>
      <c r="L19" s="72" t="s">
        <v>17</v>
      </c>
      <c r="M19" s="58">
        <f>VLOOKUP(L19,코드!$B$3:$C$29,2,FALSE)</f>
        <v>4241130</v>
      </c>
      <c r="N19" s="72" t="s">
        <v>107</v>
      </c>
      <c r="O19" s="72" t="s">
        <v>944</v>
      </c>
      <c r="P19" s="75">
        <v>300000</v>
      </c>
      <c r="Q19" s="75">
        <v>2</v>
      </c>
      <c r="R19" s="75">
        <v>2</v>
      </c>
      <c r="S19" s="76">
        <v>1200000</v>
      </c>
      <c r="T19" s="75"/>
      <c r="U19" s="78">
        <v>1200000</v>
      </c>
      <c r="V19" s="71"/>
      <c r="W19" s="60">
        <f t="shared" si="1"/>
        <v>1</v>
      </c>
      <c r="X19" s="46"/>
      <c r="Y19" s="74" t="s">
        <v>982</v>
      </c>
      <c r="Z19" s="220">
        <f>SUMIF($E$3:$E$500, Y19, S$3:S$500)/$Z$3</f>
        <v>6.167968628622018E-4</v>
      </c>
      <c r="AA19" s="46">
        <f>SUMIF($E$3:$E$500, Y19, S$3:S$500)</f>
        <v>4470000</v>
      </c>
      <c r="AD19" s="46">
        <f t="shared" si="2"/>
        <v>4470000</v>
      </c>
      <c r="AE19" s="46"/>
    </row>
    <row r="20" spans="1:31" ht="17.25" customHeight="1">
      <c r="A20" s="59" t="s">
        <v>257</v>
      </c>
      <c r="B20" s="72" t="s">
        <v>905</v>
      </c>
      <c r="C20" s="155" t="s">
        <v>904</v>
      </c>
      <c r="D20" s="58" t="str">
        <f>VLOOKUP(C20,코드!$E$3:$F$30,2,FALSE)</f>
        <v>8634</v>
      </c>
      <c r="E20" s="58" t="str">
        <f t="shared" si="0"/>
        <v>[A-2]</v>
      </c>
      <c r="F20" s="65" t="s">
        <v>942</v>
      </c>
      <c r="G20" s="65" t="s">
        <v>972</v>
      </c>
      <c r="H20" s="66" t="s">
        <v>971</v>
      </c>
      <c r="I20" s="65" t="s">
        <v>976</v>
      </c>
      <c r="J20" s="65" t="s">
        <v>981</v>
      </c>
      <c r="K20" s="72" t="s">
        <v>130</v>
      </c>
      <c r="L20" s="72" t="s">
        <v>17</v>
      </c>
      <c r="M20" s="58">
        <f>VLOOKUP(L20,코드!$B$3:$C$29,2,FALSE)</f>
        <v>4241130</v>
      </c>
      <c r="N20" s="72" t="s">
        <v>129</v>
      </c>
      <c r="O20" s="72" t="s">
        <v>944</v>
      </c>
      <c r="P20" s="75">
        <v>30000</v>
      </c>
      <c r="Q20" s="75">
        <v>20</v>
      </c>
      <c r="R20" s="75">
        <v>2</v>
      </c>
      <c r="S20" s="76">
        <v>1200000</v>
      </c>
      <c r="T20" s="75"/>
      <c r="U20" s="78">
        <v>1200000</v>
      </c>
      <c r="V20" s="71" t="s">
        <v>316</v>
      </c>
      <c r="W20" s="60">
        <f t="shared" si="1"/>
        <v>1</v>
      </c>
      <c r="X20" s="46"/>
      <c r="Y20" s="6" t="s">
        <v>980</v>
      </c>
      <c r="Z20" s="220">
        <f>SUMIF($E$3:$E$500, Y20, S$3:S$500)/$Z$3</f>
        <v>0.17579963227349277</v>
      </c>
      <c r="AA20" s="46">
        <f>SUMIF($E$3:$E$500, Y20, S$3:S$500)</f>
        <v>1274040780</v>
      </c>
      <c r="AB20" s="59"/>
      <c r="AC20" s="59"/>
      <c r="AD20" s="46">
        <f t="shared" si="2"/>
        <v>1274040780</v>
      </c>
    </row>
    <row r="21" spans="1:31" ht="17.25" customHeight="1">
      <c r="A21" s="59" t="s">
        <v>257</v>
      </c>
      <c r="B21" s="72" t="s">
        <v>905</v>
      </c>
      <c r="C21" s="155" t="s">
        <v>904</v>
      </c>
      <c r="D21" s="58" t="str">
        <f>VLOOKUP(C21,코드!$E$3:$F$30,2,FALSE)</f>
        <v>8634</v>
      </c>
      <c r="E21" s="58" t="str">
        <f t="shared" si="0"/>
        <v>[A-2]</v>
      </c>
      <c r="F21" s="65" t="s">
        <v>942</v>
      </c>
      <c r="G21" s="65" t="s">
        <v>972</v>
      </c>
      <c r="H21" s="66" t="s">
        <v>971</v>
      </c>
      <c r="I21" s="65" t="s">
        <v>970</v>
      </c>
      <c r="J21" s="65" t="s">
        <v>979</v>
      </c>
      <c r="K21" s="72" t="s">
        <v>130</v>
      </c>
      <c r="L21" s="72" t="s">
        <v>17</v>
      </c>
      <c r="M21" s="58">
        <f>VLOOKUP(L21,코드!$B$3:$C$29,2,FALSE)</f>
        <v>4241130</v>
      </c>
      <c r="N21" s="72" t="s">
        <v>129</v>
      </c>
      <c r="O21" s="72" t="s">
        <v>944</v>
      </c>
      <c r="P21" s="75">
        <v>30000</v>
      </c>
      <c r="Q21" s="75">
        <v>30</v>
      </c>
      <c r="R21" s="75">
        <v>1</v>
      </c>
      <c r="S21" s="76">
        <v>900000</v>
      </c>
      <c r="T21" s="75"/>
      <c r="U21" s="78">
        <v>900000</v>
      </c>
      <c r="V21" s="71" t="s">
        <v>978</v>
      </c>
      <c r="W21" s="60">
        <f t="shared" si="1"/>
        <v>1</v>
      </c>
      <c r="X21" s="46"/>
      <c r="Y21" s="6" t="s">
        <v>977</v>
      </c>
      <c r="Z21" s="220">
        <f>SUMIF($E$3:$E$500, Y21, S$3:S$500)/$Z$3</f>
        <v>2.0998469734986421E-2</v>
      </c>
      <c r="AA21" s="46">
        <f>SUMIF($E$3:$E$500, Y21, S$3:S$500)</f>
        <v>152178400</v>
      </c>
      <c r="AB21" s="59">
        <v>2000000</v>
      </c>
      <c r="AC21" s="220">
        <f>AA21/SUM(AA21,AB21)</f>
        <v>0.98702801430031706</v>
      </c>
      <c r="AD21" s="46">
        <f t="shared" si="2"/>
        <v>154178400</v>
      </c>
    </row>
    <row r="22" spans="1:31" ht="17.25" customHeight="1">
      <c r="A22" s="59" t="s">
        <v>257</v>
      </c>
      <c r="B22" s="72" t="s">
        <v>905</v>
      </c>
      <c r="C22" s="155" t="s">
        <v>904</v>
      </c>
      <c r="D22" s="58" t="str">
        <f>VLOOKUP(C22,코드!$E$3:$F$30,2,FALSE)</f>
        <v>8634</v>
      </c>
      <c r="E22" s="58" t="str">
        <f t="shared" si="0"/>
        <v>[A-2]</v>
      </c>
      <c r="F22" s="65" t="s">
        <v>942</v>
      </c>
      <c r="G22" s="65" t="s">
        <v>972</v>
      </c>
      <c r="H22" s="66" t="s">
        <v>971</v>
      </c>
      <c r="I22" s="65" t="s">
        <v>976</v>
      </c>
      <c r="J22" s="65" t="s">
        <v>975</v>
      </c>
      <c r="K22" s="72" t="s">
        <v>130</v>
      </c>
      <c r="L22" s="72" t="s">
        <v>11</v>
      </c>
      <c r="M22" s="58">
        <f>VLOOKUP(L22,코드!$B$3:$C$29,2,FALSE)</f>
        <v>4113401</v>
      </c>
      <c r="N22" s="72" t="s">
        <v>154</v>
      </c>
      <c r="O22" s="72" t="s">
        <v>944</v>
      </c>
      <c r="P22" s="75">
        <v>3000000</v>
      </c>
      <c r="Q22" s="75">
        <v>2</v>
      </c>
      <c r="R22" s="75">
        <v>1</v>
      </c>
      <c r="S22" s="76">
        <v>6000000</v>
      </c>
      <c r="T22" s="75"/>
      <c r="U22" s="78">
        <v>6000000</v>
      </c>
      <c r="V22" s="71" t="s">
        <v>316</v>
      </c>
      <c r="W22" s="60">
        <f t="shared" si="1"/>
        <v>1</v>
      </c>
      <c r="X22" s="46"/>
      <c r="Y22" s="6" t="s">
        <v>974</v>
      </c>
      <c r="Z22" s="220">
        <f>SUMIF($E$3:$E$500, Y22, S$3:S$500)/$Z$3</f>
        <v>1.1990972568842358E-2</v>
      </c>
      <c r="AA22" s="46">
        <f>SUMIF($E$3:$E$500, Y22, S$3:S$500)</f>
        <v>86900000</v>
      </c>
      <c r="AB22" s="59"/>
      <c r="AC22" s="59"/>
      <c r="AD22" s="46">
        <f t="shared" si="2"/>
        <v>86900000</v>
      </c>
    </row>
    <row r="23" spans="1:31" ht="17.25" customHeight="1">
      <c r="A23" s="59" t="s">
        <v>257</v>
      </c>
      <c r="B23" s="72" t="s">
        <v>905</v>
      </c>
      <c r="C23" s="155" t="s">
        <v>904</v>
      </c>
      <c r="D23" s="58" t="str">
        <f>VLOOKUP(C23,코드!$E$3:$F$30,2,FALSE)</f>
        <v>8634</v>
      </c>
      <c r="E23" s="58" t="str">
        <f t="shared" si="0"/>
        <v>[A-2]</v>
      </c>
      <c r="F23" s="65" t="s">
        <v>973</v>
      </c>
      <c r="G23" s="65" t="s">
        <v>972</v>
      </c>
      <c r="H23" s="66" t="s">
        <v>971</v>
      </c>
      <c r="I23" s="65" t="s">
        <v>970</v>
      </c>
      <c r="J23" s="65" t="s">
        <v>969</v>
      </c>
      <c r="K23" s="72" t="s">
        <v>130</v>
      </c>
      <c r="L23" s="72" t="s">
        <v>11</v>
      </c>
      <c r="M23" s="58">
        <f>VLOOKUP(L23,코드!$B$3:$C$29,2,FALSE)</f>
        <v>4113401</v>
      </c>
      <c r="N23" s="72" t="s">
        <v>154</v>
      </c>
      <c r="O23" s="72" t="s">
        <v>944</v>
      </c>
      <c r="P23" s="75">
        <v>3000000</v>
      </c>
      <c r="Q23" s="75">
        <v>2</v>
      </c>
      <c r="R23" s="75">
        <v>1</v>
      </c>
      <c r="S23" s="76">
        <v>6000000</v>
      </c>
      <c r="T23" s="75"/>
      <c r="U23" s="78">
        <v>6000000</v>
      </c>
      <c r="V23" s="71" t="s">
        <v>316</v>
      </c>
      <c r="W23" s="60">
        <f t="shared" si="1"/>
        <v>1</v>
      </c>
      <c r="X23" s="46"/>
      <c r="Y23" s="6" t="s">
        <v>968</v>
      </c>
      <c r="Z23" s="220">
        <f>SUMIF($E$3:$E$500, Y23, S$3:S$500)/$Z$3</f>
        <v>8.2879460855052781E-2</v>
      </c>
      <c r="AA23" s="46">
        <f>SUMIF($E$3:$E$500, Y23, S$3:S$500)</f>
        <v>600637280</v>
      </c>
      <c r="AB23" s="59">
        <v>80000000</v>
      </c>
      <c r="AC23" s="220">
        <f>AA23/SUM(AA23,AB23)</f>
        <v>0.88246309399920031</v>
      </c>
      <c r="AD23" s="46">
        <f t="shared" si="2"/>
        <v>680637280</v>
      </c>
    </row>
    <row r="24" spans="1:31" ht="17.25" customHeight="1">
      <c r="A24" s="59" t="s">
        <v>257</v>
      </c>
      <c r="B24" s="72" t="s">
        <v>905</v>
      </c>
      <c r="C24" s="155" t="s">
        <v>904</v>
      </c>
      <c r="D24" s="58" t="str">
        <f>VLOOKUP(C24,코드!$E$3:$F$30,2,FALSE)</f>
        <v>8634</v>
      </c>
      <c r="E24" s="58" t="str">
        <f t="shared" si="0"/>
        <v>[A-2]</v>
      </c>
      <c r="F24" s="65" t="s">
        <v>942</v>
      </c>
      <c r="G24" s="65" t="s">
        <v>958</v>
      </c>
      <c r="H24" s="66" t="s">
        <v>964</v>
      </c>
      <c r="I24" s="65" t="s">
        <v>967</v>
      </c>
      <c r="J24" s="65" t="s">
        <v>966</v>
      </c>
      <c r="K24" s="72" t="s">
        <v>130</v>
      </c>
      <c r="L24" s="72" t="s">
        <v>17</v>
      </c>
      <c r="M24" s="58">
        <f>VLOOKUP(L24,코드!$B$3:$C$29,2,FALSE)</f>
        <v>4241130</v>
      </c>
      <c r="N24" s="72" t="s">
        <v>129</v>
      </c>
      <c r="O24" s="72" t="s">
        <v>944</v>
      </c>
      <c r="P24" s="75">
        <v>30000</v>
      </c>
      <c r="Q24" s="75">
        <v>30</v>
      </c>
      <c r="R24" s="75">
        <v>1</v>
      </c>
      <c r="S24" s="76">
        <v>900000</v>
      </c>
      <c r="T24" s="75"/>
      <c r="U24" s="78">
        <v>900000</v>
      </c>
      <c r="V24" s="71" t="s">
        <v>316</v>
      </c>
      <c r="W24" s="60">
        <f t="shared" si="1"/>
        <v>1</v>
      </c>
      <c r="X24" s="46"/>
      <c r="Y24" s="6" t="s">
        <v>965</v>
      </c>
      <c r="Z24" s="220">
        <f>SUMIF($E$3:$E$500, Y24, S$3:S$500)/$Z$3</f>
        <v>5.5848403193478205E-3</v>
      </c>
      <c r="AA24" s="46">
        <f>SUMIF($E$3:$E$500, Y24, S$3:S$500)</f>
        <v>40474000</v>
      </c>
      <c r="AB24" s="59"/>
      <c r="AC24" s="59"/>
      <c r="AD24" s="46">
        <f t="shared" si="2"/>
        <v>40474000</v>
      </c>
    </row>
    <row r="25" spans="1:31" ht="17.25" customHeight="1">
      <c r="A25" s="59" t="s">
        <v>257</v>
      </c>
      <c r="B25" s="72" t="s">
        <v>905</v>
      </c>
      <c r="C25" s="155" t="s">
        <v>904</v>
      </c>
      <c r="D25" s="58" t="str">
        <f>VLOOKUP(C25,코드!$E$3:$F$30,2,FALSE)</f>
        <v>8634</v>
      </c>
      <c r="E25" s="58" t="str">
        <f t="shared" si="0"/>
        <v>[A-2]</v>
      </c>
      <c r="F25" s="65" t="s">
        <v>942</v>
      </c>
      <c r="G25" s="65" t="s">
        <v>958</v>
      </c>
      <c r="H25" s="66" t="s">
        <v>964</v>
      </c>
      <c r="I25" s="65" t="s">
        <v>963</v>
      </c>
      <c r="J25" s="65" t="s">
        <v>962</v>
      </c>
      <c r="K25" s="72" t="s">
        <v>130</v>
      </c>
      <c r="L25" s="72" t="s">
        <v>17</v>
      </c>
      <c r="M25" s="58">
        <f>VLOOKUP(L25,코드!$B$3:$C$29,2,FALSE)</f>
        <v>4241130</v>
      </c>
      <c r="N25" s="72" t="s">
        <v>129</v>
      </c>
      <c r="O25" s="72" t="s">
        <v>944</v>
      </c>
      <c r="P25" s="75">
        <v>30000</v>
      </c>
      <c r="Q25" s="75">
        <v>30</v>
      </c>
      <c r="R25" s="75">
        <v>1</v>
      </c>
      <c r="S25" s="76">
        <v>900000</v>
      </c>
      <c r="T25" s="75"/>
      <c r="U25" s="78">
        <v>900000</v>
      </c>
      <c r="V25" s="61" t="s">
        <v>127</v>
      </c>
      <c r="W25" s="60">
        <f t="shared" si="1"/>
        <v>1</v>
      </c>
      <c r="X25" s="46"/>
      <c r="Y25" s="6" t="s">
        <v>961</v>
      </c>
      <c r="Z25" s="218">
        <f>SUMIF($E$3:$E$500, Y25, S$3:S$500)/$Z$3</f>
        <v>0.26123284463904312</v>
      </c>
      <c r="AA25" s="46">
        <f>SUMIF($E$3:$E$500, Y25, S$3:S$500)</f>
        <v>1893185400</v>
      </c>
      <c r="AB25" s="59"/>
      <c r="AC25" s="59"/>
      <c r="AD25" s="46">
        <f t="shared" si="2"/>
        <v>1893185400</v>
      </c>
    </row>
    <row r="26" spans="1:31" ht="17.25" customHeight="1">
      <c r="A26" s="59" t="s">
        <v>257</v>
      </c>
      <c r="B26" s="72" t="s">
        <v>905</v>
      </c>
      <c r="C26" s="155" t="s">
        <v>904</v>
      </c>
      <c r="D26" s="58" t="str">
        <f>VLOOKUP(C26,코드!$E$3:$F$30,2,FALSE)</f>
        <v>8634</v>
      </c>
      <c r="E26" s="58" t="str">
        <f t="shared" si="0"/>
        <v>[A-2]</v>
      </c>
      <c r="F26" s="65" t="s">
        <v>942</v>
      </c>
      <c r="G26" s="65" t="s">
        <v>958</v>
      </c>
      <c r="H26" s="66" t="s">
        <v>957</v>
      </c>
      <c r="I26" s="65" t="s">
        <v>960</v>
      </c>
      <c r="J26" s="65" t="s">
        <v>959</v>
      </c>
      <c r="K26" s="72" t="s">
        <v>130</v>
      </c>
      <c r="L26" s="72" t="s">
        <v>17</v>
      </c>
      <c r="M26" s="58">
        <f>VLOOKUP(L26,코드!$B$3:$C$29,2,FALSE)</f>
        <v>4241130</v>
      </c>
      <c r="N26" s="72" t="s">
        <v>129</v>
      </c>
      <c r="O26" s="72" t="s">
        <v>944</v>
      </c>
      <c r="P26" s="75">
        <v>30000</v>
      </c>
      <c r="Q26" s="75">
        <v>30</v>
      </c>
      <c r="R26" s="75">
        <v>1</v>
      </c>
      <c r="S26" s="76">
        <v>900000</v>
      </c>
      <c r="T26" s="75"/>
      <c r="U26" s="78">
        <v>900000</v>
      </c>
      <c r="V26" s="87" t="s">
        <v>153</v>
      </c>
      <c r="W26" s="60">
        <f t="shared" si="1"/>
        <v>1</v>
      </c>
      <c r="X26" s="46"/>
      <c r="Z26" s="219">
        <f>SUM(Z7:Z25)</f>
        <v>1</v>
      </c>
      <c r="AA26" s="218"/>
      <c r="AB26" s="59"/>
      <c r="AC26" s="59"/>
      <c r="AD26" s="46">
        <f t="shared" si="2"/>
        <v>0</v>
      </c>
    </row>
    <row r="27" spans="1:31" ht="17.25" customHeight="1">
      <c r="A27" s="59" t="s">
        <v>257</v>
      </c>
      <c r="B27" s="72" t="s">
        <v>905</v>
      </c>
      <c r="C27" s="155" t="s">
        <v>904</v>
      </c>
      <c r="D27" s="58" t="str">
        <f>VLOOKUP(C27,코드!$E$3:$F$30,2,FALSE)</f>
        <v>8634</v>
      </c>
      <c r="E27" s="58" t="str">
        <f t="shared" si="0"/>
        <v>[A-2]</v>
      </c>
      <c r="F27" s="65" t="s">
        <v>942</v>
      </c>
      <c r="G27" s="65" t="s">
        <v>958</v>
      </c>
      <c r="H27" s="66" t="s">
        <v>957</v>
      </c>
      <c r="I27" s="65" t="s">
        <v>956</v>
      </c>
      <c r="J27" s="65" t="s">
        <v>955</v>
      </c>
      <c r="K27" s="72" t="s">
        <v>130</v>
      </c>
      <c r="L27" s="72" t="s">
        <v>17</v>
      </c>
      <c r="M27" s="58">
        <f>VLOOKUP(L27,코드!$B$3:$C$29,2,FALSE)</f>
        <v>4241130</v>
      </c>
      <c r="N27" s="72" t="s">
        <v>129</v>
      </c>
      <c r="O27" s="72" t="s">
        <v>944</v>
      </c>
      <c r="P27" s="75">
        <v>30000</v>
      </c>
      <c r="Q27" s="75">
        <v>20</v>
      </c>
      <c r="R27" s="75">
        <v>1</v>
      </c>
      <c r="S27" s="76">
        <v>600000</v>
      </c>
      <c r="T27" s="75"/>
      <c r="U27" s="78">
        <v>600000</v>
      </c>
      <c r="V27" s="61" t="s">
        <v>127</v>
      </c>
      <c r="W27" s="60">
        <f t="shared" si="1"/>
        <v>1</v>
      </c>
      <c r="X27" s="46"/>
      <c r="Y27" s="74"/>
      <c r="Z27" s="46"/>
      <c r="AA27" s="59"/>
      <c r="AB27" s="59"/>
      <c r="AC27" s="59"/>
      <c r="AD27" s="46"/>
    </row>
    <row r="28" spans="1:31" ht="17.25" customHeight="1">
      <c r="A28" s="59" t="s">
        <v>257</v>
      </c>
      <c r="B28" s="72" t="s">
        <v>905</v>
      </c>
      <c r="C28" s="155" t="s">
        <v>943</v>
      </c>
      <c r="D28" s="58" t="str">
        <f>VLOOKUP(C28,코드!$E$3:$F$30,2,FALSE)</f>
        <v>8718</v>
      </c>
      <c r="E28" s="58" t="str">
        <f t="shared" si="0"/>
        <v>[A-2]</v>
      </c>
      <c r="F28" s="65" t="s">
        <v>942</v>
      </c>
      <c r="G28" s="65" t="s">
        <v>941</v>
      </c>
      <c r="H28" s="66" t="s">
        <v>940</v>
      </c>
      <c r="I28" s="65" t="s">
        <v>953</v>
      </c>
      <c r="J28" s="65" t="s">
        <v>954</v>
      </c>
      <c r="K28" s="72" t="s">
        <v>130</v>
      </c>
      <c r="L28" s="72" t="s">
        <v>17</v>
      </c>
      <c r="M28" s="58">
        <f>VLOOKUP(L28,코드!$B$3:$C$29,2,FALSE)</f>
        <v>4241130</v>
      </c>
      <c r="N28" s="72" t="s">
        <v>232</v>
      </c>
      <c r="O28" s="72" t="s">
        <v>944</v>
      </c>
      <c r="P28" s="75">
        <v>200000</v>
      </c>
      <c r="Q28" s="75">
        <v>310</v>
      </c>
      <c r="R28" s="75">
        <v>2</v>
      </c>
      <c r="S28" s="64">
        <v>124000000</v>
      </c>
      <c r="T28" s="63"/>
      <c r="U28" s="62">
        <v>124000000</v>
      </c>
      <c r="V28" s="61" t="s">
        <v>316</v>
      </c>
      <c r="W28" s="60">
        <f t="shared" si="1"/>
        <v>1</v>
      </c>
      <c r="X28" s="46"/>
      <c r="Y28" s="74"/>
      <c r="Z28" s="46"/>
      <c r="AA28" s="59"/>
      <c r="AB28" s="59"/>
      <c r="AC28" s="59"/>
      <c r="AD28" s="46"/>
    </row>
    <row r="29" spans="1:31" ht="17.25" customHeight="1">
      <c r="A29" s="59" t="s">
        <v>257</v>
      </c>
      <c r="B29" s="72" t="s">
        <v>905</v>
      </c>
      <c r="C29" s="155" t="s">
        <v>943</v>
      </c>
      <c r="D29" s="58" t="str">
        <f>VLOOKUP(C29,코드!$E$3:$F$30,2,FALSE)</f>
        <v>8718</v>
      </c>
      <c r="E29" s="58" t="str">
        <f t="shared" si="0"/>
        <v>[A-2]</v>
      </c>
      <c r="F29" s="65" t="s">
        <v>942</v>
      </c>
      <c r="G29" s="65" t="s">
        <v>941</v>
      </c>
      <c r="H29" s="66" t="s">
        <v>940</v>
      </c>
      <c r="I29" s="65" t="s">
        <v>953</v>
      </c>
      <c r="J29" s="65" t="s">
        <v>952</v>
      </c>
      <c r="K29" s="72" t="s">
        <v>130</v>
      </c>
      <c r="L29" s="72" t="s">
        <v>17</v>
      </c>
      <c r="M29" s="58">
        <f>VLOOKUP(L29,코드!$B$3:$C$29,2,FALSE)</f>
        <v>4241130</v>
      </c>
      <c r="N29" s="72" t="s">
        <v>262</v>
      </c>
      <c r="O29" s="72" t="s">
        <v>944</v>
      </c>
      <c r="P29" s="75">
        <v>300000</v>
      </c>
      <c r="Q29" s="75">
        <v>1</v>
      </c>
      <c r="R29" s="75">
        <v>2</v>
      </c>
      <c r="S29" s="64">
        <v>2800000</v>
      </c>
      <c r="T29" s="63"/>
      <c r="U29" s="62">
        <v>2800000</v>
      </c>
      <c r="V29" s="61" t="s">
        <v>127</v>
      </c>
      <c r="W29" s="60">
        <f t="shared" si="1"/>
        <v>1</v>
      </c>
      <c r="X29" s="46"/>
      <c r="Y29" s="74"/>
      <c r="Z29" s="46"/>
      <c r="AA29" s="59"/>
      <c r="AB29" s="59"/>
      <c r="AC29" s="59"/>
      <c r="AD29" s="46"/>
    </row>
    <row r="30" spans="1:31" ht="17.25" customHeight="1">
      <c r="A30" s="59" t="s">
        <v>257</v>
      </c>
      <c r="B30" s="72" t="s">
        <v>905</v>
      </c>
      <c r="C30" s="155" t="s">
        <v>943</v>
      </c>
      <c r="D30" s="58" t="str">
        <f>VLOOKUP(C30,코드!$E$3:$F$30,2,FALSE)</f>
        <v>8718</v>
      </c>
      <c r="E30" s="58" t="str">
        <f t="shared" si="0"/>
        <v>[A-2]</v>
      </c>
      <c r="F30" s="65" t="s">
        <v>942</v>
      </c>
      <c r="G30" s="65" t="s">
        <v>941</v>
      </c>
      <c r="H30" s="66" t="s">
        <v>940</v>
      </c>
      <c r="I30" s="65" t="s">
        <v>946</v>
      </c>
      <c r="J30" s="65" t="s">
        <v>951</v>
      </c>
      <c r="K30" s="72" t="s">
        <v>101</v>
      </c>
      <c r="L30" s="72" t="s">
        <v>15</v>
      </c>
      <c r="M30" s="58">
        <f>VLOOKUP(L30,코드!$B$3:$C$29,2,FALSE)</f>
        <v>4321701</v>
      </c>
      <c r="N30" s="72" t="s">
        <v>349</v>
      </c>
      <c r="O30" s="72" t="s">
        <v>950</v>
      </c>
      <c r="P30" s="75">
        <v>300000</v>
      </c>
      <c r="Q30" s="75">
        <v>10</v>
      </c>
      <c r="R30" s="75">
        <v>2</v>
      </c>
      <c r="S30" s="64">
        <v>4000000</v>
      </c>
      <c r="T30" s="63"/>
      <c r="U30" s="62">
        <v>4000000</v>
      </c>
      <c r="V30" s="87" t="s">
        <v>153</v>
      </c>
      <c r="W30" s="60">
        <f t="shared" si="1"/>
        <v>1</v>
      </c>
      <c r="X30" s="46"/>
      <c r="Y30" s="217"/>
      <c r="AB30" s="59"/>
      <c r="AC30" s="59"/>
      <c r="AD30" s="46"/>
    </row>
    <row r="31" spans="1:31" ht="17.25" customHeight="1">
      <c r="A31" s="59" t="s">
        <v>257</v>
      </c>
      <c r="B31" s="72" t="s">
        <v>905</v>
      </c>
      <c r="C31" s="155" t="s">
        <v>943</v>
      </c>
      <c r="D31" s="58" t="str">
        <f>VLOOKUP(C31,코드!$E$3:$F$30,2,FALSE)</f>
        <v>8718</v>
      </c>
      <c r="E31" s="58" t="str">
        <f t="shared" si="0"/>
        <v>[A-2]</v>
      </c>
      <c r="F31" s="65" t="s">
        <v>942</v>
      </c>
      <c r="G31" s="65" t="s">
        <v>941</v>
      </c>
      <c r="H31" s="66" t="s">
        <v>940</v>
      </c>
      <c r="I31" s="65" t="s">
        <v>946</v>
      </c>
      <c r="J31" s="65" t="s">
        <v>949</v>
      </c>
      <c r="K31" s="72" t="s">
        <v>130</v>
      </c>
      <c r="L31" s="72" t="s">
        <v>17</v>
      </c>
      <c r="M31" s="58">
        <f>VLOOKUP(L31,코드!$B$3:$C$29,2,FALSE)</f>
        <v>4241130</v>
      </c>
      <c r="N31" s="72" t="s">
        <v>217</v>
      </c>
      <c r="O31" s="72" t="s">
        <v>944</v>
      </c>
      <c r="P31" s="75"/>
      <c r="Q31" s="75"/>
      <c r="R31" s="75"/>
      <c r="S31" s="64">
        <v>1000000</v>
      </c>
      <c r="T31" s="63"/>
      <c r="U31" s="62">
        <v>1000000</v>
      </c>
      <c r="V31" s="87" t="s">
        <v>153</v>
      </c>
      <c r="W31" s="60">
        <f t="shared" si="1"/>
        <v>1</v>
      </c>
      <c r="X31" s="46"/>
      <c r="Y31" s="217"/>
      <c r="AB31" s="59"/>
      <c r="AC31" s="59"/>
      <c r="AD31" s="46"/>
    </row>
    <row r="32" spans="1:31" ht="17.25" customHeight="1">
      <c r="A32" s="59" t="s">
        <v>257</v>
      </c>
      <c r="B32" s="72" t="s">
        <v>905</v>
      </c>
      <c r="C32" s="155" t="s">
        <v>943</v>
      </c>
      <c r="D32" s="58" t="str">
        <f>VLOOKUP(C32,코드!$E$3:$F$30,2,FALSE)</f>
        <v>8718</v>
      </c>
      <c r="E32" s="58" t="str">
        <f t="shared" si="0"/>
        <v>[A-2]</v>
      </c>
      <c r="F32" s="65" t="s">
        <v>942</v>
      </c>
      <c r="G32" s="65" t="s">
        <v>941</v>
      </c>
      <c r="H32" s="66" t="s">
        <v>940</v>
      </c>
      <c r="I32" s="65" t="s">
        <v>946</v>
      </c>
      <c r="J32" s="65" t="s">
        <v>948</v>
      </c>
      <c r="K32" s="72" t="s">
        <v>130</v>
      </c>
      <c r="L32" s="72" t="s">
        <v>17</v>
      </c>
      <c r="M32" s="58">
        <f>VLOOKUP(L32,코드!$B$3:$C$29,2,FALSE)</f>
        <v>4241130</v>
      </c>
      <c r="N32" s="72" t="s">
        <v>120</v>
      </c>
      <c r="O32" s="72" t="s">
        <v>944</v>
      </c>
      <c r="P32" s="75"/>
      <c r="Q32" s="75"/>
      <c r="R32" s="75"/>
      <c r="S32" s="64">
        <v>2000000</v>
      </c>
      <c r="T32" s="63"/>
      <c r="U32" s="62">
        <v>2000000</v>
      </c>
      <c r="V32" s="87" t="s">
        <v>153</v>
      </c>
      <c r="W32" s="60">
        <f t="shared" si="1"/>
        <v>1</v>
      </c>
      <c r="X32" s="46"/>
      <c r="Y32" s="217"/>
      <c r="AB32" s="59"/>
      <c r="AC32" s="59"/>
      <c r="AD32" s="46"/>
    </row>
    <row r="33" spans="1:31" ht="17.25" customHeight="1">
      <c r="A33" s="59" t="s">
        <v>257</v>
      </c>
      <c r="B33" s="72" t="s">
        <v>905</v>
      </c>
      <c r="C33" s="155" t="s">
        <v>943</v>
      </c>
      <c r="D33" s="58" t="str">
        <f>VLOOKUP(C33,코드!$E$3:$F$30,2,FALSE)</f>
        <v>8718</v>
      </c>
      <c r="E33" s="58" t="str">
        <f t="shared" si="0"/>
        <v>[A-2]</v>
      </c>
      <c r="F33" s="65" t="s">
        <v>942</v>
      </c>
      <c r="G33" s="65" t="s">
        <v>941</v>
      </c>
      <c r="H33" s="66" t="s">
        <v>940</v>
      </c>
      <c r="I33" s="65" t="s">
        <v>946</v>
      </c>
      <c r="J33" s="65" t="s">
        <v>947</v>
      </c>
      <c r="K33" s="72" t="s">
        <v>130</v>
      </c>
      <c r="L33" s="72" t="s">
        <v>17</v>
      </c>
      <c r="M33" s="58">
        <f>VLOOKUP(L33,코드!$B$3:$C$29,2,FALSE)</f>
        <v>4241130</v>
      </c>
      <c r="N33" s="72" t="s">
        <v>356</v>
      </c>
      <c r="O33" s="72" t="s">
        <v>944</v>
      </c>
      <c r="P33" s="75">
        <v>300000</v>
      </c>
      <c r="Q33" s="75">
        <v>3</v>
      </c>
      <c r="R33" s="75">
        <v>2</v>
      </c>
      <c r="S33" s="64">
        <v>900000</v>
      </c>
      <c r="T33" s="63"/>
      <c r="U33" s="62">
        <v>900000</v>
      </c>
      <c r="V33" s="87" t="s">
        <v>153</v>
      </c>
      <c r="W33" s="60">
        <f t="shared" si="1"/>
        <v>1</v>
      </c>
      <c r="X33" s="46"/>
      <c r="Y33" s="217"/>
      <c r="AB33" s="59"/>
      <c r="AC33" s="59"/>
      <c r="AD33" s="46"/>
    </row>
    <row r="34" spans="1:31" ht="17.25" customHeight="1">
      <c r="A34" s="59" t="s">
        <v>257</v>
      </c>
      <c r="B34" s="72" t="s">
        <v>905</v>
      </c>
      <c r="C34" s="155" t="s">
        <v>943</v>
      </c>
      <c r="D34" s="58" t="str">
        <f>VLOOKUP(C34,코드!$E$3:$F$30,2,FALSE)</f>
        <v>8718</v>
      </c>
      <c r="E34" s="58" t="str">
        <f t="shared" si="0"/>
        <v>[A-2]</v>
      </c>
      <c r="F34" s="65" t="s">
        <v>942</v>
      </c>
      <c r="G34" s="65" t="s">
        <v>941</v>
      </c>
      <c r="H34" s="66" t="s">
        <v>940</v>
      </c>
      <c r="I34" s="65" t="s">
        <v>946</v>
      </c>
      <c r="J34" s="65" t="s">
        <v>945</v>
      </c>
      <c r="K34" s="72" t="s">
        <v>130</v>
      </c>
      <c r="L34" s="72" t="s">
        <v>17</v>
      </c>
      <c r="M34" s="58">
        <f>VLOOKUP(L34,코드!$B$3:$C$29,2,FALSE)</f>
        <v>4241130</v>
      </c>
      <c r="N34" s="72" t="s">
        <v>262</v>
      </c>
      <c r="O34" s="72" t="s">
        <v>944</v>
      </c>
      <c r="P34" s="75">
        <v>150000</v>
      </c>
      <c r="Q34" s="75">
        <v>1</v>
      </c>
      <c r="R34" s="75">
        <v>2</v>
      </c>
      <c r="S34" s="64">
        <v>2300000</v>
      </c>
      <c r="T34" s="63"/>
      <c r="U34" s="62">
        <v>2300000</v>
      </c>
      <c r="V34" s="87" t="s">
        <v>153</v>
      </c>
      <c r="W34" s="60">
        <f t="shared" si="1"/>
        <v>1</v>
      </c>
      <c r="X34" s="46"/>
      <c r="Y34" s="217"/>
      <c r="AB34" s="59"/>
      <c r="AC34" s="59"/>
      <c r="AD34" s="46"/>
    </row>
    <row r="35" spans="1:31" ht="17.25" customHeight="1">
      <c r="A35" s="59" t="s">
        <v>257</v>
      </c>
      <c r="B35" s="72" t="s">
        <v>905</v>
      </c>
      <c r="C35" s="155" t="s">
        <v>943</v>
      </c>
      <c r="D35" s="58" t="str">
        <f>VLOOKUP(C35,코드!$E$3:$F$30,2,FALSE)</f>
        <v>8718</v>
      </c>
      <c r="E35" s="58" t="str">
        <f t="shared" si="0"/>
        <v>[A-2]</v>
      </c>
      <c r="F35" s="65" t="s">
        <v>942</v>
      </c>
      <c r="G35" s="65" t="s">
        <v>941</v>
      </c>
      <c r="H35" s="66" t="s">
        <v>940</v>
      </c>
      <c r="I35" s="70" t="s">
        <v>470</v>
      </c>
      <c r="J35" s="70" t="s">
        <v>939</v>
      </c>
      <c r="K35" s="69" t="s">
        <v>84</v>
      </c>
      <c r="L35" s="68" t="s">
        <v>97</v>
      </c>
      <c r="M35" s="68">
        <f>VLOOKUP(L35,코드!$B$3:$C$29,2,FALSE)</f>
        <v>4125101</v>
      </c>
      <c r="N35" s="69" t="s">
        <v>96</v>
      </c>
      <c r="O35" s="68" t="s">
        <v>68</v>
      </c>
      <c r="P35" s="75"/>
      <c r="Q35" s="75"/>
      <c r="R35" s="75"/>
      <c r="S35" s="64">
        <v>30000000</v>
      </c>
      <c r="T35" s="63"/>
      <c r="U35" s="63">
        <v>30000000</v>
      </c>
      <c r="V35" s="61" t="s">
        <v>67</v>
      </c>
      <c r="W35" s="60">
        <f t="shared" ref="W35:W57" si="3">U35/S35</f>
        <v>1</v>
      </c>
      <c r="X35" s="46"/>
      <c r="Y35" s="74"/>
      <c r="Z35" s="46"/>
      <c r="AA35" s="59"/>
      <c r="AB35" s="59"/>
      <c r="AC35" s="59"/>
      <c r="AD35" s="46"/>
    </row>
    <row r="36" spans="1:31" ht="17.25" customHeight="1">
      <c r="A36" s="59" t="s">
        <v>257</v>
      </c>
      <c r="B36" s="72" t="s">
        <v>905</v>
      </c>
      <c r="C36" s="155" t="s">
        <v>904</v>
      </c>
      <c r="D36" s="58" t="str">
        <f>VLOOKUP(C36,코드!$E$3:$F$30,2,FALSE)</f>
        <v>8634</v>
      </c>
      <c r="E36" s="58" t="str">
        <f t="shared" si="0"/>
        <v>[A-3]</v>
      </c>
      <c r="F36" s="65" t="s">
        <v>903</v>
      </c>
      <c r="G36" s="65" t="s">
        <v>931</v>
      </c>
      <c r="H36" s="66" t="s">
        <v>937</v>
      </c>
      <c r="I36" s="70" t="s">
        <v>470</v>
      </c>
      <c r="J36" s="70" t="s">
        <v>938</v>
      </c>
      <c r="K36" s="68" t="s">
        <v>84</v>
      </c>
      <c r="L36" s="68" t="s">
        <v>97</v>
      </c>
      <c r="M36" s="68">
        <f>VLOOKUP(L36,코드!$B$3:$C$29,2,FALSE)</f>
        <v>4125101</v>
      </c>
      <c r="N36" s="69" t="s">
        <v>96</v>
      </c>
      <c r="O36" s="68" t="s">
        <v>68</v>
      </c>
      <c r="P36" s="63"/>
      <c r="Q36" s="63"/>
      <c r="R36" s="63"/>
      <c r="S36" s="64">
        <v>30000000</v>
      </c>
      <c r="T36" s="63"/>
      <c r="U36" s="63">
        <v>30000000</v>
      </c>
      <c r="V36" s="61" t="s">
        <v>67</v>
      </c>
      <c r="W36" s="60">
        <f t="shared" si="3"/>
        <v>1</v>
      </c>
    </row>
    <row r="37" spans="1:31" ht="17.25" customHeight="1">
      <c r="A37" s="59" t="s">
        <v>257</v>
      </c>
      <c r="B37" s="72" t="s">
        <v>905</v>
      </c>
      <c r="C37" s="155" t="s">
        <v>904</v>
      </c>
      <c r="D37" s="58" t="str">
        <f>VLOOKUP(C37,코드!$E$3:$F$30,2,FALSE)</f>
        <v>8634</v>
      </c>
      <c r="E37" s="58" t="str">
        <f t="shared" si="0"/>
        <v>[A-3]</v>
      </c>
      <c r="F37" s="65" t="s">
        <v>903</v>
      </c>
      <c r="G37" s="65" t="s">
        <v>931</v>
      </c>
      <c r="H37" s="66" t="s">
        <v>937</v>
      </c>
      <c r="I37" s="65" t="s">
        <v>936</v>
      </c>
      <c r="J37" s="65" t="s">
        <v>935</v>
      </c>
      <c r="K37" s="72" t="s">
        <v>130</v>
      </c>
      <c r="L37" s="72" t="s">
        <v>17</v>
      </c>
      <c r="M37" s="58">
        <f>VLOOKUP(L37,코드!$B$3:$C$29,2,FALSE)</f>
        <v>4241130</v>
      </c>
      <c r="N37" s="72" t="s">
        <v>129</v>
      </c>
      <c r="O37" s="72" t="s">
        <v>898</v>
      </c>
      <c r="P37" s="75">
        <v>30000</v>
      </c>
      <c r="Q37" s="75">
        <v>30</v>
      </c>
      <c r="R37" s="75">
        <v>1</v>
      </c>
      <c r="S37" s="76">
        <v>900000</v>
      </c>
      <c r="T37" s="75"/>
      <c r="U37" s="78">
        <v>900000</v>
      </c>
      <c r="V37" s="71" t="s">
        <v>316</v>
      </c>
      <c r="W37" s="60">
        <f t="shared" si="3"/>
        <v>1</v>
      </c>
      <c r="X37" s="46"/>
      <c r="Y37" s="74"/>
      <c r="Z37" s="46"/>
      <c r="AA37" s="59"/>
      <c r="AB37" s="59"/>
      <c r="AC37" s="59"/>
      <c r="AD37" s="46"/>
    </row>
    <row r="38" spans="1:31" ht="17.25" customHeight="1">
      <c r="A38" s="59" t="s">
        <v>257</v>
      </c>
      <c r="B38" s="72" t="s">
        <v>905</v>
      </c>
      <c r="C38" s="155" t="s">
        <v>904</v>
      </c>
      <c r="D38" s="58" t="str">
        <f>VLOOKUP(C38,코드!$E$3:$F$30,2,FALSE)</f>
        <v>8634</v>
      </c>
      <c r="E38" s="58" t="str">
        <f t="shared" si="0"/>
        <v>[A-3]</v>
      </c>
      <c r="F38" s="65" t="s">
        <v>903</v>
      </c>
      <c r="G38" s="65" t="s">
        <v>931</v>
      </c>
      <c r="H38" s="66" t="s">
        <v>934</v>
      </c>
      <c r="I38" s="65" t="s">
        <v>933</v>
      </c>
      <c r="J38" s="65" t="s">
        <v>932</v>
      </c>
      <c r="K38" s="72" t="s">
        <v>130</v>
      </c>
      <c r="L38" s="72" t="s">
        <v>17</v>
      </c>
      <c r="M38" s="58">
        <f>VLOOKUP(L38,코드!$B$3:$C$29,2,FALSE)</f>
        <v>4241130</v>
      </c>
      <c r="N38" s="72" t="s">
        <v>129</v>
      </c>
      <c r="O38" s="72" t="s">
        <v>898</v>
      </c>
      <c r="P38" s="75">
        <v>30000</v>
      </c>
      <c r="Q38" s="75">
        <v>30</v>
      </c>
      <c r="R38" s="75">
        <v>1</v>
      </c>
      <c r="S38" s="76">
        <v>900000</v>
      </c>
      <c r="T38" s="75"/>
      <c r="U38" s="78">
        <v>900000</v>
      </c>
      <c r="V38" s="71" t="s">
        <v>316</v>
      </c>
      <c r="W38" s="60">
        <f t="shared" si="3"/>
        <v>1</v>
      </c>
      <c r="X38" s="46"/>
      <c r="Y38" s="74"/>
      <c r="Z38" s="46"/>
      <c r="AA38" s="59"/>
      <c r="AB38" s="59"/>
      <c r="AC38" s="59"/>
      <c r="AD38" s="46"/>
    </row>
    <row r="39" spans="1:31" ht="17.25" customHeight="1">
      <c r="A39" s="59" t="s">
        <v>257</v>
      </c>
      <c r="B39" s="72" t="s">
        <v>905</v>
      </c>
      <c r="C39" s="155" t="s">
        <v>904</v>
      </c>
      <c r="D39" s="58" t="str">
        <f>VLOOKUP(C39,코드!$E$3:$F$30,2,FALSE)</f>
        <v>8634</v>
      </c>
      <c r="E39" s="58" t="str">
        <f t="shared" si="0"/>
        <v>[A-3]</v>
      </c>
      <c r="F39" s="65" t="s">
        <v>903</v>
      </c>
      <c r="G39" s="65" t="s">
        <v>931</v>
      </c>
      <c r="H39" s="66" t="s">
        <v>930</v>
      </c>
      <c r="I39" s="65" t="s">
        <v>929</v>
      </c>
      <c r="J39" s="65" t="s">
        <v>928</v>
      </c>
      <c r="K39" s="72" t="s">
        <v>130</v>
      </c>
      <c r="L39" s="72" t="s">
        <v>17</v>
      </c>
      <c r="M39" s="58">
        <f>VLOOKUP(L39,코드!$B$3:$C$29,2,FALSE)</f>
        <v>4241130</v>
      </c>
      <c r="N39" s="72" t="s">
        <v>129</v>
      </c>
      <c r="O39" s="72" t="s">
        <v>898</v>
      </c>
      <c r="P39" s="75">
        <v>30000</v>
      </c>
      <c r="Q39" s="75">
        <v>30</v>
      </c>
      <c r="R39" s="75">
        <v>1</v>
      </c>
      <c r="S39" s="76">
        <v>900000</v>
      </c>
      <c r="T39" s="75"/>
      <c r="U39" s="78">
        <v>900000</v>
      </c>
      <c r="V39" s="61" t="s">
        <v>127</v>
      </c>
      <c r="W39" s="60">
        <f t="shared" si="3"/>
        <v>1</v>
      </c>
      <c r="X39" s="46"/>
      <c r="Y39" s="74"/>
      <c r="Z39" s="46"/>
      <c r="AA39" s="59"/>
      <c r="AB39" s="59"/>
      <c r="AC39" s="59"/>
      <c r="AD39" s="46"/>
    </row>
    <row r="40" spans="1:31" ht="17.25" customHeight="1">
      <c r="A40" s="59" t="s">
        <v>257</v>
      </c>
      <c r="B40" s="72" t="s">
        <v>905</v>
      </c>
      <c r="C40" s="155" t="s">
        <v>904</v>
      </c>
      <c r="D40" s="58" t="str">
        <f>VLOOKUP(C40,코드!$E$3:$F$30,2,FALSE)</f>
        <v>8634</v>
      </c>
      <c r="E40" s="58" t="str">
        <f t="shared" si="0"/>
        <v>[A-3]</v>
      </c>
      <c r="F40" s="65" t="s">
        <v>903</v>
      </c>
      <c r="G40" s="65" t="s">
        <v>922</v>
      </c>
      <c r="H40" s="66" t="s">
        <v>925</v>
      </c>
      <c r="I40" s="65" t="s">
        <v>927</v>
      </c>
      <c r="J40" s="65" t="s">
        <v>926</v>
      </c>
      <c r="K40" s="72" t="s">
        <v>130</v>
      </c>
      <c r="L40" s="72" t="s">
        <v>17</v>
      </c>
      <c r="M40" s="58">
        <f>VLOOKUP(L40,코드!$B$3:$C$29,2,FALSE)</f>
        <v>4241130</v>
      </c>
      <c r="N40" s="72" t="s">
        <v>129</v>
      </c>
      <c r="O40" s="72" t="s">
        <v>898</v>
      </c>
      <c r="P40" s="75">
        <v>30000</v>
      </c>
      <c r="Q40" s="75">
        <v>30</v>
      </c>
      <c r="R40" s="75">
        <v>1</v>
      </c>
      <c r="S40" s="76">
        <v>900000</v>
      </c>
      <c r="T40" s="75"/>
      <c r="U40" s="78">
        <v>900000</v>
      </c>
      <c r="V40" s="87" t="s">
        <v>153</v>
      </c>
      <c r="W40" s="60">
        <f t="shared" si="3"/>
        <v>1</v>
      </c>
      <c r="X40" s="46"/>
      <c r="Y40" s="74"/>
      <c r="Z40" s="46"/>
      <c r="AA40" s="59"/>
      <c r="AB40" s="59"/>
      <c r="AC40" s="59"/>
      <c r="AD40" s="46"/>
    </row>
    <row r="41" spans="1:31" s="59" customFormat="1" ht="17.25" customHeight="1">
      <c r="A41" s="59" t="s">
        <v>257</v>
      </c>
      <c r="B41" s="72" t="s">
        <v>905</v>
      </c>
      <c r="C41" s="155" t="s">
        <v>904</v>
      </c>
      <c r="D41" s="58" t="str">
        <f>VLOOKUP(C41,코드!$E$3:$F$30,2,FALSE)</f>
        <v>8634</v>
      </c>
      <c r="E41" s="58" t="str">
        <f t="shared" si="0"/>
        <v>[A-3]</v>
      </c>
      <c r="F41" s="65" t="s">
        <v>903</v>
      </c>
      <c r="G41" s="65" t="s">
        <v>922</v>
      </c>
      <c r="H41" s="66" t="s">
        <v>925</v>
      </c>
      <c r="I41" s="65" t="s">
        <v>924</v>
      </c>
      <c r="J41" s="65" t="s">
        <v>923</v>
      </c>
      <c r="K41" s="72" t="s">
        <v>130</v>
      </c>
      <c r="L41" s="72" t="s">
        <v>17</v>
      </c>
      <c r="M41" s="58">
        <f>VLOOKUP(L41,코드!$B$3:$C$29,2,FALSE)</f>
        <v>4241130</v>
      </c>
      <c r="N41" s="72" t="s">
        <v>129</v>
      </c>
      <c r="O41" s="72" t="s">
        <v>898</v>
      </c>
      <c r="P41" s="75">
        <v>30000</v>
      </c>
      <c r="Q41" s="75">
        <v>30</v>
      </c>
      <c r="R41" s="75">
        <v>1</v>
      </c>
      <c r="S41" s="76">
        <v>900000</v>
      </c>
      <c r="T41" s="75"/>
      <c r="U41" s="78">
        <v>900000</v>
      </c>
      <c r="V41" s="87" t="s">
        <v>153</v>
      </c>
      <c r="W41" s="60">
        <f t="shared" si="3"/>
        <v>1</v>
      </c>
      <c r="X41" s="46"/>
      <c r="Y41" s="74"/>
      <c r="Z41" s="46"/>
      <c r="AD41" s="46"/>
      <c r="AE41" s="46"/>
    </row>
    <row r="42" spans="1:31" s="59" customFormat="1" ht="17.25" customHeight="1">
      <c r="A42" s="59" t="s">
        <v>257</v>
      </c>
      <c r="B42" s="72" t="s">
        <v>905</v>
      </c>
      <c r="C42" s="155" t="s">
        <v>904</v>
      </c>
      <c r="D42" s="58" t="str">
        <f>VLOOKUP(C42,코드!$E$3:$F$30,2,FALSE)</f>
        <v>8634</v>
      </c>
      <c r="E42" s="58" t="str">
        <f t="shared" si="0"/>
        <v>[A-3]</v>
      </c>
      <c r="F42" s="65" t="s">
        <v>903</v>
      </c>
      <c r="G42" s="65" t="s">
        <v>922</v>
      </c>
      <c r="H42" s="66" t="s">
        <v>921</v>
      </c>
      <c r="I42" s="65" t="s">
        <v>920</v>
      </c>
      <c r="J42" s="65" t="s">
        <v>919</v>
      </c>
      <c r="K42" s="72" t="s">
        <v>130</v>
      </c>
      <c r="L42" s="72" t="s">
        <v>17</v>
      </c>
      <c r="M42" s="58">
        <f>VLOOKUP(L42,코드!$B$3:$C$29,2,FALSE)</f>
        <v>4241130</v>
      </c>
      <c r="N42" s="72" t="s">
        <v>129</v>
      </c>
      <c r="O42" s="72" t="s">
        <v>898</v>
      </c>
      <c r="P42" s="75">
        <v>30000</v>
      </c>
      <c r="Q42" s="75">
        <v>10</v>
      </c>
      <c r="R42" s="75">
        <v>2</v>
      </c>
      <c r="S42" s="76">
        <v>600000</v>
      </c>
      <c r="T42" s="75"/>
      <c r="U42" s="78">
        <v>600000</v>
      </c>
      <c r="V42" s="87" t="s">
        <v>153</v>
      </c>
      <c r="W42" s="60">
        <f t="shared" si="3"/>
        <v>1</v>
      </c>
      <c r="X42" s="46"/>
      <c r="Y42" s="74"/>
      <c r="Z42" s="46"/>
      <c r="AD42" s="46"/>
      <c r="AE42" s="46"/>
    </row>
    <row r="43" spans="1:31" s="59" customFormat="1" ht="17.25" customHeight="1">
      <c r="A43" s="59" t="s">
        <v>257</v>
      </c>
      <c r="B43" s="72" t="s">
        <v>905</v>
      </c>
      <c r="C43" s="155" t="s">
        <v>904</v>
      </c>
      <c r="D43" s="58" t="str">
        <f>VLOOKUP(C43,코드!$E$3:$F$30,2,FALSE)</f>
        <v>8634</v>
      </c>
      <c r="E43" s="58" t="str">
        <f t="shared" si="0"/>
        <v>[A-3]</v>
      </c>
      <c r="F43" s="65" t="s">
        <v>918</v>
      </c>
      <c r="G43" s="65" t="s">
        <v>902</v>
      </c>
      <c r="H43" s="66" t="s">
        <v>912</v>
      </c>
      <c r="I43" s="65" t="s">
        <v>916</v>
      </c>
      <c r="J43" s="65" t="s">
        <v>917</v>
      </c>
      <c r="K43" s="72" t="s">
        <v>130</v>
      </c>
      <c r="L43" s="72" t="s">
        <v>17</v>
      </c>
      <c r="M43" s="58">
        <f>VLOOKUP(L43,코드!$B$3:$C$29,2,FALSE)</f>
        <v>4241130</v>
      </c>
      <c r="N43" s="72" t="s">
        <v>129</v>
      </c>
      <c r="O43" s="72" t="s">
        <v>898</v>
      </c>
      <c r="P43" s="75">
        <v>30000</v>
      </c>
      <c r="Q43" s="75">
        <v>10</v>
      </c>
      <c r="R43" s="75">
        <v>2</v>
      </c>
      <c r="S43" s="76">
        <v>600000</v>
      </c>
      <c r="T43" s="75"/>
      <c r="U43" s="78">
        <v>600000</v>
      </c>
      <c r="V43" s="71" t="s">
        <v>316</v>
      </c>
      <c r="W43" s="60">
        <f t="shared" si="3"/>
        <v>1</v>
      </c>
      <c r="X43" s="46"/>
      <c r="Y43" s="74"/>
      <c r="Z43" s="46"/>
      <c r="AD43" s="46"/>
      <c r="AE43" s="46"/>
    </row>
    <row r="44" spans="1:31" s="59" customFormat="1" ht="17.25" customHeight="1">
      <c r="A44" s="59" t="s">
        <v>257</v>
      </c>
      <c r="B44" s="72" t="s">
        <v>905</v>
      </c>
      <c r="C44" s="155" t="s">
        <v>904</v>
      </c>
      <c r="D44" s="58" t="str">
        <f>VLOOKUP(C44,코드!$E$3:$F$30,2,FALSE)</f>
        <v>8634</v>
      </c>
      <c r="E44" s="58" t="str">
        <f t="shared" si="0"/>
        <v>[A-3]</v>
      </c>
      <c r="F44" s="65" t="s">
        <v>903</v>
      </c>
      <c r="G44" s="65" t="s">
        <v>902</v>
      </c>
      <c r="H44" s="66" t="s">
        <v>912</v>
      </c>
      <c r="I44" s="65" t="s">
        <v>916</v>
      </c>
      <c r="J44" s="65" t="s">
        <v>915</v>
      </c>
      <c r="K44" s="72" t="s">
        <v>130</v>
      </c>
      <c r="L44" s="72" t="s">
        <v>17</v>
      </c>
      <c r="M44" s="58">
        <f>VLOOKUP(L44,코드!$B$3:$C$29,2,FALSE)</f>
        <v>4241130</v>
      </c>
      <c r="N44" s="72" t="s">
        <v>129</v>
      </c>
      <c r="O44" s="72" t="s">
        <v>898</v>
      </c>
      <c r="P44" s="75">
        <v>30000</v>
      </c>
      <c r="Q44" s="75">
        <v>10</v>
      </c>
      <c r="R44" s="75">
        <v>2</v>
      </c>
      <c r="S44" s="76">
        <v>600000</v>
      </c>
      <c r="T44" s="75"/>
      <c r="U44" s="78">
        <v>600000</v>
      </c>
      <c r="V44" s="61" t="s">
        <v>127</v>
      </c>
      <c r="W44" s="60">
        <f t="shared" si="3"/>
        <v>1</v>
      </c>
      <c r="X44" s="46"/>
      <c r="Y44" s="74"/>
      <c r="Z44" s="46"/>
      <c r="AD44" s="46"/>
      <c r="AE44" s="46"/>
    </row>
    <row r="45" spans="1:31" s="59" customFormat="1" ht="17.25" customHeight="1">
      <c r="A45" s="59" t="s">
        <v>257</v>
      </c>
      <c r="B45" s="72" t="s">
        <v>905</v>
      </c>
      <c r="C45" s="155" t="s">
        <v>904</v>
      </c>
      <c r="D45" s="58" t="str">
        <f>VLOOKUP(C45,코드!$E$3:$F$30,2,FALSE)</f>
        <v>8634</v>
      </c>
      <c r="E45" s="58" t="str">
        <f t="shared" si="0"/>
        <v>[A-3]</v>
      </c>
      <c r="F45" s="65" t="s">
        <v>903</v>
      </c>
      <c r="G45" s="65" t="s">
        <v>902</v>
      </c>
      <c r="H45" s="66" t="s">
        <v>912</v>
      </c>
      <c r="I45" s="65" t="s">
        <v>911</v>
      </c>
      <c r="J45" s="65" t="s">
        <v>914</v>
      </c>
      <c r="K45" s="72" t="s">
        <v>130</v>
      </c>
      <c r="L45" s="72" t="s">
        <v>17</v>
      </c>
      <c r="M45" s="58">
        <f>VLOOKUP(L45,코드!$B$3:$C$29,2,FALSE)</f>
        <v>4241130</v>
      </c>
      <c r="N45" s="72" t="s">
        <v>129</v>
      </c>
      <c r="O45" s="72" t="s">
        <v>898</v>
      </c>
      <c r="P45" s="75">
        <v>30000</v>
      </c>
      <c r="Q45" s="75">
        <v>30</v>
      </c>
      <c r="R45" s="75">
        <v>2</v>
      </c>
      <c r="S45" s="76">
        <v>1800000</v>
      </c>
      <c r="T45" s="75"/>
      <c r="U45" s="78">
        <v>1800000</v>
      </c>
      <c r="V45" s="71" t="s">
        <v>316</v>
      </c>
      <c r="W45" s="60">
        <f t="shared" si="3"/>
        <v>1</v>
      </c>
      <c r="X45" s="46"/>
      <c r="Y45" s="74"/>
      <c r="Z45" s="46"/>
      <c r="AD45" s="46"/>
      <c r="AE45" s="46"/>
    </row>
    <row r="46" spans="1:31" s="59" customFormat="1" ht="17.25" customHeight="1">
      <c r="A46" s="59" t="s">
        <v>257</v>
      </c>
      <c r="B46" s="72" t="s">
        <v>905</v>
      </c>
      <c r="C46" s="155" t="s">
        <v>904</v>
      </c>
      <c r="D46" s="58" t="str">
        <f>VLOOKUP(C46,코드!$E$3:$F$30,2,FALSE)</f>
        <v>8634</v>
      </c>
      <c r="E46" s="58" t="str">
        <f t="shared" si="0"/>
        <v>[A-3]</v>
      </c>
      <c r="F46" s="65" t="s">
        <v>903</v>
      </c>
      <c r="G46" s="65" t="s">
        <v>902</v>
      </c>
      <c r="H46" s="66" t="s">
        <v>912</v>
      </c>
      <c r="I46" s="65" t="s">
        <v>911</v>
      </c>
      <c r="J46" s="65" t="s">
        <v>913</v>
      </c>
      <c r="K46" s="72" t="s">
        <v>58</v>
      </c>
      <c r="L46" s="72" t="s">
        <v>179</v>
      </c>
      <c r="M46" s="58">
        <f>VLOOKUP(L46,코드!$B$3:$C$29,2,FALSE)</f>
        <v>4233201</v>
      </c>
      <c r="N46" s="72" t="s">
        <v>178</v>
      </c>
      <c r="O46" s="72" t="s">
        <v>909</v>
      </c>
      <c r="P46" s="75">
        <v>269000000</v>
      </c>
      <c r="Q46" s="75">
        <v>1</v>
      </c>
      <c r="R46" s="75">
        <v>1</v>
      </c>
      <c r="S46" s="76">
        <v>269000000</v>
      </c>
      <c r="T46" s="75"/>
      <c r="U46" s="78">
        <v>269000000</v>
      </c>
      <c r="V46" s="71" t="s">
        <v>316</v>
      </c>
      <c r="W46" s="60">
        <f t="shared" si="3"/>
        <v>1</v>
      </c>
      <c r="X46" s="46"/>
      <c r="Y46" s="74"/>
      <c r="Z46" s="46"/>
      <c r="AD46" s="46"/>
      <c r="AE46" s="46"/>
    </row>
    <row r="47" spans="1:31" s="59" customFormat="1" ht="17.25" customHeight="1">
      <c r="A47" s="59" t="s">
        <v>257</v>
      </c>
      <c r="B47" s="216" t="s">
        <v>905</v>
      </c>
      <c r="C47" s="215" t="s">
        <v>904</v>
      </c>
      <c r="D47" s="214" t="str">
        <f>VLOOKUP(C47,코드!$E$3:$F$30,2,FALSE)</f>
        <v>8634</v>
      </c>
      <c r="E47" s="58" t="str">
        <f t="shared" si="0"/>
        <v>[A-3]</v>
      </c>
      <c r="F47" s="212" t="s">
        <v>903</v>
      </c>
      <c r="G47" s="212" t="s">
        <v>902</v>
      </c>
      <c r="H47" s="213" t="s">
        <v>912</v>
      </c>
      <c r="I47" s="212" t="s">
        <v>911</v>
      </c>
      <c r="J47" s="212" t="s">
        <v>910</v>
      </c>
      <c r="K47" s="72" t="s">
        <v>58</v>
      </c>
      <c r="L47" s="72" t="s">
        <v>179</v>
      </c>
      <c r="M47" s="58">
        <f>VLOOKUP(L47,코드!$B$3:$C$29,2,FALSE)</f>
        <v>4233201</v>
      </c>
      <c r="N47" s="72" t="s">
        <v>178</v>
      </c>
      <c r="O47" s="72" t="s">
        <v>909</v>
      </c>
      <c r="P47" s="210"/>
      <c r="Q47" s="210"/>
      <c r="R47" s="210"/>
      <c r="S47" s="211">
        <v>12100000.000000002</v>
      </c>
      <c r="T47" s="210"/>
      <c r="U47" s="209">
        <v>12100000.000000002</v>
      </c>
      <c r="V47" s="87" t="s">
        <v>153</v>
      </c>
      <c r="W47" s="60">
        <f t="shared" si="3"/>
        <v>1</v>
      </c>
      <c r="X47" s="46" t="s">
        <v>908</v>
      </c>
      <c r="Y47" s="74"/>
      <c r="Z47" s="46"/>
      <c r="AD47" s="46"/>
      <c r="AE47" s="46"/>
    </row>
    <row r="48" spans="1:31" s="59" customFormat="1" ht="17.25" customHeight="1">
      <c r="A48" s="59" t="s">
        <v>257</v>
      </c>
      <c r="B48" s="72" t="s">
        <v>905</v>
      </c>
      <c r="C48" s="155" t="s">
        <v>904</v>
      </c>
      <c r="D48" s="58" t="str">
        <f>VLOOKUP(C48,코드!$E$3:$F$30,2,FALSE)</f>
        <v>8634</v>
      </c>
      <c r="E48" s="58" t="str">
        <f t="shared" si="0"/>
        <v>[A-3]</v>
      </c>
      <c r="F48" s="65" t="s">
        <v>903</v>
      </c>
      <c r="G48" s="65" t="s">
        <v>902</v>
      </c>
      <c r="H48" s="66" t="s">
        <v>901</v>
      </c>
      <c r="I48" s="65" t="s">
        <v>907</v>
      </c>
      <c r="J48" s="65" t="s">
        <v>906</v>
      </c>
      <c r="K48" s="72" t="s">
        <v>130</v>
      </c>
      <c r="L48" s="72" t="s">
        <v>17</v>
      </c>
      <c r="M48" s="58">
        <f>VLOOKUP(L48,코드!$B$3:$C$29,2,FALSE)</f>
        <v>4241130</v>
      </c>
      <c r="N48" s="72" t="s">
        <v>129</v>
      </c>
      <c r="O48" s="72" t="s">
        <v>898</v>
      </c>
      <c r="P48" s="75">
        <v>30000</v>
      </c>
      <c r="Q48" s="75">
        <v>15</v>
      </c>
      <c r="R48" s="75">
        <v>2</v>
      </c>
      <c r="S48" s="76">
        <v>900000</v>
      </c>
      <c r="T48" s="75"/>
      <c r="U48" s="78">
        <v>900000</v>
      </c>
      <c r="V48" s="87" t="s">
        <v>153</v>
      </c>
      <c r="W48" s="60">
        <f t="shared" si="3"/>
        <v>1</v>
      </c>
      <c r="X48" s="46"/>
      <c r="Y48" s="74"/>
      <c r="Z48" s="46"/>
      <c r="AD48" s="46"/>
      <c r="AE48" s="46"/>
    </row>
    <row r="49" spans="1:31" s="59" customFormat="1" ht="17.25" customHeight="1">
      <c r="A49" s="59" t="s">
        <v>257</v>
      </c>
      <c r="B49" s="72" t="s">
        <v>905</v>
      </c>
      <c r="C49" s="155" t="s">
        <v>904</v>
      </c>
      <c r="D49" s="58" t="str">
        <f>VLOOKUP(C49,코드!$E$3:$F$30,2,FALSE)</f>
        <v>8634</v>
      </c>
      <c r="E49" s="58" t="str">
        <f t="shared" si="0"/>
        <v>[A-3]</v>
      </c>
      <c r="F49" s="65" t="s">
        <v>903</v>
      </c>
      <c r="G49" s="65" t="s">
        <v>902</v>
      </c>
      <c r="H49" s="66" t="s">
        <v>901</v>
      </c>
      <c r="I49" s="65" t="s">
        <v>900</v>
      </c>
      <c r="J49" s="65" t="s">
        <v>899</v>
      </c>
      <c r="K49" s="72" t="s">
        <v>130</v>
      </c>
      <c r="L49" s="72" t="s">
        <v>17</v>
      </c>
      <c r="M49" s="58">
        <f>VLOOKUP(L49,코드!$B$3:$C$29,2,FALSE)</f>
        <v>4241130</v>
      </c>
      <c r="N49" s="72" t="s">
        <v>129</v>
      </c>
      <c r="O49" s="72" t="s">
        <v>898</v>
      </c>
      <c r="P49" s="75">
        <v>30000</v>
      </c>
      <c r="Q49" s="75">
        <v>15</v>
      </c>
      <c r="R49" s="75">
        <v>2</v>
      </c>
      <c r="S49" s="76">
        <v>900000</v>
      </c>
      <c r="T49" s="75"/>
      <c r="U49" s="78">
        <v>900000</v>
      </c>
      <c r="V49" s="87" t="s">
        <v>153</v>
      </c>
      <c r="W49" s="60">
        <f t="shared" si="3"/>
        <v>1</v>
      </c>
      <c r="X49" s="46"/>
      <c r="Y49" s="74"/>
      <c r="Z49" s="46"/>
      <c r="AD49" s="46"/>
      <c r="AE49" s="46"/>
    </row>
    <row r="50" spans="1:31" s="59" customFormat="1" ht="17.25" customHeight="1">
      <c r="A50" s="59" t="s">
        <v>257</v>
      </c>
      <c r="B50" s="79" t="s">
        <v>715</v>
      </c>
      <c r="C50" s="71" t="s">
        <v>255</v>
      </c>
      <c r="D50" s="58" t="str">
        <f>VLOOKUP(C50,코드!$E$3:$F$30,2,FALSE)</f>
        <v>8623</v>
      </c>
      <c r="E50" s="58" t="str">
        <f t="shared" si="0"/>
        <v>[B-1]</v>
      </c>
      <c r="F50" s="61" t="s">
        <v>874</v>
      </c>
      <c r="G50" s="61" t="s">
        <v>896</v>
      </c>
      <c r="H50" s="83" t="s">
        <v>893</v>
      </c>
      <c r="I50" s="70" t="s">
        <v>470</v>
      </c>
      <c r="J50" s="70" t="s">
        <v>897</v>
      </c>
      <c r="K50" s="69" t="s">
        <v>84</v>
      </c>
      <c r="L50" s="68" t="s">
        <v>97</v>
      </c>
      <c r="M50" s="68">
        <f>VLOOKUP(L50,코드!$B$3:$C$29,2,FALSE)</f>
        <v>4125101</v>
      </c>
      <c r="N50" s="69" t="s">
        <v>96</v>
      </c>
      <c r="O50" s="68" t="s">
        <v>68</v>
      </c>
      <c r="P50" s="63"/>
      <c r="Q50" s="63"/>
      <c r="R50" s="63"/>
      <c r="S50" s="64">
        <v>30000000</v>
      </c>
      <c r="T50" s="63"/>
      <c r="U50" s="63">
        <v>30000000</v>
      </c>
      <c r="V50" s="61" t="s">
        <v>67</v>
      </c>
      <c r="W50" s="60">
        <f t="shared" si="3"/>
        <v>1</v>
      </c>
      <c r="X50" s="5"/>
      <c r="Y50" s="6"/>
      <c r="Z50" s="5"/>
      <c r="AA50" s="4"/>
      <c r="AB50" s="4"/>
      <c r="AC50" s="4"/>
      <c r="AD50" s="5"/>
      <c r="AE50" s="46"/>
    </row>
    <row r="51" spans="1:31" s="59" customFormat="1" ht="17.25" customHeight="1">
      <c r="A51" s="59" t="s">
        <v>257</v>
      </c>
      <c r="B51" s="79" t="s">
        <v>715</v>
      </c>
      <c r="C51" s="71" t="s">
        <v>255</v>
      </c>
      <c r="D51" s="58" t="str">
        <f>VLOOKUP(C51,코드!$E$3:$F$30,2,FALSE)</f>
        <v>8623</v>
      </c>
      <c r="E51" s="58" t="str">
        <f t="shared" si="0"/>
        <v>[B-1]</v>
      </c>
      <c r="F51" s="61" t="s">
        <v>874</v>
      </c>
      <c r="G51" s="61" t="s">
        <v>896</v>
      </c>
      <c r="H51" s="208" t="s">
        <v>895</v>
      </c>
      <c r="I51" s="70" t="s">
        <v>251</v>
      </c>
      <c r="J51" s="70" t="s">
        <v>894</v>
      </c>
      <c r="K51" s="69" t="s">
        <v>84</v>
      </c>
      <c r="L51" s="68" t="s">
        <v>22</v>
      </c>
      <c r="M51" s="68">
        <f>VLOOKUP(L51,코드!$B$3:$C$29,2,FALSE)</f>
        <v>4118701</v>
      </c>
      <c r="N51" s="69" t="s">
        <v>96</v>
      </c>
      <c r="O51" s="68" t="s">
        <v>68</v>
      </c>
      <c r="P51" s="63"/>
      <c r="Q51" s="63"/>
      <c r="R51" s="63"/>
      <c r="S51" s="64">
        <v>31836000</v>
      </c>
      <c r="T51" s="63"/>
      <c r="U51" s="63">
        <v>31836000</v>
      </c>
      <c r="V51" s="61" t="s">
        <v>67</v>
      </c>
      <c r="W51" s="60">
        <f t="shared" si="3"/>
        <v>1</v>
      </c>
      <c r="X51" s="5"/>
      <c r="Y51" s="6"/>
      <c r="Z51" s="5"/>
      <c r="AA51" s="4"/>
      <c r="AB51" s="4"/>
      <c r="AC51" s="4"/>
      <c r="AD51" s="5"/>
      <c r="AE51" s="46"/>
    </row>
    <row r="52" spans="1:31" s="59" customFormat="1" ht="17.25" customHeight="1">
      <c r="A52" s="59" t="s">
        <v>257</v>
      </c>
      <c r="B52" s="79" t="s">
        <v>715</v>
      </c>
      <c r="C52" s="71" t="s">
        <v>255</v>
      </c>
      <c r="D52" s="58" t="str">
        <f>VLOOKUP(C52,코드!$E$3:$F$30,2,FALSE)</f>
        <v>8623</v>
      </c>
      <c r="E52" s="58" t="str">
        <f t="shared" si="0"/>
        <v>[B-1]</v>
      </c>
      <c r="F52" s="61" t="s">
        <v>874</v>
      </c>
      <c r="G52" s="61" t="s">
        <v>887</v>
      </c>
      <c r="H52" s="83" t="s">
        <v>893</v>
      </c>
      <c r="I52" s="61" t="s">
        <v>892</v>
      </c>
      <c r="J52" s="61" t="s">
        <v>891</v>
      </c>
      <c r="K52" s="79" t="s">
        <v>130</v>
      </c>
      <c r="L52" s="79" t="s">
        <v>17</v>
      </c>
      <c r="M52" s="58">
        <f>VLOOKUP(L52,코드!$B$3:$C$29,2,FALSE)</f>
        <v>4241130</v>
      </c>
      <c r="N52" s="79" t="s">
        <v>262</v>
      </c>
      <c r="O52" s="79" t="s">
        <v>869</v>
      </c>
      <c r="P52" s="82">
        <v>250000</v>
      </c>
      <c r="Q52" s="82">
        <v>1</v>
      </c>
      <c r="R52" s="82">
        <v>6</v>
      </c>
      <c r="S52" s="127">
        <v>6000000</v>
      </c>
      <c r="T52" s="82"/>
      <c r="U52" s="78">
        <v>6000000</v>
      </c>
      <c r="V52" s="87" t="s">
        <v>153</v>
      </c>
      <c r="W52" s="60">
        <f t="shared" si="3"/>
        <v>1</v>
      </c>
      <c r="X52" s="46"/>
      <c r="Y52" s="74"/>
      <c r="Z52" s="46"/>
      <c r="AD52" s="46"/>
      <c r="AE52" s="46"/>
    </row>
    <row r="53" spans="1:31" s="59" customFormat="1" ht="17.25" customHeight="1">
      <c r="A53" s="59" t="s">
        <v>257</v>
      </c>
      <c r="B53" s="79" t="s">
        <v>715</v>
      </c>
      <c r="C53" s="71" t="s">
        <v>255</v>
      </c>
      <c r="D53" s="58" t="str">
        <f>VLOOKUP(C53,코드!$E$3:$F$30,2,FALSE)</f>
        <v>8623</v>
      </c>
      <c r="E53" s="58" t="str">
        <f t="shared" si="0"/>
        <v>[B-1]</v>
      </c>
      <c r="F53" s="61" t="s">
        <v>874</v>
      </c>
      <c r="G53" s="61" t="s">
        <v>887</v>
      </c>
      <c r="H53" s="83" t="s">
        <v>890</v>
      </c>
      <c r="I53" s="61" t="s">
        <v>889</v>
      </c>
      <c r="J53" s="61" t="s">
        <v>888</v>
      </c>
      <c r="K53" s="79" t="s">
        <v>130</v>
      </c>
      <c r="L53" s="79" t="s">
        <v>17</v>
      </c>
      <c r="M53" s="58">
        <f>VLOOKUP(L53,코드!$B$3:$C$29,2,FALSE)</f>
        <v>4241130</v>
      </c>
      <c r="N53" s="79" t="s">
        <v>280</v>
      </c>
      <c r="O53" s="79" t="s">
        <v>869</v>
      </c>
      <c r="P53" s="82">
        <v>85000</v>
      </c>
      <c r="Q53" s="82">
        <v>1</v>
      </c>
      <c r="R53" s="82">
        <v>5</v>
      </c>
      <c r="S53" s="127">
        <v>935000</v>
      </c>
      <c r="T53" s="82"/>
      <c r="U53" s="78">
        <v>935000</v>
      </c>
      <c r="V53" s="87" t="s">
        <v>153</v>
      </c>
      <c r="W53" s="60">
        <f t="shared" si="3"/>
        <v>1</v>
      </c>
      <c r="X53" s="46"/>
      <c r="Y53" s="74"/>
      <c r="Z53" s="46"/>
      <c r="AD53" s="46"/>
      <c r="AE53" s="46"/>
    </row>
    <row r="54" spans="1:31" ht="49.5" customHeight="1">
      <c r="A54" s="59" t="s">
        <v>257</v>
      </c>
      <c r="B54" s="79" t="s">
        <v>715</v>
      </c>
      <c r="C54" s="71" t="s">
        <v>255</v>
      </c>
      <c r="D54" s="58" t="str">
        <f>VLOOKUP(C54,코드!$E$3:$F$30,2,FALSE)</f>
        <v>8623</v>
      </c>
      <c r="E54" s="58" t="str">
        <f t="shared" si="0"/>
        <v>[B-1]</v>
      </c>
      <c r="F54" s="61" t="s">
        <v>874</v>
      </c>
      <c r="G54" s="61" t="s">
        <v>887</v>
      </c>
      <c r="H54" s="83" t="s">
        <v>886</v>
      </c>
      <c r="I54" s="61" t="s">
        <v>885</v>
      </c>
      <c r="J54" s="207" t="s">
        <v>884</v>
      </c>
      <c r="K54" s="79" t="s">
        <v>130</v>
      </c>
      <c r="L54" s="79" t="s">
        <v>18</v>
      </c>
      <c r="M54" s="58">
        <f>VLOOKUP(L54,코드!$B$3:$C$29,2,FALSE)</f>
        <v>4233201</v>
      </c>
      <c r="N54" s="79" t="s">
        <v>266</v>
      </c>
      <c r="O54" s="79" t="s">
        <v>869</v>
      </c>
      <c r="P54" s="82">
        <v>2000000</v>
      </c>
      <c r="Q54" s="82">
        <v>1</v>
      </c>
      <c r="R54" s="82">
        <v>1</v>
      </c>
      <c r="S54" s="127">
        <v>2000000</v>
      </c>
      <c r="T54" s="82"/>
      <c r="U54" s="78">
        <v>2000000</v>
      </c>
      <c r="V54" s="87" t="s">
        <v>153</v>
      </c>
      <c r="W54" s="60">
        <f t="shared" si="3"/>
        <v>1</v>
      </c>
      <c r="X54" s="46"/>
      <c r="Y54" s="74"/>
      <c r="Z54" s="46"/>
      <c r="AA54" s="59"/>
      <c r="AB54" s="59"/>
      <c r="AC54" s="59"/>
      <c r="AD54" s="46"/>
    </row>
    <row r="55" spans="1:31" ht="52.5" customHeight="1">
      <c r="A55" s="59" t="s">
        <v>257</v>
      </c>
      <c r="B55" s="79" t="s">
        <v>715</v>
      </c>
      <c r="C55" s="71" t="s">
        <v>255</v>
      </c>
      <c r="D55" s="58" t="str">
        <f>VLOOKUP(C55,코드!$E$3:$F$30,2,FALSE)</f>
        <v>8623</v>
      </c>
      <c r="E55" s="58" t="str">
        <f t="shared" si="0"/>
        <v>[B-1]</v>
      </c>
      <c r="F55" s="61" t="s">
        <v>883</v>
      </c>
      <c r="G55" s="61" t="s">
        <v>882</v>
      </c>
      <c r="H55" s="83" t="s">
        <v>881</v>
      </c>
      <c r="I55" s="206" t="s">
        <v>880</v>
      </c>
      <c r="J55" s="205" t="s">
        <v>879</v>
      </c>
      <c r="K55" s="79" t="s">
        <v>205</v>
      </c>
      <c r="L55" s="79" t="s">
        <v>18</v>
      </c>
      <c r="M55" s="58">
        <f>VLOOKUP(L55,코드!$B$3:$C$29,2,FALSE)</f>
        <v>4233201</v>
      </c>
      <c r="N55" s="79" t="s">
        <v>266</v>
      </c>
      <c r="O55" s="79" t="s">
        <v>878</v>
      </c>
      <c r="P55" s="82">
        <v>1600000</v>
      </c>
      <c r="Q55" s="82">
        <v>1</v>
      </c>
      <c r="R55" s="82">
        <v>12</v>
      </c>
      <c r="S55" s="127">
        <v>314200000</v>
      </c>
      <c r="T55" s="82"/>
      <c r="U55" s="82">
        <v>314200000</v>
      </c>
      <c r="V55" s="87" t="s">
        <v>877</v>
      </c>
      <c r="W55" s="60">
        <f t="shared" si="3"/>
        <v>1</v>
      </c>
      <c r="X55" s="46">
        <v>-90000000</v>
      </c>
      <c r="Y55" s="74"/>
      <c r="Z55" s="46"/>
      <c r="AA55" s="59"/>
      <c r="AB55" s="59"/>
      <c r="AC55" s="59"/>
      <c r="AD55" s="46"/>
    </row>
    <row r="56" spans="1:31" ht="17.25" customHeight="1">
      <c r="A56" s="59" t="s">
        <v>257</v>
      </c>
      <c r="B56" s="79" t="s">
        <v>715</v>
      </c>
      <c r="C56" s="71" t="s">
        <v>255</v>
      </c>
      <c r="D56" s="58" t="str">
        <f>VLOOKUP(C56,코드!$E$3:$F$30,2,FALSE)</f>
        <v>8623</v>
      </c>
      <c r="E56" s="58" t="str">
        <f t="shared" si="0"/>
        <v>[B-1]</v>
      </c>
      <c r="F56" s="61" t="s">
        <v>874</v>
      </c>
      <c r="G56" s="61" t="s">
        <v>873</v>
      </c>
      <c r="H56" s="58" t="s">
        <v>872</v>
      </c>
      <c r="I56" s="65" t="s">
        <v>876</v>
      </c>
      <c r="J56" s="65" t="s">
        <v>875</v>
      </c>
      <c r="K56" s="79" t="s">
        <v>130</v>
      </c>
      <c r="L56" s="79" t="s">
        <v>18</v>
      </c>
      <c r="M56" s="58">
        <f>VLOOKUP(L56,코드!$B$3:$C$29,2,FALSE)</f>
        <v>4233201</v>
      </c>
      <c r="N56" s="79" t="s">
        <v>266</v>
      </c>
      <c r="O56" s="79" t="s">
        <v>869</v>
      </c>
      <c r="P56" s="82">
        <v>2500000</v>
      </c>
      <c r="Q56" s="82">
        <v>1</v>
      </c>
      <c r="R56" s="82">
        <v>2</v>
      </c>
      <c r="S56" s="127">
        <v>2500000</v>
      </c>
      <c r="T56" s="82"/>
      <c r="U56" s="82">
        <f>S56</f>
        <v>2500000</v>
      </c>
      <c r="V56" s="87" t="s">
        <v>153</v>
      </c>
      <c r="W56" s="60">
        <f t="shared" si="3"/>
        <v>1</v>
      </c>
      <c r="X56" s="46"/>
      <c r="Y56" s="74"/>
      <c r="Z56" s="46"/>
      <c r="AA56" s="59"/>
      <c r="AB56" s="59"/>
      <c r="AC56" s="59"/>
      <c r="AD56" s="46"/>
    </row>
    <row r="57" spans="1:31" s="59" customFormat="1" ht="16.5" customHeight="1">
      <c r="A57" s="59" t="s">
        <v>257</v>
      </c>
      <c r="B57" s="79" t="s">
        <v>715</v>
      </c>
      <c r="C57" s="71" t="s">
        <v>255</v>
      </c>
      <c r="D57" s="58" t="str">
        <f>VLOOKUP(C57,코드!$E$3:$F$30,2,FALSE)</f>
        <v>8623</v>
      </c>
      <c r="E57" s="58" t="str">
        <f t="shared" si="0"/>
        <v>[B-1]</v>
      </c>
      <c r="F57" s="61" t="s">
        <v>874</v>
      </c>
      <c r="G57" s="61" t="s">
        <v>873</v>
      </c>
      <c r="H57" s="58" t="s">
        <v>872</v>
      </c>
      <c r="I57" s="65" t="s">
        <v>871</v>
      </c>
      <c r="J57" s="65" t="s">
        <v>870</v>
      </c>
      <c r="K57" s="79" t="s">
        <v>130</v>
      </c>
      <c r="L57" s="79" t="s">
        <v>17</v>
      </c>
      <c r="M57" s="58">
        <f>VLOOKUP(L57,코드!$B$3:$C$29,2,FALSE)</f>
        <v>4241130</v>
      </c>
      <c r="N57" s="79" t="s">
        <v>262</v>
      </c>
      <c r="O57" s="79" t="s">
        <v>869</v>
      </c>
      <c r="P57" s="82"/>
      <c r="Q57" s="82"/>
      <c r="R57" s="82"/>
      <c r="S57" s="127">
        <v>500000</v>
      </c>
      <c r="T57" s="82"/>
      <c r="U57" s="82">
        <f>S57</f>
        <v>500000</v>
      </c>
      <c r="V57" s="87" t="s">
        <v>153</v>
      </c>
      <c r="W57" s="60">
        <f t="shared" si="3"/>
        <v>1</v>
      </c>
      <c r="X57" s="46"/>
      <c r="Y57" s="74"/>
      <c r="Z57" s="46"/>
      <c r="AD57" s="46"/>
      <c r="AE57" s="46"/>
    </row>
    <row r="58" spans="1:31" s="59" customFormat="1" ht="17.25" customHeight="1">
      <c r="A58" s="59" t="s">
        <v>257</v>
      </c>
      <c r="B58" s="79" t="s">
        <v>715</v>
      </c>
      <c r="C58" s="71"/>
      <c r="D58" s="58"/>
      <c r="E58" s="58" t="str">
        <f t="shared" si="0"/>
        <v/>
      </c>
      <c r="F58" s="61"/>
      <c r="G58" s="61"/>
      <c r="H58" s="83"/>
      <c r="I58" s="61"/>
      <c r="J58" s="61"/>
      <c r="K58" s="79"/>
      <c r="L58" s="79"/>
      <c r="M58" s="58"/>
      <c r="N58" s="79"/>
      <c r="O58" s="79"/>
      <c r="P58" s="82"/>
      <c r="Q58" s="82"/>
      <c r="R58" s="82"/>
      <c r="S58" s="127"/>
      <c r="T58" s="82"/>
      <c r="U58" s="78">
        <v>0</v>
      </c>
      <c r="V58" s="71"/>
      <c r="W58" s="60" t="s">
        <v>126</v>
      </c>
      <c r="X58" s="46"/>
      <c r="Y58" s="74"/>
      <c r="Z58" s="46"/>
      <c r="AD58" s="46"/>
      <c r="AE58" s="46"/>
    </row>
    <row r="59" spans="1:31" s="59" customFormat="1" ht="17.25" customHeight="1">
      <c r="A59" s="59" t="s">
        <v>257</v>
      </c>
      <c r="B59" s="72" t="s">
        <v>715</v>
      </c>
      <c r="C59" s="155" t="s">
        <v>247</v>
      </c>
      <c r="D59" s="58" t="str">
        <f>VLOOKUP(C59,코드!$E$3:$F$30,2,FALSE)</f>
        <v>8711</v>
      </c>
      <c r="E59" s="58" t="str">
        <f t="shared" si="0"/>
        <v>[B-2]</v>
      </c>
      <c r="F59" s="66" t="s">
        <v>802</v>
      </c>
      <c r="G59" s="65" t="s">
        <v>855</v>
      </c>
      <c r="H59" s="66" t="s">
        <v>862</v>
      </c>
      <c r="I59" s="70" t="s">
        <v>470</v>
      </c>
      <c r="J59" s="70" t="s">
        <v>868</v>
      </c>
      <c r="K59" s="69" t="s">
        <v>84</v>
      </c>
      <c r="L59" s="68" t="s">
        <v>97</v>
      </c>
      <c r="M59" s="68">
        <f>VLOOKUP(L59,코드!$B$3:$C$29,2,FALSE)</f>
        <v>4125101</v>
      </c>
      <c r="N59" s="69" t="s">
        <v>96</v>
      </c>
      <c r="O59" s="68" t="s">
        <v>68</v>
      </c>
      <c r="P59" s="82"/>
      <c r="Q59" s="82"/>
      <c r="R59" s="82"/>
      <c r="S59" s="64">
        <v>30000000</v>
      </c>
      <c r="T59" s="82"/>
      <c r="U59" s="63">
        <v>30000000</v>
      </c>
      <c r="V59" s="87" t="s">
        <v>153</v>
      </c>
      <c r="W59" s="60">
        <f t="shared" ref="W59:W90" si="4">U59/S59</f>
        <v>1</v>
      </c>
      <c r="X59" s="46"/>
      <c r="Y59" s="74"/>
      <c r="Z59" s="46"/>
      <c r="AD59" s="46"/>
      <c r="AE59" s="46"/>
    </row>
    <row r="60" spans="1:31" s="59" customFormat="1" ht="17.25" customHeight="1">
      <c r="A60" s="59" t="s">
        <v>257</v>
      </c>
      <c r="B60" s="72" t="s">
        <v>715</v>
      </c>
      <c r="C60" s="155" t="s">
        <v>247</v>
      </c>
      <c r="D60" s="58" t="str">
        <f>VLOOKUP(C60,코드!$E$3:$F$30,2,FALSE)</f>
        <v>8711</v>
      </c>
      <c r="E60" s="58" t="str">
        <f t="shared" si="0"/>
        <v>[B-2]</v>
      </c>
      <c r="F60" s="66" t="s">
        <v>802</v>
      </c>
      <c r="G60" s="65" t="s">
        <v>855</v>
      </c>
      <c r="H60" s="66" t="s">
        <v>862</v>
      </c>
      <c r="I60" s="70" t="s">
        <v>470</v>
      </c>
      <c r="J60" s="70" t="s">
        <v>867</v>
      </c>
      <c r="K60" s="69" t="s">
        <v>84</v>
      </c>
      <c r="L60" s="68" t="s">
        <v>97</v>
      </c>
      <c r="M60" s="68">
        <f>VLOOKUP(L60,코드!$B$3:$C$29,2,FALSE)</f>
        <v>4125101</v>
      </c>
      <c r="N60" s="69" t="s">
        <v>96</v>
      </c>
      <c r="O60" s="68" t="s">
        <v>68</v>
      </c>
      <c r="P60" s="82"/>
      <c r="Q60" s="82"/>
      <c r="R60" s="82"/>
      <c r="S60" s="64">
        <v>30000000</v>
      </c>
      <c r="T60" s="82"/>
      <c r="U60" s="63">
        <v>30000000</v>
      </c>
      <c r="V60" s="61" t="s">
        <v>67</v>
      </c>
      <c r="W60" s="60">
        <f t="shared" si="4"/>
        <v>1</v>
      </c>
      <c r="X60" s="46"/>
      <c r="Y60" s="74"/>
      <c r="Z60" s="46"/>
      <c r="AD60" s="46"/>
      <c r="AE60" s="46"/>
    </row>
    <row r="61" spans="1:31" s="59" customFormat="1" ht="17.25" customHeight="1">
      <c r="A61" s="59" t="s">
        <v>257</v>
      </c>
      <c r="B61" s="72" t="s">
        <v>715</v>
      </c>
      <c r="C61" s="155" t="s">
        <v>247</v>
      </c>
      <c r="D61" s="58" t="str">
        <f>VLOOKUP(C61,코드!$E$3:$F$30,2,FALSE)</f>
        <v>8711</v>
      </c>
      <c r="E61" s="58" t="str">
        <f t="shared" si="0"/>
        <v>[B-2]</v>
      </c>
      <c r="F61" s="66" t="s">
        <v>802</v>
      </c>
      <c r="G61" s="65" t="s">
        <v>855</v>
      </c>
      <c r="H61" s="66" t="s">
        <v>862</v>
      </c>
      <c r="I61" s="65" t="s">
        <v>866</v>
      </c>
      <c r="J61" s="65" t="s">
        <v>865</v>
      </c>
      <c r="K61" s="72" t="s">
        <v>130</v>
      </c>
      <c r="L61" s="72" t="s">
        <v>17</v>
      </c>
      <c r="M61" s="58">
        <f>VLOOKUP(L61,코드!$B$3:$C$29,2,FALSE)</f>
        <v>4241130</v>
      </c>
      <c r="N61" s="72" t="s">
        <v>356</v>
      </c>
      <c r="O61" s="79" t="s">
        <v>797</v>
      </c>
      <c r="P61" s="75">
        <v>150000</v>
      </c>
      <c r="Q61" s="75">
        <v>200</v>
      </c>
      <c r="R61" s="75">
        <v>1</v>
      </c>
      <c r="S61" s="76">
        <v>25000000</v>
      </c>
      <c r="T61" s="75"/>
      <c r="U61" s="78">
        <v>25000000</v>
      </c>
      <c r="V61" s="61" t="s">
        <v>127</v>
      </c>
      <c r="W61" s="60">
        <f t="shared" si="4"/>
        <v>1</v>
      </c>
      <c r="X61" s="46"/>
      <c r="Y61" s="74"/>
      <c r="Z61" s="46"/>
      <c r="AD61" s="46"/>
      <c r="AE61" s="46"/>
    </row>
    <row r="62" spans="1:31" s="59" customFormat="1" ht="17.25" customHeight="1">
      <c r="A62" s="59" t="s">
        <v>257</v>
      </c>
      <c r="B62" s="72" t="s">
        <v>715</v>
      </c>
      <c r="C62" s="155" t="s">
        <v>247</v>
      </c>
      <c r="D62" s="58" t="str">
        <f>VLOOKUP(C62,코드!$E$3:$F$30,2,FALSE)</f>
        <v>8711</v>
      </c>
      <c r="E62" s="58" t="str">
        <f t="shared" si="0"/>
        <v>[B-2]</v>
      </c>
      <c r="F62" s="66" t="s">
        <v>802</v>
      </c>
      <c r="G62" s="65" t="s">
        <v>855</v>
      </c>
      <c r="H62" s="66" t="s">
        <v>862</v>
      </c>
      <c r="I62" s="65" t="s">
        <v>864</v>
      </c>
      <c r="J62" s="65" t="s">
        <v>863</v>
      </c>
      <c r="K62" s="72" t="s">
        <v>130</v>
      </c>
      <c r="L62" s="72" t="s">
        <v>17</v>
      </c>
      <c r="M62" s="58">
        <f>VLOOKUP(L62,코드!$B$3:$C$29,2,FALSE)</f>
        <v>4241130</v>
      </c>
      <c r="N62" s="72" t="s">
        <v>365</v>
      </c>
      <c r="O62" s="79" t="s">
        <v>797</v>
      </c>
      <c r="P62" s="75">
        <v>3300000</v>
      </c>
      <c r="Q62" s="75">
        <v>1</v>
      </c>
      <c r="R62" s="75">
        <v>1</v>
      </c>
      <c r="S62" s="76">
        <v>3000000</v>
      </c>
      <c r="T62" s="75"/>
      <c r="U62" s="78">
        <v>3000000</v>
      </c>
      <c r="V62" s="87" t="s">
        <v>153</v>
      </c>
      <c r="W62" s="60">
        <f t="shared" si="4"/>
        <v>1</v>
      </c>
      <c r="X62" s="73"/>
      <c r="Y62" s="74"/>
      <c r="Z62" s="46"/>
      <c r="AD62" s="46"/>
      <c r="AE62" s="46"/>
    </row>
    <row r="63" spans="1:31" s="59" customFormat="1" ht="17.25" customHeight="1">
      <c r="A63" s="59" t="s">
        <v>257</v>
      </c>
      <c r="B63" s="72" t="s">
        <v>715</v>
      </c>
      <c r="C63" s="155" t="s">
        <v>247</v>
      </c>
      <c r="D63" s="58" t="str">
        <f>VLOOKUP(C63,코드!$E$3:$F$30,2,FALSE)</f>
        <v>8711</v>
      </c>
      <c r="E63" s="58" t="str">
        <f t="shared" si="0"/>
        <v>[B-2]</v>
      </c>
      <c r="F63" s="66" t="s">
        <v>802</v>
      </c>
      <c r="G63" s="65" t="s">
        <v>855</v>
      </c>
      <c r="H63" s="66" t="s">
        <v>862</v>
      </c>
      <c r="I63" s="65" t="s">
        <v>861</v>
      </c>
      <c r="J63" s="65" t="s">
        <v>860</v>
      </c>
      <c r="K63" s="72" t="s">
        <v>130</v>
      </c>
      <c r="L63" s="72" t="s">
        <v>17</v>
      </c>
      <c r="M63" s="58">
        <f>VLOOKUP(L63,코드!$B$3:$C$29,2,FALSE)</f>
        <v>4241130</v>
      </c>
      <c r="N63" s="72" t="s">
        <v>365</v>
      </c>
      <c r="O63" s="79" t="s">
        <v>797</v>
      </c>
      <c r="P63" s="75">
        <v>5400000</v>
      </c>
      <c r="Q63" s="75">
        <v>1</v>
      </c>
      <c r="R63" s="75">
        <v>1</v>
      </c>
      <c r="S63" s="76">
        <v>5000000</v>
      </c>
      <c r="T63" s="75"/>
      <c r="U63" s="82">
        <f>S63</f>
        <v>5000000</v>
      </c>
      <c r="V63" s="87" t="s">
        <v>153</v>
      </c>
      <c r="W63" s="60">
        <f t="shared" si="4"/>
        <v>1</v>
      </c>
      <c r="X63" s="73"/>
      <c r="Y63" s="74"/>
      <c r="Z63" s="46"/>
      <c r="AD63" s="46"/>
      <c r="AE63" s="46"/>
    </row>
    <row r="64" spans="1:31" s="59" customFormat="1" ht="17.25" customHeight="1">
      <c r="A64" s="59" t="s">
        <v>257</v>
      </c>
      <c r="B64" s="72" t="s">
        <v>715</v>
      </c>
      <c r="C64" s="155" t="s">
        <v>247</v>
      </c>
      <c r="D64" s="58" t="str">
        <f>VLOOKUP(C64,코드!$E$3:$F$30,2,FALSE)</f>
        <v>8711</v>
      </c>
      <c r="E64" s="58" t="str">
        <f t="shared" si="0"/>
        <v>[B-2]</v>
      </c>
      <c r="F64" s="66" t="s">
        <v>802</v>
      </c>
      <c r="G64" s="65" t="s">
        <v>855</v>
      </c>
      <c r="H64" s="66" t="s">
        <v>854</v>
      </c>
      <c r="I64" s="65" t="s">
        <v>858</v>
      </c>
      <c r="J64" s="65" t="s">
        <v>859</v>
      </c>
      <c r="K64" s="72" t="s">
        <v>130</v>
      </c>
      <c r="L64" s="72" t="s">
        <v>17</v>
      </c>
      <c r="M64" s="58">
        <f>VLOOKUP(L64,코드!$B$3:$C$29,2,FALSE)</f>
        <v>4241130</v>
      </c>
      <c r="N64" s="72" t="s">
        <v>262</v>
      </c>
      <c r="O64" s="79" t="s">
        <v>797</v>
      </c>
      <c r="P64" s="193">
        <v>2700000</v>
      </c>
      <c r="Q64" s="193">
        <v>1</v>
      </c>
      <c r="R64" s="193">
        <v>1</v>
      </c>
      <c r="S64" s="76">
        <v>2500000</v>
      </c>
      <c r="T64" s="193"/>
      <c r="U64" s="82">
        <f>S64</f>
        <v>2500000</v>
      </c>
      <c r="V64" s="87" t="s">
        <v>153</v>
      </c>
      <c r="W64" s="60">
        <f t="shared" si="4"/>
        <v>1</v>
      </c>
      <c r="X64" s="73"/>
      <c r="Y64" s="74"/>
      <c r="Z64" s="46"/>
      <c r="AD64" s="46"/>
      <c r="AE64" s="46"/>
    </row>
    <row r="65" spans="1:31" s="59" customFormat="1" ht="17.25" customHeight="1">
      <c r="A65" s="59" t="s">
        <v>257</v>
      </c>
      <c r="B65" s="72" t="s">
        <v>715</v>
      </c>
      <c r="C65" s="155" t="s">
        <v>247</v>
      </c>
      <c r="D65" s="58" t="str">
        <f>VLOOKUP(C65,코드!$E$3:$F$30,2,FALSE)</f>
        <v>8711</v>
      </c>
      <c r="E65" s="58" t="str">
        <f t="shared" si="0"/>
        <v>[B-2]</v>
      </c>
      <c r="F65" s="66" t="s">
        <v>802</v>
      </c>
      <c r="G65" s="65" t="s">
        <v>855</v>
      </c>
      <c r="H65" s="66" t="s">
        <v>854</v>
      </c>
      <c r="I65" s="65" t="s">
        <v>858</v>
      </c>
      <c r="J65" s="65" t="s">
        <v>857</v>
      </c>
      <c r="K65" s="72" t="s">
        <v>130</v>
      </c>
      <c r="L65" s="72" t="s">
        <v>17</v>
      </c>
      <c r="M65" s="58">
        <f>VLOOKUP(L65,코드!$B$3:$C$29,2,FALSE)</f>
        <v>4241130</v>
      </c>
      <c r="N65" s="72" t="s">
        <v>259</v>
      </c>
      <c r="O65" s="79" t="s">
        <v>797</v>
      </c>
      <c r="P65" s="193">
        <v>2500000</v>
      </c>
      <c r="Q65" s="193">
        <v>1</v>
      </c>
      <c r="R65" s="193">
        <v>1</v>
      </c>
      <c r="S65" s="161">
        <v>2000000</v>
      </c>
      <c r="T65" s="193"/>
      <c r="U65" s="82">
        <f>S65</f>
        <v>2000000</v>
      </c>
      <c r="V65" s="87" t="s">
        <v>153</v>
      </c>
      <c r="W65" s="60">
        <f t="shared" si="4"/>
        <v>1</v>
      </c>
      <c r="X65" s="73"/>
      <c r="Y65" s="74"/>
      <c r="Z65" s="46"/>
      <c r="AD65" s="46"/>
      <c r="AE65" s="46"/>
    </row>
    <row r="66" spans="1:31" s="59" customFormat="1" ht="17.25" customHeight="1">
      <c r="A66" s="59" t="s">
        <v>257</v>
      </c>
      <c r="B66" s="72" t="s">
        <v>715</v>
      </c>
      <c r="C66" s="155" t="s">
        <v>247</v>
      </c>
      <c r="D66" s="58" t="str">
        <f>VLOOKUP(C66,코드!$E$3:$F$30,2,FALSE)</f>
        <v>8711</v>
      </c>
      <c r="E66" s="58" t="str">
        <f t="shared" si="0"/>
        <v>[B-2]</v>
      </c>
      <c r="F66" s="65" t="s">
        <v>802</v>
      </c>
      <c r="G66" s="65" t="s">
        <v>855</v>
      </c>
      <c r="H66" s="66" t="s">
        <v>854</v>
      </c>
      <c r="I66" s="65" t="s">
        <v>853</v>
      </c>
      <c r="J66" s="65" t="s">
        <v>852</v>
      </c>
      <c r="K66" s="72" t="s">
        <v>130</v>
      </c>
      <c r="L66" s="72" t="s">
        <v>17</v>
      </c>
      <c r="M66" s="58">
        <f>VLOOKUP(L66,코드!$B$3:$C$29,2,FALSE)</f>
        <v>4241130</v>
      </c>
      <c r="N66" s="72" t="s">
        <v>356</v>
      </c>
      <c r="O66" s="79" t="s">
        <v>797</v>
      </c>
      <c r="P66" s="193">
        <v>200000</v>
      </c>
      <c r="Q66" s="193">
        <v>25</v>
      </c>
      <c r="R66" s="193">
        <v>1</v>
      </c>
      <c r="S66" s="161">
        <v>8000000</v>
      </c>
      <c r="T66" s="193"/>
      <c r="U66" s="82">
        <f>S66</f>
        <v>8000000</v>
      </c>
      <c r="V66" s="87" t="s">
        <v>153</v>
      </c>
      <c r="W66" s="60">
        <f t="shared" si="4"/>
        <v>1</v>
      </c>
      <c r="X66" s="73"/>
      <c r="Y66" s="74"/>
      <c r="Z66" s="46"/>
      <c r="AD66" s="46"/>
      <c r="AE66" s="46"/>
    </row>
    <row r="67" spans="1:31" s="59" customFormat="1" ht="17.25" customHeight="1">
      <c r="A67" s="59" t="s">
        <v>257</v>
      </c>
      <c r="B67" s="72" t="s">
        <v>715</v>
      </c>
      <c r="C67" s="155" t="s">
        <v>247</v>
      </c>
      <c r="D67" s="58" t="str">
        <f>VLOOKUP(C67,코드!$E$3:$F$30,2,FALSE)</f>
        <v>8711</v>
      </c>
      <c r="E67" s="58" t="str">
        <f t="shared" ref="E67:E130" si="5">LEFT(F67, 5)</f>
        <v>[B-2]</v>
      </c>
      <c r="F67" s="65" t="s">
        <v>802</v>
      </c>
      <c r="G67" s="65" t="s">
        <v>855</v>
      </c>
      <c r="H67" s="66" t="s">
        <v>854</v>
      </c>
      <c r="I67" s="65" t="s">
        <v>853</v>
      </c>
      <c r="J67" s="65" t="s">
        <v>852</v>
      </c>
      <c r="K67" s="72" t="s">
        <v>130</v>
      </c>
      <c r="L67" s="72" t="s">
        <v>17</v>
      </c>
      <c r="M67" s="58">
        <f>VLOOKUP(L67,코드!$B$3:$C$29,2,FALSE)</f>
        <v>4241130</v>
      </c>
      <c r="N67" s="72" t="s">
        <v>129</v>
      </c>
      <c r="O67" s="79" t="s">
        <v>797</v>
      </c>
      <c r="P67" s="193">
        <v>20000</v>
      </c>
      <c r="Q67" s="193">
        <v>10</v>
      </c>
      <c r="R67" s="193">
        <v>25</v>
      </c>
      <c r="S67" s="204">
        <v>500000</v>
      </c>
      <c r="T67" s="193"/>
      <c r="U67" s="78">
        <v>500000</v>
      </c>
      <c r="V67" s="71" t="s">
        <v>856</v>
      </c>
      <c r="W67" s="60">
        <f t="shared" si="4"/>
        <v>1</v>
      </c>
      <c r="X67" s="73"/>
      <c r="Y67" s="74"/>
      <c r="Z67" s="46"/>
      <c r="AD67" s="46"/>
      <c r="AE67" s="46"/>
    </row>
    <row r="68" spans="1:31" s="59" customFormat="1" ht="17.25" customHeight="1">
      <c r="A68" s="59" t="s">
        <v>257</v>
      </c>
      <c r="B68" s="72" t="s">
        <v>715</v>
      </c>
      <c r="C68" s="155" t="s">
        <v>247</v>
      </c>
      <c r="D68" s="58" t="str">
        <f>VLOOKUP(C68,코드!$E$3:$F$30,2,FALSE)</f>
        <v>8711</v>
      </c>
      <c r="E68" s="58" t="str">
        <f t="shared" si="5"/>
        <v>[B-2]</v>
      </c>
      <c r="F68" s="65" t="s">
        <v>802</v>
      </c>
      <c r="G68" s="65" t="s">
        <v>855</v>
      </c>
      <c r="H68" s="66" t="s">
        <v>854</v>
      </c>
      <c r="I68" s="65" t="s">
        <v>853</v>
      </c>
      <c r="J68" s="65" t="s">
        <v>852</v>
      </c>
      <c r="K68" s="72" t="s">
        <v>130</v>
      </c>
      <c r="L68" s="72" t="s">
        <v>17</v>
      </c>
      <c r="M68" s="58">
        <f>VLOOKUP(L68,코드!$B$3:$C$29,2,FALSE)</f>
        <v>4241130</v>
      </c>
      <c r="N68" s="72" t="s">
        <v>259</v>
      </c>
      <c r="O68" s="79" t="s">
        <v>797</v>
      </c>
      <c r="P68" s="193">
        <v>20000</v>
      </c>
      <c r="Q68" s="193">
        <v>10</v>
      </c>
      <c r="R68" s="193">
        <v>25</v>
      </c>
      <c r="S68" s="204">
        <v>1500000</v>
      </c>
      <c r="T68" s="193"/>
      <c r="U68" s="78">
        <v>1500000</v>
      </c>
      <c r="V68" s="71" t="s">
        <v>378</v>
      </c>
      <c r="W68" s="60">
        <f t="shared" si="4"/>
        <v>1</v>
      </c>
      <c r="X68" s="73"/>
      <c r="Y68" s="74"/>
      <c r="Z68" s="46"/>
      <c r="AD68" s="46"/>
      <c r="AE68" s="46"/>
    </row>
    <row r="69" spans="1:31" s="59" customFormat="1" ht="17.25" customHeight="1">
      <c r="A69" s="59" t="s">
        <v>257</v>
      </c>
      <c r="B69" s="72" t="s">
        <v>715</v>
      </c>
      <c r="C69" s="155" t="s">
        <v>247</v>
      </c>
      <c r="D69" s="58" t="str">
        <f>VLOOKUP(C69,코드!$E$3:$F$30,2,FALSE)</f>
        <v>8711</v>
      </c>
      <c r="E69" s="58" t="str">
        <f t="shared" si="5"/>
        <v>[B-2]</v>
      </c>
      <c r="F69" s="65" t="s">
        <v>802</v>
      </c>
      <c r="G69" s="65" t="s">
        <v>812</v>
      </c>
      <c r="H69" s="66" t="s">
        <v>824</v>
      </c>
      <c r="I69" s="65" t="s">
        <v>851</v>
      </c>
      <c r="J69" s="65" t="s">
        <v>850</v>
      </c>
      <c r="K69" s="72" t="s">
        <v>130</v>
      </c>
      <c r="L69" s="72" t="s">
        <v>17</v>
      </c>
      <c r="M69" s="58">
        <f>VLOOKUP(L69,코드!$B$3:$C$29,2,FALSE)</f>
        <v>4241130</v>
      </c>
      <c r="N69" s="72" t="s">
        <v>356</v>
      </c>
      <c r="O69" s="79" t="s">
        <v>797</v>
      </c>
      <c r="P69" s="75">
        <v>300000</v>
      </c>
      <c r="Q69" s="75">
        <v>1</v>
      </c>
      <c r="R69" s="75">
        <v>80</v>
      </c>
      <c r="S69" s="161">
        <v>21000000</v>
      </c>
      <c r="T69" s="75"/>
      <c r="U69" s="78">
        <v>21000000</v>
      </c>
      <c r="V69" s="61" t="s">
        <v>127</v>
      </c>
      <c r="W69" s="60">
        <f t="shared" si="4"/>
        <v>1</v>
      </c>
      <c r="X69" s="46"/>
      <c r="Y69" s="74"/>
      <c r="Z69" s="46"/>
      <c r="AD69" s="46"/>
      <c r="AE69" s="46"/>
    </row>
    <row r="70" spans="1:31" s="59" customFormat="1" ht="17.25" customHeight="1">
      <c r="A70" s="59" t="s">
        <v>257</v>
      </c>
      <c r="B70" s="72" t="s">
        <v>715</v>
      </c>
      <c r="C70" s="155" t="s">
        <v>247</v>
      </c>
      <c r="D70" s="58" t="str">
        <f>VLOOKUP(C70,코드!$E$3:$F$30,2,FALSE)</f>
        <v>8711</v>
      </c>
      <c r="E70" s="58" t="str">
        <f t="shared" si="5"/>
        <v>[B-2]</v>
      </c>
      <c r="F70" s="65" t="s">
        <v>802</v>
      </c>
      <c r="G70" s="65" t="s">
        <v>812</v>
      </c>
      <c r="H70" s="66" t="s">
        <v>824</v>
      </c>
      <c r="I70" s="65" t="s">
        <v>851</v>
      </c>
      <c r="J70" s="65" t="s">
        <v>850</v>
      </c>
      <c r="K70" s="72" t="s">
        <v>130</v>
      </c>
      <c r="L70" s="72" t="s">
        <v>17</v>
      </c>
      <c r="M70" s="58">
        <f>VLOOKUP(L70,코드!$B$3:$C$29,2,FALSE)</f>
        <v>4241130</v>
      </c>
      <c r="N70" s="72" t="s">
        <v>262</v>
      </c>
      <c r="O70" s="79" t="s">
        <v>797</v>
      </c>
      <c r="P70" s="75">
        <v>200000</v>
      </c>
      <c r="Q70" s="75">
        <v>1</v>
      </c>
      <c r="R70" s="75">
        <v>30</v>
      </c>
      <c r="S70" s="161">
        <v>3000000</v>
      </c>
      <c r="T70" s="75"/>
      <c r="U70" s="78">
        <v>3000000</v>
      </c>
      <c r="V70" s="61" t="s">
        <v>127</v>
      </c>
      <c r="W70" s="60">
        <f t="shared" si="4"/>
        <v>1</v>
      </c>
      <c r="X70" s="46"/>
      <c r="Y70" s="74"/>
      <c r="Z70" s="46"/>
      <c r="AD70" s="46"/>
      <c r="AE70" s="46"/>
    </row>
    <row r="71" spans="1:31" s="59" customFormat="1" ht="17.25" customHeight="1">
      <c r="A71" s="59" t="s">
        <v>257</v>
      </c>
      <c r="B71" s="72" t="s">
        <v>715</v>
      </c>
      <c r="C71" s="155" t="s">
        <v>247</v>
      </c>
      <c r="D71" s="58" t="str">
        <f>VLOOKUP(C71,코드!$E$3:$F$30,2,FALSE)</f>
        <v>8711</v>
      </c>
      <c r="E71" s="58" t="str">
        <f t="shared" si="5"/>
        <v>[B-2]</v>
      </c>
      <c r="F71" s="65" t="s">
        <v>802</v>
      </c>
      <c r="G71" s="65" t="s">
        <v>812</v>
      </c>
      <c r="H71" s="66" t="s">
        <v>824</v>
      </c>
      <c r="I71" s="65" t="s">
        <v>851</v>
      </c>
      <c r="J71" s="65" t="s">
        <v>850</v>
      </c>
      <c r="K71" s="72" t="s">
        <v>130</v>
      </c>
      <c r="L71" s="72" t="s">
        <v>17</v>
      </c>
      <c r="M71" s="58">
        <f>VLOOKUP(L71,코드!$B$3:$C$29,2,FALSE)</f>
        <v>4241130</v>
      </c>
      <c r="N71" s="72" t="s">
        <v>129</v>
      </c>
      <c r="O71" s="79" t="s">
        <v>797</v>
      </c>
      <c r="P71" s="75"/>
      <c r="Q71" s="75"/>
      <c r="R71" s="75"/>
      <c r="S71" s="161">
        <v>3000000</v>
      </c>
      <c r="T71" s="75"/>
      <c r="U71" s="78">
        <v>3000000</v>
      </c>
      <c r="V71" s="61" t="s">
        <v>378</v>
      </c>
      <c r="W71" s="60">
        <f t="shared" si="4"/>
        <v>1</v>
      </c>
      <c r="X71" s="46"/>
      <c r="Y71" s="74"/>
      <c r="Z71" s="46"/>
      <c r="AD71" s="46"/>
      <c r="AE71" s="46"/>
    </row>
    <row r="72" spans="1:31" s="59" customFormat="1" ht="17.25" customHeight="1">
      <c r="A72" s="59" t="s">
        <v>257</v>
      </c>
      <c r="B72" s="72" t="s">
        <v>715</v>
      </c>
      <c r="C72" s="155" t="s">
        <v>247</v>
      </c>
      <c r="D72" s="58" t="str">
        <f>VLOOKUP(C72,코드!$E$3:$F$30,2,FALSE)</f>
        <v>8711</v>
      </c>
      <c r="E72" s="58" t="str">
        <f t="shared" si="5"/>
        <v>[B-2]</v>
      </c>
      <c r="F72" s="65" t="s">
        <v>802</v>
      </c>
      <c r="G72" s="65" t="s">
        <v>812</v>
      </c>
      <c r="H72" s="66" t="s">
        <v>824</v>
      </c>
      <c r="I72" s="65" t="s">
        <v>851</v>
      </c>
      <c r="J72" s="65" t="s">
        <v>850</v>
      </c>
      <c r="K72" s="72" t="s">
        <v>130</v>
      </c>
      <c r="L72" s="72" t="s">
        <v>17</v>
      </c>
      <c r="M72" s="58">
        <f>VLOOKUP(L72,코드!$B$3:$C$29,2,FALSE)</f>
        <v>4241130</v>
      </c>
      <c r="N72" s="72" t="s">
        <v>849</v>
      </c>
      <c r="O72" s="79" t="s">
        <v>797</v>
      </c>
      <c r="P72" s="75"/>
      <c r="Q72" s="75"/>
      <c r="R72" s="75"/>
      <c r="S72" s="161">
        <v>7000000</v>
      </c>
      <c r="T72" s="75"/>
      <c r="U72" s="82">
        <f>S72</f>
        <v>7000000</v>
      </c>
      <c r="V72" s="87" t="s">
        <v>153</v>
      </c>
      <c r="W72" s="60">
        <f t="shared" si="4"/>
        <v>1</v>
      </c>
      <c r="X72" s="46"/>
      <c r="Y72" s="74"/>
      <c r="Z72" s="46"/>
      <c r="AD72" s="46"/>
      <c r="AE72" s="46"/>
    </row>
    <row r="73" spans="1:31" s="59" customFormat="1" ht="17.25" customHeight="1">
      <c r="A73" s="59" t="s">
        <v>257</v>
      </c>
      <c r="B73" s="72" t="s">
        <v>715</v>
      </c>
      <c r="C73" s="155" t="s">
        <v>247</v>
      </c>
      <c r="D73" s="58" t="str">
        <f>VLOOKUP(C73,코드!$E$3:$F$30,2,FALSE)</f>
        <v>8711</v>
      </c>
      <c r="E73" s="58" t="str">
        <f t="shared" si="5"/>
        <v>[B-2]</v>
      </c>
      <c r="F73" s="65" t="s">
        <v>802</v>
      </c>
      <c r="G73" s="65" t="s">
        <v>848</v>
      </c>
      <c r="H73" s="66" t="s">
        <v>847</v>
      </c>
      <c r="I73" s="65" t="s">
        <v>846</v>
      </c>
      <c r="J73" s="65" t="s">
        <v>845</v>
      </c>
      <c r="K73" s="72" t="s">
        <v>130</v>
      </c>
      <c r="L73" s="72" t="s">
        <v>17</v>
      </c>
      <c r="M73" s="58">
        <f>VLOOKUP(L73,코드!$B$3:$C$29,2,FALSE)</f>
        <v>4241130</v>
      </c>
      <c r="N73" s="72" t="s">
        <v>356</v>
      </c>
      <c r="O73" s="79" t="s">
        <v>797</v>
      </c>
      <c r="P73" s="75">
        <v>300000</v>
      </c>
      <c r="Q73" s="75">
        <v>40</v>
      </c>
      <c r="R73" s="75">
        <v>2</v>
      </c>
      <c r="S73" s="76">
        <v>24000000</v>
      </c>
      <c r="T73" s="75"/>
      <c r="U73" s="78">
        <v>24000000</v>
      </c>
      <c r="V73" s="71" t="s">
        <v>127</v>
      </c>
      <c r="W73" s="60">
        <f t="shared" si="4"/>
        <v>1</v>
      </c>
      <c r="X73" s="46"/>
      <c r="Y73" s="74"/>
      <c r="Z73" s="46"/>
      <c r="AD73" s="46"/>
      <c r="AE73" s="46"/>
    </row>
    <row r="74" spans="1:31" s="59" customFormat="1" ht="17.25" customHeight="1">
      <c r="A74" s="59" t="s">
        <v>257</v>
      </c>
      <c r="B74" s="72" t="s">
        <v>715</v>
      </c>
      <c r="C74" s="155" t="s">
        <v>247</v>
      </c>
      <c r="D74" s="58" t="str">
        <f>VLOOKUP(C74,코드!$E$3:$F$30,2,FALSE)</f>
        <v>8711</v>
      </c>
      <c r="E74" s="58" t="str">
        <f t="shared" si="5"/>
        <v>[B-2]</v>
      </c>
      <c r="F74" s="65" t="s">
        <v>802</v>
      </c>
      <c r="G74" s="65" t="s">
        <v>848</v>
      </c>
      <c r="H74" s="66" t="s">
        <v>847</v>
      </c>
      <c r="I74" s="65" t="s">
        <v>846</v>
      </c>
      <c r="J74" s="65" t="s">
        <v>845</v>
      </c>
      <c r="K74" s="72" t="s">
        <v>130</v>
      </c>
      <c r="L74" s="72" t="s">
        <v>17</v>
      </c>
      <c r="M74" s="58">
        <f>VLOOKUP(L74,코드!$B$3:$C$29,2,FALSE)</f>
        <v>4241130</v>
      </c>
      <c r="N74" s="72" t="s">
        <v>262</v>
      </c>
      <c r="O74" s="79" t="s">
        <v>797</v>
      </c>
      <c r="P74" s="75">
        <v>200000</v>
      </c>
      <c r="Q74" s="75">
        <v>1</v>
      </c>
      <c r="R74" s="75">
        <v>5</v>
      </c>
      <c r="S74" s="76">
        <v>4413000</v>
      </c>
      <c r="T74" s="75"/>
      <c r="U74" s="82">
        <f>S74</f>
        <v>4413000</v>
      </c>
      <c r="V74" s="87" t="s">
        <v>153</v>
      </c>
      <c r="W74" s="60">
        <f t="shared" si="4"/>
        <v>1</v>
      </c>
      <c r="X74" s="46"/>
      <c r="Y74" s="74"/>
      <c r="Z74" s="46"/>
      <c r="AD74" s="46"/>
      <c r="AE74" s="46"/>
    </row>
    <row r="75" spans="1:31" s="59" customFormat="1" ht="17.25" customHeight="1">
      <c r="A75" s="59" t="s">
        <v>257</v>
      </c>
      <c r="B75" s="72" t="s">
        <v>715</v>
      </c>
      <c r="C75" s="155" t="s">
        <v>247</v>
      </c>
      <c r="D75" s="58" t="str">
        <f>VLOOKUP(C75,코드!$E$3:$F$30,2,FALSE)</f>
        <v>8711</v>
      </c>
      <c r="E75" s="58" t="str">
        <f t="shared" si="5"/>
        <v>[B-2]</v>
      </c>
      <c r="F75" s="65" t="s">
        <v>802</v>
      </c>
      <c r="G75" s="65" t="s">
        <v>848</v>
      </c>
      <c r="H75" s="66" t="s">
        <v>847</v>
      </c>
      <c r="I75" s="65" t="s">
        <v>846</v>
      </c>
      <c r="J75" s="65" t="s">
        <v>845</v>
      </c>
      <c r="K75" s="72" t="s">
        <v>130</v>
      </c>
      <c r="L75" s="72" t="s">
        <v>18</v>
      </c>
      <c r="M75" s="58">
        <f>VLOOKUP(L75,코드!$B$3:$C$29,2,FALSE)</f>
        <v>4233201</v>
      </c>
      <c r="N75" s="72" t="s">
        <v>266</v>
      </c>
      <c r="O75" s="79" t="s">
        <v>797</v>
      </c>
      <c r="P75" s="75">
        <v>17500000</v>
      </c>
      <c r="Q75" s="75">
        <v>1</v>
      </c>
      <c r="R75" s="75">
        <v>2</v>
      </c>
      <c r="S75" s="76">
        <v>25632930</v>
      </c>
      <c r="T75" s="75"/>
      <c r="U75" s="78">
        <v>25632930</v>
      </c>
      <c r="V75" s="71" t="s">
        <v>378</v>
      </c>
      <c r="W75" s="60">
        <f t="shared" si="4"/>
        <v>1</v>
      </c>
      <c r="X75" s="46"/>
      <c r="Y75" s="74"/>
      <c r="Z75" s="46"/>
      <c r="AD75" s="46"/>
      <c r="AE75" s="46"/>
    </row>
    <row r="76" spans="1:31" s="59" customFormat="1" ht="17.25" customHeight="1">
      <c r="A76" s="59" t="s">
        <v>257</v>
      </c>
      <c r="B76" s="72" t="s">
        <v>715</v>
      </c>
      <c r="C76" s="155" t="s">
        <v>247</v>
      </c>
      <c r="D76" s="58" t="str">
        <f>VLOOKUP(C76,코드!$E$3:$F$30,2,FALSE)</f>
        <v>8711</v>
      </c>
      <c r="E76" s="58" t="str">
        <f t="shared" si="5"/>
        <v>[B-2]</v>
      </c>
      <c r="F76" s="65" t="s">
        <v>802</v>
      </c>
      <c r="G76" s="65" t="s">
        <v>848</v>
      </c>
      <c r="H76" s="66" t="s">
        <v>847</v>
      </c>
      <c r="I76" s="65" t="s">
        <v>846</v>
      </c>
      <c r="J76" s="65" t="s">
        <v>845</v>
      </c>
      <c r="K76" s="72" t="s">
        <v>130</v>
      </c>
      <c r="L76" s="72" t="s">
        <v>17</v>
      </c>
      <c r="M76" s="58">
        <f>VLOOKUP(L76,코드!$B$3:$C$29,2,FALSE)</f>
        <v>4241130</v>
      </c>
      <c r="N76" s="72" t="s">
        <v>120</v>
      </c>
      <c r="O76" s="79" t="s">
        <v>797</v>
      </c>
      <c r="P76" s="75"/>
      <c r="Q76" s="75"/>
      <c r="R76" s="75"/>
      <c r="S76" s="76">
        <v>6004070</v>
      </c>
      <c r="T76" s="75"/>
      <c r="U76" s="78">
        <v>6004070</v>
      </c>
      <c r="V76" s="71" t="s">
        <v>378</v>
      </c>
      <c r="W76" s="60">
        <f t="shared" si="4"/>
        <v>1</v>
      </c>
      <c r="X76" s="46"/>
      <c r="Y76" s="74"/>
      <c r="Z76" s="46"/>
      <c r="AD76" s="46"/>
      <c r="AE76" s="46"/>
    </row>
    <row r="77" spans="1:31" s="59" customFormat="1" ht="17.25" customHeight="1">
      <c r="A77" s="59" t="s">
        <v>257</v>
      </c>
      <c r="B77" s="72" t="s">
        <v>715</v>
      </c>
      <c r="C77" s="155" t="s">
        <v>247</v>
      </c>
      <c r="D77" s="58" t="str">
        <f>VLOOKUP(C77,코드!$E$3:$F$30,2,FALSE)</f>
        <v>8711</v>
      </c>
      <c r="E77" s="58" t="str">
        <f t="shared" si="5"/>
        <v>[B-2]</v>
      </c>
      <c r="F77" s="66" t="s">
        <v>802</v>
      </c>
      <c r="G77" s="65" t="s">
        <v>812</v>
      </c>
      <c r="H77" s="66" t="s">
        <v>824</v>
      </c>
      <c r="I77" s="65" t="s">
        <v>843</v>
      </c>
      <c r="J77" s="65" t="s">
        <v>844</v>
      </c>
      <c r="K77" s="72" t="s">
        <v>130</v>
      </c>
      <c r="L77" s="72" t="s">
        <v>17</v>
      </c>
      <c r="M77" s="58">
        <f>VLOOKUP(L77,코드!$B$3:$C$29,2,FALSE)</f>
        <v>4241130</v>
      </c>
      <c r="N77" s="72" t="s">
        <v>356</v>
      </c>
      <c r="O77" s="79" t="s">
        <v>797</v>
      </c>
      <c r="P77" s="75">
        <v>400000</v>
      </c>
      <c r="Q77" s="75">
        <v>1</v>
      </c>
      <c r="R77" s="75">
        <v>24</v>
      </c>
      <c r="S77" s="76">
        <v>4800000</v>
      </c>
      <c r="T77" s="75"/>
      <c r="U77" s="78">
        <v>4800000</v>
      </c>
      <c r="V77" s="61" t="s">
        <v>127</v>
      </c>
      <c r="W77" s="60">
        <f t="shared" si="4"/>
        <v>1</v>
      </c>
      <c r="X77" s="46"/>
      <c r="Y77" s="74"/>
      <c r="Z77" s="46"/>
      <c r="AD77" s="46"/>
      <c r="AE77" s="46"/>
    </row>
    <row r="78" spans="1:31" s="59" customFormat="1" ht="17.25" customHeight="1">
      <c r="A78" s="59" t="s">
        <v>257</v>
      </c>
      <c r="B78" s="72" t="s">
        <v>715</v>
      </c>
      <c r="C78" s="155" t="s">
        <v>247</v>
      </c>
      <c r="D78" s="58" t="str">
        <f>VLOOKUP(C78,코드!$E$3:$F$30,2,FALSE)</f>
        <v>8711</v>
      </c>
      <c r="E78" s="58" t="str">
        <f t="shared" si="5"/>
        <v>[B-2]</v>
      </c>
      <c r="F78" s="66" t="s">
        <v>802</v>
      </c>
      <c r="G78" s="65" t="s">
        <v>812</v>
      </c>
      <c r="H78" s="66" t="s">
        <v>824</v>
      </c>
      <c r="I78" s="65" t="s">
        <v>843</v>
      </c>
      <c r="J78" s="65" t="s">
        <v>842</v>
      </c>
      <c r="K78" s="72" t="s">
        <v>130</v>
      </c>
      <c r="L78" s="72" t="s">
        <v>18</v>
      </c>
      <c r="M78" s="58">
        <f>VLOOKUP(L78,코드!$B$3:$C$29,2,FALSE)</f>
        <v>4233201</v>
      </c>
      <c r="N78" s="72" t="s">
        <v>178</v>
      </c>
      <c r="O78" s="79" t="s">
        <v>839</v>
      </c>
      <c r="P78" s="75"/>
      <c r="Q78" s="75"/>
      <c r="R78" s="75"/>
      <c r="S78" s="76">
        <v>4800000</v>
      </c>
      <c r="T78" s="75"/>
      <c r="U78" s="165">
        <v>4800000</v>
      </c>
      <c r="V78" s="61" t="s">
        <v>158</v>
      </c>
      <c r="W78" s="145">
        <f t="shared" si="4"/>
        <v>1</v>
      </c>
      <c r="X78" s="73"/>
      <c r="Y78" s="74"/>
      <c r="Z78" s="73"/>
      <c r="AD78" s="73"/>
      <c r="AE78" s="46"/>
    </row>
    <row r="79" spans="1:31" s="59" customFormat="1" ht="17.25" customHeight="1">
      <c r="A79" s="59" t="s">
        <v>257</v>
      </c>
      <c r="B79" s="72" t="s">
        <v>715</v>
      </c>
      <c r="C79" s="155" t="s">
        <v>247</v>
      </c>
      <c r="D79" s="58" t="str">
        <f>VLOOKUP(C79,코드!$E$3:$F$30,2,FALSE)</f>
        <v>8711</v>
      </c>
      <c r="E79" s="58" t="str">
        <f t="shared" si="5"/>
        <v>[B-2]</v>
      </c>
      <c r="F79" s="66" t="s">
        <v>802</v>
      </c>
      <c r="G79" s="65" t="s">
        <v>812</v>
      </c>
      <c r="H79" s="66" t="s">
        <v>824</v>
      </c>
      <c r="I79" s="65" t="s">
        <v>841</v>
      </c>
      <c r="J79" s="65" t="s">
        <v>840</v>
      </c>
      <c r="K79" s="72" t="s">
        <v>130</v>
      </c>
      <c r="L79" s="72" t="s">
        <v>17</v>
      </c>
      <c r="M79" s="58">
        <f>VLOOKUP(L79,코드!$B$3:$C$29,2,FALSE)</f>
        <v>4241130</v>
      </c>
      <c r="N79" s="72" t="s">
        <v>356</v>
      </c>
      <c r="O79" s="79" t="s">
        <v>797</v>
      </c>
      <c r="P79" s="75">
        <v>15600000</v>
      </c>
      <c r="Q79" s="75">
        <v>1</v>
      </c>
      <c r="R79" s="75">
        <v>1</v>
      </c>
      <c r="S79" s="76">
        <v>12800000</v>
      </c>
      <c r="T79" s="75"/>
      <c r="U79" s="78">
        <v>12800000</v>
      </c>
      <c r="V79" s="71" t="s">
        <v>378</v>
      </c>
      <c r="W79" s="60">
        <f t="shared" si="4"/>
        <v>1</v>
      </c>
      <c r="X79" s="46"/>
      <c r="Y79" s="74"/>
      <c r="Z79" s="46"/>
      <c r="AD79" s="46"/>
      <c r="AE79" s="46"/>
    </row>
    <row r="80" spans="1:31" s="59" customFormat="1" ht="17.25" customHeight="1">
      <c r="A80" s="59" t="s">
        <v>257</v>
      </c>
      <c r="B80" s="72" t="s">
        <v>715</v>
      </c>
      <c r="C80" s="155" t="s">
        <v>247</v>
      </c>
      <c r="D80" s="58" t="str">
        <f>VLOOKUP(C80,코드!$E$3:$F$30,2,FALSE)</f>
        <v>8711</v>
      </c>
      <c r="E80" s="58" t="str">
        <f t="shared" si="5"/>
        <v>[B-2]</v>
      </c>
      <c r="F80" s="66" t="s">
        <v>802</v>
      </c>
      <c r="G80" s="65" t="s">
        <v>812</v>
      </c>
      <c r="H80" s="66" t="s">
        <v>824</v>
      </c>
      <c r="I80" s="65" t="s">
        <v>841</v>
      </c>
      <c r="J80" s="65" t="s">
        <v>840</v>
      </c>
      <c r="K80" s="72" t="s">
        <v>130</v>
      </c>
      <c r="L80" s="72" t="s">
        <v>18</v>
      </c>
      <c r="M80" s="58">
        <f>VLOOKUP(L80,코드!$B$3:$C$29,2,FALSE)</f>
        <v>4233201</v>
      </c>
      <c r="N80" s="72" t="s">
        <v>178</v>
      </c>
      <c r="O80" s="79" t="s">
        <v>839</v>
      </c>
      <c r="P80" s="75">
        <v>10000000</v>
      </c>
      <c r="Q80" s="75">
        <v>1</v>
      </c>
      <c r="R80" s="75">
        <v>1</v>
      </c>
      <c r="S80" s="76">
        <v>10000000</v>
      </c>
      <c r="T80" s="75"/>
      <c r="U80" s="165">
        <v>10000000</v>
      </c>
      <c r="V80" s="71" t="s">
        <v>378</v>
      </c>
      <c r="W80" s="145">
        <f t="shared" si="4"/>
        <v>1</v>
      </c>
      <c r="X80" s="73"/>
      <c r="Y80" s="74"/>
      <c r="Z80" s="73"/>
      <c r="AD80" s="73"/>
      <c r="AE80" s="46"/>
    </row>
    <row r="81" spans="1:31" s="59" customFormat="1" ht="17.25" customHeight="1">
      <c r="A81" s="59" t="s">
        <v>257</v>
      </c>
      <c r="B81" s="72" t="s">
        <v>715</v>
      </c>
      <c r="C81" s="155" t="s">
        <v>247</v>
      </c>
      <c r="D81" s="58" t="str">
        <f>VLOOKUP(C81,코드!$E$3:$F$30,2,FALSE)</f>
        <v>8711</v>
      </c>
      <c r="E81" s="58" t="str">
        <f t="shared" si="5"/>
        <v>[B-2]</v>
      </c>
      <c r="F81" s="65" t="s">
        <v>802</v>
      </c>
      <c r="G81" s="65" t="s">
        <v>812</v>
      </c>
      <c r="H81" s="66" t="s">
        <v>824</v>
      </c>
      <c r="I81" s="65" t="s">
        <v>838</v>
      </c>
      <c r="J81" s="155" t="s">
        <v>837</v>
      </c>
      <c r="K81" s="72" t="s">
        <v>130</v>
      </c>
      <c r="L81" s="72" t="s">
        <v>17</v>
      </c>
      <c r="M81" s="58">
        <f>VLOOKUP(L81,코드!$B$3:$C$29,2,FALSE)</f>
        <v>4241130</v>
      </c>
      <c r="N81" s="72" t="s">
        <v>217</v>
      </c>
      <c r="O81" s="79" t="s">
        <v>797</v>
      </c>
      <c r="P81" s="75">
        <v>5300000</v>
      </c>
      <c r="Q81" s="75">
        <v>1</v>
      </c>
      <c r="R81" s="75">
        <v>1</v>
      </c>
      <c r="S81" s="76">
        <v>4150000</v>
      </c>
      <c r="T81" s="75"/>
      <c r="U81" s="82">
        <f>S81</f>
        <v>4150000</v>
      </c>
      <c r="V81" s="87" t="s">
        <v>153</v>
      </c>
      <c r="W81" s="60">
        <f t="shared" si="4"/>
        <v>1</v>
      </c>
      <c r="X81" s="46"/>
      <c r="Y81" s="74"/>
      <c r="Z81" s="46"/>
      <c r="AD81" s="46"/>
      <c r="AE81" s="46"/>
    </row>
    <row r="82" spans="1:31" s="59" customFormat="1" ht="17.25" customHeight="1">
      <c r="A82" s="59" t="s">
        <v>257</v>
      </c>
      <c r="B82" s="72" t="s">
        <v>715</v>
      </c>
      <c r="C82" s="155" t="s">
        <v>247</v>
      </c>
      <c r="D82" s="58" t="str">
        <f>VLOOKUP(C82,코드!$E$3:$F$30,2,FALSE)</f>
        <v>8711</v>
      </c>
      <c r="E82" s="58" t="str">
        <f t="shared" si="5"/>
        <v>[B-2]</v>
      </c>
      <c r="F82" s="65" t="s">
        <v>802</v>
      </c>
      <c r="G82" s="65" t="s">
        <v>812</v>
      </c>
      <c r="H82" s="66" t="s">
        <v>824</v>
      </c>
      <c r="I82" s="65" t="s">
        <v>838</v>
      </c>
      <c r="J82" s="155" t="s">
        <v>837</v>
      </c>
      <c r="K82" s="72" t="s">
        <v>130</v>
      </c>
      <c r="L82" s="72" t="s">
        <v>17</v>
      </c>
      <c r="M82" s="58">
        <f>VLOOKUP(L82,코드!$B$3:$C$29,2,FALSE)</f>
        <v>4241130</v>
      </c>
      <c r="N82" s="72" t="s">
        <v>129</v>
      </c>
      <c r="O82" s="79" t="s">
        <v>797</v>
      </c>
      <c r="P82" s="75">
        <v>4700000</v>
      </c>
      <c r="Q82" s="75">
        <v>1</v>
      </c>
      <c r="R82" s="75">
        <v>1</v>
      </c>
      <c r="S82" s="76">
        <v>4000000</v>
      </c>
      <c r="T82" s="75"/>
      <c r="U82" s="82">
        <f>S82</f>
        <v>4000000</v>
      </c>
      <c r="V82" s="87" t="s">
        <v>153</v>
      </c>
      <c r="W82" s="60">
        <f t="shared" si="4"/>
        <v>1</v>
      </c>
      <c r="X82" s="46"/>
      <c r="Y82" s="74"/>
      <c r="Z82" s="46"/>
      <c r="AD82" s="46"/>
      <c r="AE82" s="46"/>
    </row>
    <row r="83" spans="1:31" s="59" customFormat="1" ht="17.25" customHeight="1">
      <c r="A83" s="59" t="s">
        <v>257</v>
      </c>
      <c r="B83" s="72" t="s">
        <v>715</v>
      </c>
      <c r="C83" s="155" t="s">
        <v>247</v>
      </c>
      <c r="D83" s="58" t="str">
        <f>VLOOKUP(C83,코드!$E$3:$F$30,2,FALSE)</f>
        <v>8711</v>
      </c>
      <c r="E83" s="58" t="str">
        <f t="shared" si="5"/>
        <v>[B-2]</v>
      </c>
      <c r="F83" s="65" t="s">
        <v>802</v>
      </c>
      <c r="G83" s="65" t="s">
        <v>812</v>
      </c>
      <c r="H83" s="66" t="s">
        <v>824</v>
      </c>
      <c r="I83" s="65" t="s">
        <v>834</v>
      </c>
      <c r="J83" s="65" t="s">
        <v>836</v>
      </c>
      <c r="K83" s="72" t="s">
        <v>130</v>
      </c>
      <c r="L83" s="72" t="s">
        <v>17</v>
      </c>
      <c r="M83" s="58">
        <f>VLOOKUP(L83,코드!$B$3:$C$29,2,FALSE)</f>
        <v>4241130</v>
      </c>
      <c r="N83" s="72" t="s">
        <v>262</v>
      </c>
      <c r="O83" s="79" t="s">
        <v>797</v>
      </c>
      <c r="P83" s="75">
        <v>250000</v>
      </c>
      <c r="Q83" s="75">
        <v>1</v>
      </c>
      <c r="R83" s="75">
        <v>2</v>
      </c>
      <c r="S83" s="76">
        <v>1250000</v>
      </c>
      <c r="T83" s="75"/>
      <c r="U83" s="78">
        <v>1250000</v>
      </c>
      <c r="V83" s="61" t="s">
        <v>127</v>
      </c>
      <c r="W83" s="60">
        <f t="shared" si="4"/>
        <v>1</v>
      </c>
      <c r="X83" s="46"/>
      <c r="Y83" s="74"/>
      <c r="Z83" s="46"/>
      <c r="AD83" s="46"/>
      <c r="AE83" s="46"/>
    </row>
    <row r="84" spans="1:31" s="59" customFormat="1" ht="17.25" customHeight="1">
      <c r="A84" s="59" t="s">
        <v>257</v>
      </c>
      <c r="B84" s="72" t="s">
        <v>715</v>
      </c>
      <c r="C84" s="155" t="s">
        <v>247</v>
      </c>
      <c r="D84" s="58" t="str">
        <f>VLOOKUP(C84,코드!$E$3:$F$30,2,FALSE)</f>
        <v>8711</v>
      </c>
      <c r="E84" s="58" t="str">
        <f t="shared" si="5"/>
        <v>[B-2]</v>
      </c>
      <c r="F84" s="65" t="s">
        <v>802</v>
      </c>
      <c r="G84" s="65" t="s">
        <v>812</v>
      </c>
      <c r="H84" s="66" t="s">
        <v>824</v>
      </c>
      <c r="I84" s="65" t="s">
        <v>834</v>
      </c>
      <c r="J84" s="65" t="s">
        <v>835</v>
      </c>
      <c r="K84" s="72" t="s">
        <v>130</v>
      </c>
      <c r="L84" s="72" t="s">
        <v>17</v>
      </c>
      <c r="M84" s="58">
        <f>VLOOKUP(L84,코드!$B$3:$C$29,2,FALSE)</f>
        <v>4241130</v>
      </c>
      <c r="N84" s="72" t="s">
        <v>259</v>
      </c>
      <c r="O84" s="79" t="s">
        <v>797</v>
      </c>
      <c r="P84" s="75">
        <v>1250000</v>
      </c>
      <c r="Q84" s="75">
        <v>1</v>
      </c>
      <c r="R84" s="75">
        <v>2</v>
      </c>
      <c r="S84" s="76">
        <v>2000000</v>
      </c>
      <c r="T84" s="75"/>
      <c r="U84" s="78">
        <v>2000000</v>
      </c>
      <c r="V84" s="61" t="s">
        <v>127</v>
      </c>
      <c r="W84" s="60">
        <f t="shared" si="4"/>
        <v>1</v>
      </c>
      <c r="X84" s="46"/>
      <c r="Y84" s="74"/>
      <c r="Z84" s="46"/>
      <c r="AD84" s="46"/>
      <c r="AE84" s="46"/>
    </row>
    <row r="85" spans="1:31" s="59" customFormat="1" ht="17.25" customHeight="1">
      <c r="A85" s="59" t="s">
        <v>257</v>
      </c>
      <c r="B85" s="72" t="s">
        <v>715</v>
      </c>
      <c r="C85" s="155" t="s">
        <v>247</v>
      </c>
      <c r="D85" s="58" t="str">
        <f>VLOOKUP(C85,코드!$E$3:$F$30,2,FALSE)</f>
        <v>8711</v>
      </c>
      <c r="E85" s="58" t="str">
        <f t="shared" si="5"/>
        <v>[B-2]</v>
      </c>
      <c r="F85" s="65" t="s">
        <v>802</v>
      </c>
      <c r="G85" s="65" t="s">
        <v>812</v>
      </c>
      <c r="H85" s="66" t="s">
        <v>824</v>
      </c>
      <c r="I85" s="65" t="s">
        <v>834</v>
      </c>
      <c r="J85" s="65" t="s">
        <v>833</v>
      </c>
      <c r="K85" s="72" t="s">
        <v>130</v>
      </c>
      <c r="L85" s="72" t="s">
        <v>17</v>
      </c>
      <c r="M85" s="58">
        <f>VLOOKUP(L85,코드!$B$3:$C$29,2,FALSE)</f>
        <v>4241130</v>
      </c>
      <c r="N85" s="72" t="s">
        <v>365</v>
      </c>
      <c r="O85" s="79" t="s">
        <v>797</v>
      </c>
      <c r="P85" s="75">
        <v>1000000</v>
      </c>
      <c r="Q85" s="75">
        <v>1</v>
      </c>
      <c r="R85" s="75">
        <v>2</v>
      </c>
      <c r="S85" s="76">
        <v>250000</v>
      </c>
      <c r="T85" s="75"/>
      <c r="U85" s="78">
        <v>250000</v>
      </c>
      <c r="V85" s="61" t="s">
        <v>127</v>
      </c>
      <c r="W85" s="60">
        <f t="shared" si="4"/>
        <v>1</v>
      </c>
      <c r="X85" s="46"/>
      <c r="Y85" s="74"/>
      <c r="Z85" s="46"/>
      <c r="AD85" s="46"/>
      <c r="AE85" s="46"/>
    </row>
    <row r="86" spans="1:31" s="59" customFormat="1" ht="17.25" customHeight="1">
      <c r="A86" s="59" t="s">
        <v>257</v>
      </c>
      <c r="B86" s="72" t="s">
        <v>715</v>
      </c>
      <c r="C86" s="155" t="s">
        <v>247</v>
      </c>
      <c r="D86" s="58" t="str">
        <f>VLOOKUP(C86,코드!$E$3:$F$30,2,FALSE)</f>
        <v>8711</v>
      </c>
      <c r="E86" s="58" t="str">
        <f t="shared" si="5"/>
        <v>[B-2]</v>
      </c>
      <c r="F86" s="66" t="s">
        <v>802</v>
      </c>
      <c r="G86" s="65" t="s">
        <v>812</v>
      </c>
      <c r="H86" s="66" t="s">
        <v>824</v>
      </c>
      <c r="I86" s="65" t="s">
        <v>832</v>
      </c>
      <c r="J86" s="65" t="s">
        <v>831</v>
      </c>
      <c r="K86" s="72" t="s">
        <v>130</v>
      </c>
      <c r="L86" s="72" t="s">
        <v>18</v>
      </c>
      <c r="M86" s="58">
        <f>VLOOKUP(L86,코드!$B$3:$C$29,2,FALSE)</f>
        <v>4233201</v>
      </c>
      <c r="N86" s="72" t="s">
        <v>266</v>
      </c>
      <c r="O86" s="79" t="s">
        <v>797</v>
      </c>
      <c r="P86" s="75">
        <v>5000000</v>
      </c>
      <c r="Q86" s="75">
        <v>1</v>
      </c>
      <c r="R86" s="75">
        <v>6</v>
      </c>
      <c r="S86" s="76">
        <v>23000000</v>
      </c>
      <c r="T86" s="75"/>
      <c r="U86" s="78">
        <v>23000000</v>
      </c>
      <c r="V86" s="71" t="s">
        <v>127</v>
      </c>
      <c r="W86" s="60">
        <f t="shared" si="4"/>
        <v>1</v>
      </c>
      <c r="X86" s="46"/>
      <c r="Y86" s="74"/>
      <c r="Z86" s="46"/>
      <c r="AD86" s="46"/>
      <c r="AE86" s="46"/>
    </row>
    <row r="87" spans="1:31" s="59" customFormat="1" ht="17.25" customHeight="1">
      <c r="A87" s="59" t="s">
        <v>257</v>
      </c>
      <c r="B87" s="72" t="s">
        <v>715</v>
      </c>
      <c r="C87" s="155" t="s">
        <v>247</v>
      </c>
      <c r="D87" s="58" t="str">
        <f>VLOOKUP(C87,코드!$E$3:$F$30,2,FALSE)</f>
        <v>8711</v>
      </c>
      <c r="E87" s="58" t="str">
        <f t="shared" si="5"/>
        <v>[B-2]</v>
      </c>
      <c r="F87" s="66" t="s">
        <v>830</v>
      </c>
      <c r="G87" s="65" t="s">
        <v>812</v>
      </c>
      <c r="H87" s="66" t="s">
        <v>824</v>
      </c>
      <c r="I87" s="65" t="s">
        <v>829</v>
      </c>
      <c r="J87" s="65" t="s">
        <v>828</v>
      </c>
      <c r="K87" s="72" t="s">
        <v>130</v>
      </c>
      <c r="L87" s="176" t="s">
        <v>18</v>
      </c>
      <c r="M87" s="58">
        <f>VLOOKUP(L87,코드!$B$3:$C$29,2,FALSE)</f>
        <v>4233201</v>
      </c>
      <c r="N87" s="72" t="s">
        <v>266</v>
      </c>
      <c r="O87" s="79" t="s">
        <v>797</v>
      </c>
      <c r="P87" s="75">
        <v>5000000</v>
      </c>
      <c r="Q87" s="75">
        <v>1</v>
      </c>
      <c r="R87" s="75">
        <v>4</v>
      </c>
      <c r="S87" s="76">
        <v>18000000</v>
      </c>
      <c r="T87" s="75"/>
      <c r="U87" s="82">
        <f>S87</f>
        <v>18000000</v>
      </c>
      <c r="V87" s="87" t="s">
        <v>153</v>
      </c>
      <c r="W87" s="60">
        <f t="shared" si="4"/>
        <v>1</v>
      </c>
      <c r="X87" s="46"/>
      <c r="Y87" s="74"/>
      <c r="Z87" s="46"/>
      <c r="AD87" s="46"/>
      <c r="AE87" s="46"/>
    </row>
    <row r="88" spans="1:31" s="59" customFormat="1" ht="17.25" customHeight="1">
      <c r="A88" s="59" t="s">
        <v>257</v>
      </c>
      <c r="B88" s="72" t="s">
        <v>715</v>
      </c>
      <c r="C88" s="155" t="s">
        <v>247</v>
      </c>
      <c r="D88" s="58" t="str">
        <f>VLOOKUP(C88,코드!$E$3:$F$30,2,FALSE)</f>
        <v>8711</v>
      </c>
      <c r="E88" s="58" t="str">
        <f t="shared" si="5"/>
        <v>[B-2]</v>
      </c>
      <c r="F88" s="66" t="s">
        <v>802</v>
      </c>
      <c r="G88" s="65" t="s">
        <v>812</v>
      </c>
      <c r="H88" s="66" t="s">
        <v>824</v>
      </c>
      <c r="I88" s="65" t="s">
        <v>827</v>
      </c>
      <c r="J88" s="65" t="s">
        <v>826</v>
      </c>
      <c r="K88" s="72" t="s">
        <v>130</v>
      </c>
      <c r="L88" s="72" t="s">
        <v>18</v>
      </c>
      <c r="M88" s="58">
        <f>VLOOKUP(L88,코드!$B$3:$C$29,2,FALSE)</f>
        <v>4233201</v>
      </c>
      <c r="N88" s="72" t="s">
        <v>266</v>
      </c>
      <c r="O88" s="79" t="s">
        <v>797</v>
      </c>
      <c r="P88" s="75">
        <v>5000000</v>
      </c>
      <c r="Q88" s="75">
        <v>1</v>
      </c>
      <c r="R88" s="75">
        <v>3</v>
      </c>
      <c r="S88" s="76">
        <v>5000000</v>
      </c>
      <c r="T88" s="75"/>
      <c r="U88" s="78">
        <v>5000000</v>
      </c>
      <c r="V88" s="61" t="s">
        <v>127</v>
      </c>
      <c r="W88" s="60">
        <f t="shared" si="4"/>
        <v>1</v>
      </c>
      <c r="X88" s="46"/>
      <c r="Y88" s="74"/>
      <c r="Z88" s="46"/>
      <c r="AD88" s="46"/>
      <c r="AE88" s="46"/>
    </row>
    <row r="89" spans="1:31" s="59" customFormat="1" ht="17.25" customHeight="1">
      <c r="A89" s="59" t="s">
        <v>257</v>
      </c>
      <c r="B89" s="72" t="s">
        <v>715</v>
      </c>
      <c r="C89" s="155" t="s">
        <v>247</v>
      </c>
      <c r="D89" s="58" t="str">
        <f>VLOOKUP(C89,코드!$E$3:$F$30,2,FALSE)</f>
        <v>8711</v>
      </c>
      <c r="E89" s="58" t="str">
        <f t="shared" si="5"/>
        <v>[B-2]</v>
      </c>
      <c r="F89" s="66" t="s">
        <v>802</v>
      </c>
      <c r="G89" s="65" t="s">
        <v>812</v>
      </c>
      <c r="H89" s="66" t="s">
        <v>824</v>
      </c>
      <c r="I89" s="65" t="s">
        <v>825</v>
      </c>
      <c r="J89" s="65" t="s">
        <v>825</v>
      </c>
      <c r="K89" s="72" t="s">
        <v>130</v>
      </c>
      <c r="L89" s="72" t="s">
        <v>18</v>
      </c>
      <c r="M89" s="58">
        <f>VLOOKUP(L89,코드!$B$3:$C$29,2,FALSE)</f>
        <v>4233201</v>
      </c>
      <c r="N89" s="72" t="s">
        <v>266</v>
      </c>
      <c r="O89" s="79" t="s">
        <v>797</v>
      </c>
      <c r="P89" s="75">
        <v>15000000</v>
      </c>
      <c r="Q89" s="75">
        <v>1</v>
      </c>
      <c r="R89" s="75">
        <v>1</v>
      </c>
      <c r="S89" s="76">
        <v>14700000</v>
      </c>
      <c r="T89" s="75"/>
      <c r="U89" s="78">
        <v>14700000</v>
      </c>
      <c r="V89" s="61" t="s">
        <v>127</v>
      </c>
      <c r="W89" s="60">
        <f t="shared" si="4"/>
        <v>1</v>
      </c>
      <c r="X89" s="46"/>
      <c r="Y89" s="74"/>
      <c r="Z89" s="46"/>
      <c r="AD89" s="46"/>
      <c r="AE89" s="46"/>
    </row>
    <row r="90" spans="1:31" s="59" customFormat="1" ht="17.25" customHeight="1">
      <c r="A90" s="59" t="s">
        <v>257</v>
      </c>
      <c r="B90" s="72" t="s">
        <v>715</v>
      </c>
      <c r="C90" s="155" t="s">
        <v>247</v>
      </c>
      <c r="D90" s="58" t="str">
        <f>VLOOKUP(C90,코드!$E$3:$F$30,2,FALSE)</f>
        <v>8711</v>
      </c>
      <c r="E90" s="58" t="str">
        <f t="shared" si="5"/>
        <v>[B-2]</v>
      </c>
      <c r="F90" s="66" t="s">
        <v>802</v>
      </c>
      <c r="G90" s="65" t="s">
        <v>812</v>
      </c>
      <c r="H90" s="66" t="s">
        <v>824</v>
      </c>
      <c r="I90" s="65" t="s">
        <v>825</v>
      </c>
      <c r="J90" s="65" t="s">
        <v>825</v>
      </c>
      <c r="K90" s="72" t="s">
        <v>130</v>
      </c>
      <c r="L90" s="176" t="s">
        <v>17</v>
      </c>
      <c r="M90" s="58">
        <f>VLOOKUP(L90,코드!$B$3:$C$29,2,FALSE)</f>
        <v>4241130</v>
      </c>
      <c r="N90" s="72" t="s">
        <v>120</v>
      </c>
      <c r="O90" s="79" t="s">
        <v>797</v>
      </c>
      <c r="P90" s="75"/>
      <c r="Q90" s="75"/>
      <c r="R90" s="75"/>
      <c r="S90" s="161">
        <v>300000</v>
      </c>
      <c r="T90" s="75"/>
      <c r="U90" s="82">
        <f>S90</f>
        <v>300000</v>
      </c>
      <c r="V90" s="87" t="s">
        <v>153</v>
      </c>
      <c r="W90" s="60">
        <f t="shared" si="4"/>
        <v>1</v>
      </c>
      <c r="X90" s="46"/>
      <c r="Y90" s="74"/>
      <c r="Z90" s="46"/>
      <c r="AD90" s="46"/>
      <c r="AE90" s="46"/>
    </row>
    <row r="91" spans="1:31" s="59" customFormat="1" ht="17.25" customHeight="1">
      <c r="A91" s="59" t="s">
        <v>257</v>
      </c>
      <c r="B91" s="72" t="s">
        <v>715</v>
      </c>
      <c r="C91" s="155" t="s">
        <v>247</v>
      </c>
      <c r="D91" s="58" t="str">
        <f>VLOOKUP(C91,코드!$E$3:$F$30,2,FALSE)</f>
        <v>8711</v>
      </c>
      <c r="E91" s="58" t="str">
        <f t="shared" si="5"/>
        <v>[B-2]</v>
      </c>
      <c r="F91" s="66" t="s">
        <v>802</v>
      </c>
      <c r="G91" s="65" t="s">
        <v>812</v>
      </c>
      <c r="H91" s="66" t="s">
        <v>824</v>
      </c>
      <c r="I91" s="65" t="s">
        <v>823</v>
      </c>
      <c r="J91" s="65" t="s">
        <v>822</v>
      </c>
      <c r="K91" s="72" t="s">
        <v>205</v>
      </c>
      <c r="L91" s="72" t="s">
        <v>18</v>
      </c>
      <c r="M91" s="58">
        <f>VLOOKUP(L91,코드!$B$3:$C$29,2,FALSE)</f>
        <v>4233201</v>
      </c>
      <c r="N91" s="72" t="s">
        <v>266</v>
      </c>
      <c r="O91" s="79" t="s">
        <v>808</v>
      </c>
      <c r="P91" s="75">
        <v>462000</v>
      </c>
      <c r="Q91" s="75">
        <v>1</v>
      </c>
      <c r="R91" s="75">
        <v>12</v>
      </c>
      <c r="S91" s="76">
        <v>5544000</v>
      </c>
      <c r="T91" s="75"/>
      <c r="U91" s="82">
        <f>S91</f>
        <v>5544000</v>
      </c>
      <c r="V91" s="87" t="s">
        <v>153</v>
      </c>
      <c r="W91" s="60">
        <f t="shared" ref="W91:W122" si="6">U91/S91</f>
        <v>1</v>
      </c>
      <c r="X91" s="46"/>
      <c r="Y91" s="74"/>
      <c r="Z91" s="46"/>
      <c r="AD91" s="46"/>
      <c r="AE91" s="46"/>
    </row>
    <row r="92" spans="1:31" s="59" customFormat="1" ht="17.25" customHeight="1">
      <c r="A92" s="59" t="s">
        <v>257</v>
      </c>
      <c r="B92" s="72" t="s">
        <v>715</v>
      </c>
      <c r="C92" s="155" t="s">
        <v>247</v>
      </c>
      <c r="D92" s="58" t="str">
        <f>VLOOKUP(C92,코드!$E$3:$F$30,2,FALSE)</f>
        <v>8711</v>
      </c>
      <c r="E92" s="58" t="str">
        <f t="shared" si="5"/>
        <v>[B-2]</v>
      </c>
      <c r="F92" s="65" t="s">
        <v>802</v>
      </c>
      <c r="G92" s="65" t="s">
        <v>812</v>
      </c>
      <c r="H92" s="66" t="s">
        <v>811</v>
      </c>
      <c r="I92" s="65" t="s">
        <v>820</v>
      </c>
      <c r="J92" s="65" t="s">
        <v>821</v>
      </c>
      <c r="K92" s="72" t="s">
        <v>130</v>
      </c>
      <c r="L92" s="72" t="s">
        <v>18</v>
      </c>
      <c r="M92" s="58">
        <f>VLOOKUP(L92,코드!$B$3:$C$29,2,FALSE)</f>
        <v>4233201</v>
      </c>
      <c r="N92" s="72" t="s">
        <v>266</v>
      </c>
      <c r="O92" s="79" t="s">
        <v>797</v>
      </c>
      <c r="P92" s="75">
        <v>50000000</v>
      </c>
      <c r="Q92" s="75">
        <v>1</v>
      </c>
      <c r="R92" s="75">
        <v>1</v>
      </c>
      <c r="S92" s="76">
        <v>50000000</v>
      </c>
      <c r="T92" s="75"/>
      <c r="U92" s="78">
        <v>50000000</v>
      </c>
      <c r="V92" s="61" t="s">
        <v>127</v>
      </c>
      <c r="W92" s="60">
        <f t="shared" si="6"/>
        <v>1</v>
      </c>
      <c r="X92" s="46"/>
      <c r="Y92" s="74"/>
      <c r="Z92" s="46"/>
      <c r="AD92" s="46"/>
      <c r="AE92" s="46"/>
    </row>
    <row r="93" spans="1:31" s="59" customFormat="1" ht="17.25" customHeight="1">
      <c r="A93" s="59" t="s">
        <v>257</v>
      </c>
      <c r="B93" s="72" t="s">
        <v>715</v>
      </c>
      <c r="C93" s="155" t="s">
        <v>247</v>
      </c>
      <c r="D93" s="58" t="str">
        <f>VLOOKUP(C93,코드!$E$3:$F$30,2,FALSE)</f>
        <v>8711</v>
      </c>
      <c r="E93" s="58" t="str">
        <f t="shared" si="5"/>
        <v>[B-2]</v>
      </c>
      <c r="F93" s="65" t="s">
        <v>802</v>
      </c>
      <c r="G93" s="65" t="s">
        <v>812</v>
      </c>
      <c r="H93" s="66" t="s">
        <v>811</v>
      </c>
      <c r="I93" s="65" t="s">
        <v>820</v>
      </c>
      <c r="J93" s="65" t="s">
        <v>819</v>
      </c>
      <c r="K93" s="72" t="s">
        <v>130</v>
      </c>
      <c r="L93" s="72" t="s">
        <v>18</v>
      </c>
      <c r="M93" s="58">
        <f>VLOOKUP(L93,코드!$B$3:$C$29,2,FALSE)</f>
        <v>4233201</v>
      </c>
      <c r="N93" s="72" t="s">
        <v>266</v>
      </c>
      <c r="O93" s="79" t="s">
        <v>797</v>
      </c>
      <c r="P93" s="75">
        <v>60000000</v>
      </c>
      <c r="Q93" s="75">
        <v>1</v>
      </c>
      <c r="R93" s="75">
        <v>1</v>
      </c>
      <c r="S93" s="76">
        <v>60000000</v>
      </c>
      <c r="T93" s="75"/>
      <c r="U93" s="78">
        <v>60000000</v>
      </c>
      <c r="V93" s="71" t="s">
        <v>127</v>
      </c>
      <c r="W93" s="60">
        <f t="shared" si="6"/>
        <v>1</v>
      </c>
      <c r="X93" s="46"/>
      <c r="Y93" s="74"/>
      <c r="Z93" s="46"/>
      <c r="AD93" s="46"/>
      <c r="AE93" s="46"/>
    </row>
    <row r="94" spans="1:31" s="59" customFormat="1" ht="17.25" customHeight="1">
      <c r="A94" s="59" t="s">
        <v>257</v>
      </c>
      <c r="B94" s="72" t="s">
        <v>715</v>
      </c>
      <c r="C94" s="155" t="s">
        <v>247</v>
      </c>
      <c r="D94" s="58" t="str">
        <f>VLOOKUP(C94,코드!$E$3:$F$30,2,FALSE)</f>
        <v>8711</v>
      </c>
      <c r="E94" s="58" t="str">
        <f t="shared" si="5"/>
        <v>[B-2]</v>
      </c>
      <c r="F94" s="65" t="s">
        <v>802</v>
      </c>
      <c r="G94" s="65" t="s">
        <v>812</v>
      </c>
      <c r="H94" s="66" t="s">
        <v>811</v>
      </c>
      <c r="I94" s="65" t="s">
        <v>818</v>
      </c>
      <c r="J94" s="65" t="s">
        <v>817</v>
      </c>
      <c r="K94" s="72" t="s">
        <v>130</v>
      </c>
      <c r="L94" s="72" t="s">
        <v>17</v>
      </c>
      <c r="M94" s="58">
        <f>VLOOKUP(L94,코드!$B$3:$C$29,2,FALSE)</f>
        <v>4241130</v>
      </c>
      <c r="N94" s="72" t="s">
        <v>356</v>
      </c>
      <c r="O94" s="79" t="s">
        <v>797</v>
      </c>
      <c r="P94" s="75">
        <v>500000</v>
      </c>
      <c r="Q94" s="75">
        <v>1</v>
      </c>
      <c r="R94" s="75">
        <v>10</v>
      </c>
      <c r="S94" s="76">
        <v>5000000</v>
      </c>
      <c r="T94" s="75"/>
      <c r="U94" s="78">
        <v>5000000</v>
      </c>
      <c r="V94" s="71"/>
      <c r="W94" s="60">
        <f t="shared" si="6"/>
        <v>1</v>
      </c>
      <c r="X94" s="46"/>
      <c r="Y94" s="74"/>
      <c r="Z94" s="46"/>
      <c r="AD94" s="46"/>
      <c r="AE94" s="46"/>
    </row>
    <row r="95" spans="1:31" s="59" customFormat="1" ht="17.25" customHeight="1">
      <c r="A95" s="59" t="s">
        <v>257</v>
      </c>
      <c r="B95" s="72" t="s">
        <v>715</v>
      </c>
      <c r="C95" s="155" t="s">
        <v>247</v>
      </c>
      <c r="D95" s="58" t="str">
        <f>VLOOKUP(C95,코드!$E$3:$F$30,2,FALSE)</f>
        <v>8711</v>
      </c>
      <c r="E95" s="58" t="str">
        <f t="shared" si="5"/>
        <v>[B-2]</v>
      </c>
      <c r="F95" s="65" t="s">
        <v>802</v>
      </c>
      <c r="G95" s="65" t="s">
        <v>812</v>
      </c>
      <c r="H95" s="66" t="s">
        <v>811</v>
      </c>
      <c r="I95" s="65" t="s">
        <v>818</v>
      </c>
      <c r="J95" s="65" t="s">
        <v>817</v>
      </c>
      <c r="K95" s="72" t="s">
        <v>130</v>
      </c>
      <c r="L95" s="72" t="s">
        <v>17</v>
      </c>
      <c r="M95" s="58">
        <f>VLOOKUP(L95,코드!$B$3:$C$29,2,FALSE)</f>
        <v>4241130</v>
      </c>
      <c r="N95" s="72" t="s">
        <v>262</v>
      </c>
      <c r="O95" s="79" t="s">
        <v>797</v>
      </c>
      <c r="P95" s="75">
        <v>200000</v>
      </c>
      <c r="Q95" s="75">
        <v>1</v>
      </c>
      <c r="R95" s="75">
        <v>5</v>
      </c>
      <c r="S95" s="76">
        <v>1000000</v>
      </c>
      <c r="T95" s="75"/>
      <c r="U95" s="82">
        <f>S95</f>
        <v>1000000</v>
      </c>
      <c r="V95" s="87" t="s">
        <v>153</v>
      </c>
      <c r="W95" s="60">
        <f t="shared" si="6"/>
        <v>1</v>
      </c>
      <c r="X95" s="46"/>
      <c r="Y95" s="74"/>
      <c r="Z95" s="46"/>
      <c r="AD95" s="46"/>
      <c r="AE95" s="46"/>
    </row>
    <row r="96" spans="1:31" s="59" customFormat="1" ht="17.25" customHeight="1">
      <c r="A96" s="59" t="s">
        <v>257</v>
      </c>
      <c r="B96" s="72" t="s">
        <v>715</v>
      </c>
      <c r="C96" s="155" t="s">
        <v>247</v>
      </c>
      <c r="D96" s="58" t="str">
        <f>VLOOKUP(C96,코드!$E$3:$F$30,2,FALSE)</f>
        <v>8711</v>
      </c>
      <c r="E96" s="58" t="str">
        <f t="shared" si="5"/>
        <v>[B-2]</v>
      </c>
      <c r="F96" s="65" t="s">
        <v>802</v>
      </c>
      <c r="G96" s="65" t="s">
        <v>812</v>
      </c>
      <c r="H96" s="66" t="s">
        <v>811</v>
      </c>
      <c r="I96" s="65" t="s">
        <v>818</v>
      </c>
      <c r="J96" s="65" t="s">
        <v>817</v>
      </c>
      <c r="K96" s="72" t="s">
        <v>130</v>
      </c>
      <c r="L96" s="72" t="s">
        <v>18</v>
      </c>
      <c r="M96" s="58">
        <f>VLOOKUP(L96,코드!$B$3:$C$29,2,FALSE)</f>
        <v>4233201</v>
      </c>
      <c r="N96" s="72" t="s">
        <v>266</v>
      </c>
      <c r="O96" s="79" t="s">
        <v>797</v>
      </c>
      <c r="P96" s="75">
        <v>8000000</v>
      </c>
      <c r="Q96" s="75">
        <v>1</v>
      </c>
      <c r="R96" s="75">
        <v>2</v>
      </c>
      <c r="S96" s="76">
        <v>15000000</v>
      </c>
      <c r="T96" s="75"/>
      <c r="U96" s="78">
        <v>15000000</v>
      </c>
      <c r="V96" s="71" t="s">
        <v>127</v>
      </c>
      <c r="W96" s="60">
        <f t="shared" si="6"/>
        <v>1</v>
      </c>
      <c r="X96" s="46"/>
      <c r="Y96" s="74"/>
      <c r="AD96" s="46"/>
      <c r="AE96" s="46"/>
    </row>
    <row r="97" spans="1:31" s="59" customFormat="1" ht="17.25" customHeight="1">
      <c r="A97" s="59" t="s">
        <v>257</v>
      </c>
      <c r="B97" s="72" t="s">
        <v>715</v>
      </c>
      <c r="C97" s="155" t="s">
        <v>247</v>
      </c>
      <c r="D97" s="58" t="str">
        <f>VLOOKUP(C97,코드!$E$3:$F$30,2,FALSE)</f>
        <v>8711</v>
      </c>
      <c r="E97" s="58" t="str">
        <f t="shared" si="5"/>
        <v>[B-2]</v>
      </c>
      <c r="F97" s="65" t="s">
        <v>802</v>
      </c>
      <c r="G97" s="65" t="s">
        <v>812</v>
      </c>
      <c r="H97" s="66" t="s">
        <v>811</v>
      </c>
      <c r="I97" s="65" t="s">
        <v>815</v>
      </c>
      <c r="J97" s="65" t="s">
        <v>816</v>
      </c>
      <c r="K97" s="72" t="s">
        <v>130</v>
      </c>
      <c r="L97" s="72" t="s">
        <v>17</v>
      </c>
      <c r="M97" s="58">
        <f>VLOOKUP(L97,코드!$B$3:$C$29,2,FALSE)</f>
        <v>4241130</v>
      </c>
      <c r="N97" s="72" t="s">
        <v>356</v>
      </c>
      <c r="O97" s="79" t="s">
        <v>797</v>
      </c>
      <c r="P97" s="75">
        <v>1400000</v>
      </c>
      <c r="Q97" s="75">
        <v>1</v>
      </c>
      <c r="R97" s="75">
        <v>2</v>
      </c>
      <c r="S97" s="76">
        <v>2800000</v>
      </c>
      <c r="T97" s="75"/>
      <c r="U97" s="82">
        <f>S97</f>
        <v>2800000</v>
      </c>
      <c r="V97" s="87" t="s">
        <v>153</v>
      </c>
      <c r="W97" s="60">
        <f t="shared" si="6"/>
        <v>1</v>
      </c>
      <c r="X97" s="46"/>
      <c r="Y97" s="74"/>
      <c r="Z97" s="46"/>
      <c r="AD97" s="46"/>
      <c r="AE97" s="46"/>
    </row>
    <row r="98" spans="1:31" s="59" customFormat="1" ht="17.25" customHeight="1">
      <c r="A98" s="59" t="s">
        <v>257</v>
      </c>
      <c r="B98" s="72" t="s">
        <v>715</v>
      </c>
      <c r="C98" s="155" t="s">
        <v>247</v>
      </c>
      <c r="D98" s="58" t="str">
        <f>VLOOKUP(C98,코드!$E$3:$F$30,2,FALSE)</f>
        <v>8711</v>
      </c>
      <c r="E98" s="58" t="str">
        <f t="shared" si="5"/>
        <v>[B-2]</v>
      </c>
      <c r="F98" s="65" t="s">
        <v>802</v>
      </c>
      <c r="G98" s="65" t="s">
        <v>812</v>
      </c>
      <c r="H98" s="66" t="s">
        <v>811</v>
      </c>
      <c r="I98" s="65" t="s">
        <v>815</v>
      </c>
      <c r="J98" s="65" t="s">
        <v>816</v>
      </c>
      <c r="K98" s="72" t="s">
        <v>130</v>
      </c>
      <c r="L98" s="72" t="s">
        <v>17</v>
      </c>
      <c r="M98" s="58">
        <f>VLOOKUP(L98,코드!$B$3:$C$29,2,FALSE)</f>
        <v>4241130</v>
      </c>
      <c r="N98" s="72" t="s">
        <v>259</v>
      </c>
      <c r="O98" s="79" t="s">
        <v>797</v>
      </c>
      <c r="P98" s="75">
        <v>30000</v>
      </c>
      <c r="Q98" s="75">
        <v>50</v>
      </c>
      <c r="R98" s="75">
        <v>2</v>
      </c>
      <c r="S98" s="76">
        <v>2700000</v>
      </c>
      <c r="T98" s="75"/>
      <c r="U98" s="82">
        <f>S98</f>
        <v>2700000</v>
      </c>
      <c r="V98" s="87" t="s">
        <v>153</v>
      </c>
      <c r="W98" s="60">
        <f t="shared" si="6"/>
        <v>1</v>
      </c>
      <c r="X98" s="46"/>
      <c r="Y98" s="74"/>
      <c r="Z98" s="46"/>
      <c r="AD98" s="46"/>
      <c r="AE98" s="46"/>
    </row>
    <row r="99" spans="1:31" s="59" customFormat="1" ht="17.25" customHeight="1">
      <c r="A99" s="59" t="s">
        <v>257</v>
      </c>
      <c r="B99" s="72" t="s">
        <v>715</v>
      </c>
      <c r="C99" s="155" t="s">
        <v>247</v>
      </c>
      <c r="D99" s="58" t="str">
        <f>VLOOKUP(C99,코드!$E$3:$F$30,2,FALSE)</f>
        <v>8711</v>
      </c>
      <c r="E99" s="58" t="str">
        <f t="shared" si="5"/>
        <v>[B-2]</v>
      </c>
      <c r="F99" s="65" t="s">
        <v>802</v>
      </c>
      <c r="G99" s="65" t="s">
        <v>812</v>
      </c>
      <c r="H99" s="66" t="s">
        <v>811</v>
      </c>
      <c r="I99" s="65" t="s">
        <v>815</v>
      </c>
      <c r="J99" s="65" t="s">
        <v>816</v>
      </c>
      <c r="K99" s="72" t="s">
        <v>130</v>
      </c>
      <c r="L99" s="72" t="s">
        <v>17</v>
      </c>
      <c r="M99" s="58">
        <f>VLOOKUP(L99,코드!$B$3:$C$29,2,FALSE)</f>
        <v>4241130</v>
      </c>
      <c r="N99" s="72" t="s">
        <v>262</v>
      </c>
      <c r="O99" s="79" t="s">
        <v>797</v>
      </c>
      <c r="P99" s="75">
        <v>100000</v>
      </c>
      <c r="Q99" s="75">
        <v>1</v>
      </c>
      <c r="R99" s="75">
        <v>2</v>
      </c>
      <c r="S99" s="76">
        <v>0</v>
      </c>
      <c r="T99" s="75"/>
      <c r="U99" s="78">
        <v>0</v>
      </c>
      <c r="V99" s="71"/>
      <c r="W99" s="60" t="e">
        <f t="shared" si="6"/>
        <v>#DIV/0!</v>
      </c>
      <c r="X99" s="46"/>
      <c r="Y99" s="74"/>
      <c r="Z99" s="46"/>
      <c r="AD99" s="46"/>
      <c r="AE99" s="46"/>
    </row>
    <row r="100" spans="1:31" s="59" customFormat="1" ht="17.25" customHeight="1">
      <c r="A100" s="59" t="s">
        <v>257</v>
      </c>
      <c r="B100" s="72" t="s">
        <v>715</v>
      </c>
      <c r="C100" s="155" t="s">
        <v>247</v>
      </c>
      <c r="D100" s="58" t="str">
        <f>VLOOKUP(C100,코드!$E$3:$F$30,2,FALSE)</f>
        <v>8711</v>
      </c>
      <c r="E100" s="58" t="str">
        <f t="shared" si="5"/>
        <v>[B-2]</v>
      </c>
      <c r="F100" s="66" t="s">
        <v>802</v>
      </c>
      <c r="G100" s="65" t="s">
        <v>812</v>
      </c>
      <c r="H100" s="66" t="s">
        <v>811</v>
      </c>
      <c r="I100" s="65" t="s">
        <v>815</v>
      </c>
      <c r="J100" s="65" t="s">
        <v>814</v>
      </c>
      <c r="K100" s="72" t="s">
        <v>130</v>
      </c>
      <c r="L100" s="72" t="s">
        <v>17</v>
      </c>
      <c r="M100" s="58">
        <f>VLOOKUP(L100,코드!$B$3:$C$29,2,FALSE)</f>
        <v>4241130</v>
      </c>
      <c r="N100" s="72" t="s">
        <v>280</v>
      </c>
      <c r="O100" s="79" t="s">
        <v>797</v>
      </c>
      <c r="P100" s="75">
        <v>50000</v>
      </c>
      <c r="Q100" s="75">
        <v>2</v>
      </c>
      <c r="R100" s="75">
        <v>2</v>
      </c>
      <c r="S100" s="76">
        <v>400000</v>
      </c>
      <c r="T100" s="75"/>
      <c r="U100" s="78">
        <v>400000</v>
      </c>
      <c r="V100" s="71" t="s">
        <v>127</v>
      </c>
      <c r="W100" s="60">
        <f t="shared" si="6"/>
        <v>1</v>
      </c>
      <c r="X100" s="46"/>
      <c r="Y100" s="74"/>
      <c r="Z100" s="46"/>
      <c r="AD100" s="46"/>
      <c r="AE100" s="46"/>
    </row>
    <row r="101" spans="1:31" s="59" customFormat="1" ht="17.25" customHeight="1">
      <c r="A101" s="59" t="s">
        <v>257</v>
      </c>
      <c r="B101" s="72" t="s">
        <v>715</v>
      </c>
      <c r="C101" s="155" t="s">
        <v>247</v>
      </c>
      <c r="D101" s="58" t="str">
        <f>VLOOKUP(C101,코드!$E$3:$F$30,2,FALSE)</f>
        <v>8711</v>
      </c>
      <c r="E101" s="58" t="str">
        <f t="shared" si="5"/>
        <v>[B-2]</v>
      </c>
      <c r="F101" s="66" t="s">
        <v>802</v>
      </c>
      <c r="G101" s="65" t="s">
        <v>812</v>
      </c>
      <c r="H101" s="66" t="s">
        <v>811</v>
      </c>
      <c r="I101" s="65" t="s">
        <v>815</v>
      </c>
      <c r="J101" s="65" t="s">
        <v>814</v>
      </c>
      <c r="K101" s="72" t="s">
        <v>130</v>
      </c>
      <c r="L101" s="72" t="s">
        <v>17</v>
      </c>
      <c r="M101" s="58">
        <f>VLOOKUP(L101,코드!$B$3:$C$29,2,FALSE)</f>
        <v>4241130</v>
      </c>
      <c r="N101" s="72" t="s">
        <v>288</v>
      </c>
      <c r="O101" s="79" t="s">
        <v>797</v>
      </c>
      <c r="P101" s="75">
        <v>300000</v>
      </c>
      <c r="Q101" s="75">
        <v>2</v>
      </c>
      <c r="R101" s="75">
        <v>2</v>
      </c>
      <c r="S101" s="76">
        <v>1000000</v>
      </c>
      <c r="T101" s="75"/>
      <c r="U101" s="82">
        <f>S101</f>
        <v>1000000</v>
      </c>
      <c r="V101" s="87" t="s">
        <v>153</v>
      </c>
      <c r="W101" s="60">
        <f t="shared" si="6"/>
        <v>1</v>
      </c>
      <c r="X101" s="46"/>
      <c r="Y101" s="74"/>
      <c r="Z101" s="46"/>
      <c r="AD101" s="46"/>
      <c r="AE101" s="46"/>
    </row>
    <row r="102" spans="1:31" s="59" customFormat="1" ht="17.25" customHeight="1">
      <c r="A102" s="59" t="s">
        <v>257</v>
      </c>
      <c r="B102" s="72" t="s">
        <v>715</v>
      </c>
      <c r="C102" s="155" t="s">
        <v>247</v>
      </c>
      <c r="D102" s="58" t="str">
        <f>VLOOKUP(C102,코드!$E$3:$F$30,2,FALSE)</f>
        <v>8711</v>
      </c>
      <c r="E102" s="58" t="str">
        <f t="shared" si="5"/>
        <v>[B-2]</v>
      </c>
      <c r="F102" s="66" t="s">
        <v>802</v>
      </c>
      <c r="G102" s="65" t="s">
        <v>812</v>
      </c>
      <c r="H102" s="66" t="s">
        <v>811</v>
      </c>
      <c r="I102" s="65" t="s">
        <v>810</v>
      </c>
      <c r="J102" s="65" t="s">
        <v>813</v>
      </c>
      <c r="K102" s="72" t="s">
        <v>130</v>
      </c>
      <c r="L102" s="72" t="s">
        <v>17</v>
      </c>
      <c r="M102" s="58">
        <f>VLOOKUP(L102,코드!$B$3:$C$29,2,FALSE)</f>
        <v>4241130</v>
      </c>
      <c r="N102" s="72" t="s">
        <v>262</v>
      </c>
      <c r="O102" s="79" t="s">
        <v>797</v>
      </c>
      <c r="P102" s="75">
        <v>5000000</v>
      </c>
      <c r="Q102" s="75">
        <v>1</v>
      </c>
      <c r="R102" s="75">
        <v>1</v>
      </c>
      <c r="S102" s="76">
        <v>2500000</v>
      </c>
      <c r="T102" s="75"/>
      <c r="U102" s="78">
        <v>2500000</v>
      </c>
      <c r="V102" s="61" t="s">
        <v>127</v>
      </c>
      <c r="W102" s="60">
        <f t="shared" si="6"/>
        <v>1</v>
      </c>
      <c r="X102" s="46"/>
      <c r="Y102" s="74"/>
      <c r="Z102" s="46"/>
      <c r="AD102" s="46"/>
      <c r="AE102" s="46"/>
    </row>
    <row r="103" spans="1:31" s="59" customFormat="1" ht="17.25" customHeight="1">
      <c r="A103" s="59" t="s">
        <v>257</v>
      </c>
      <c r="B103" s="72" t="s">
        <v>715</v>
      </c>
      <c r="C103" s="155" t="s">
        <v>247</v>
      </c>
      <c r="D103" s="58" t="str">
        <f>VLOOKUP(C103,코드!$E$3:$F$30,2,FALSE)</f>
        <v>8711</v>
      </c>
      <c r="E103" s="58" t="str">
        <f t="shared" si="5"/>
        <v>[B-2]</v>
      </c>
      <c r="F103" s="66" t="s">
        <v>802</v>
      </c>
      <c r="G103" s="65" t="s">
        <v>812</v>
      </c>
      <c r="H103" s="66" t="s">
        <v>811</v>
      </c>
      <c r="I103" s="65" t="s">
        <v>810</v>
      </c>
      <c r="J103" s="65" t="s">
        <v>813</v>
      </c>
      <c r="K103" s="72" t="s">
        <v>130</v>
      </c>
      <c r="L103" s="72" t="s">
        <v>17</v>
      </c>
      <c r="M103" s="58">
        <f>VLOOKUP(L103,코드!$B$3:$C$29,2,FALSE)</f>
        <v>4241130</v>
      </c>
      <c r="N103" s="72" t="s">
        <v>365</v>
      </c>
      <c r="O103" s="79" t="s">
        <v>797</v>
      </c>
      <c r="P103" s="75">
        <v>1000000</v>
      </c>
      <c r="Q103" s="75">
        <v>1</v>
      </c>
      <c r="R103" s="75">
        <v>1</v>
      </c>
      <c r="S103" s="76">
        <v>1000000</v>
      </c>
      <c r="T103" s="75"/>
      <c r="U103" s="78">
        <v>1000000</v>
      </c>
      <c r="V103" s="61" t="s">
        <v>127</v>
      </c>
      <c r="W103" s="60">
        <f t="shared" si="6"/>
        <v>1</v>
      </c>
      <c r="X103" s="46"/>
      <c r="Y103" s="74"/>
      <c r="Z103" s="46"/>
      <c r="AD103" s="46"/>
      <c r="AE103" s="46"/>
    </row>
    <row r="104" spans="1:31" s="59" customFormat="1" ht="17.25" customHeight="1">
      <c r="A104" s="59" t="s">
        <v>257</v>
      </c>
      <c r="B104" s="72" t="s">
        <v>715</v>
      </c>
      <c r="C104" s="155" t="s">
        <v>247</v>
      </c>
      <c r="D104" s="58" t="str">
        <f>VLOOKUP(C104,코드!$E$3:$F$30,2,FALSE)</f>
        <v>8711</v>
      </c>
      <c r="E104" s="58" t="str">
        <f t="shared" si="5"/>
        <v>[B-2]</v>
      </c>
      <c r="F104" s="66" t="s">
        <v>802</v>
      </c>
      <c r="G104" s="65" t="s">
        <v>812</v>
      </c>
      <c r="H104" s="66" t="s">
        <v>811</v>
      </c>
      <c r="I104" s="65" t="s">
        <v>810</v>
      </c>
      <c r="J104" s="65" t="s">
        <v>809</v>
      </c>
      <c r="K104" s="72" t="s">
        <v>205</v>
      </c>
      <c r="L104" s="72" t="s">
        <v>32</v>
      </c>
      <c r="M104" s="58">
        <f>VLOOKUP(L104,코드!$B$3:$C$29,2,FALSE)</f>
        <v>1315903</v>
      </c>
      <c r="N104" s="72" t="s">
        <v>276</v>
      </c>
      <c r="O104" s="79" t="s">
        <v>808</v>
      </c>
      <c r="P104" s="75">
        <v>2000000</v>
      </c>
      <c r="Q104" s="75">
        <v>1</v>
      </c>
      <c r="R104" s="75">
        <v>1</v>
      </c>
      <c r="S104" s="76">
        <v>1000000</v>
      </c>
      <c r="T104" s="75"/>
      <c r="U104" s="78">
        <v>1000000</v>
      </c>
      <c r="V104" s="71" t="s">
        <v>127</v>
      </c>
      <c r="W104" s="60">
        <f t="shared" si="6"/>
        <v>1</v>
      </c>
      <c r="X104" s="46"/>
      <c r="Y104" s="74"/>
      <c r="Z104" s="46"/>
      <c r="AD104" s="46"/>
      <c r="AE104" s="46"/>
    </row>
    <row r="105" spans="1:31" s="59" customFormat="1" ht="17.25" customHeight="1">
      <c r="A105" s="59" t="s">
        <v>257</v>
      </c>
      <c r="B105" s="72" t="s">
        <v>715</v>
      </c>
      <c r="C105" s="155" t="s">
        <v>247</v>
      </c>
      <c r="D105" s="58" t="str">
        <f>VLOOKUP(C105,코드!$E$3:$F$30,2,FALSE)</f>
        <v>8711</v>
      </c>
      <c r="E105" s="58" t="str">
        <f t="shared" si="5"/>
        <v>[B-2]</v>
      </c>
      <c r="F105" s="66" t="s">
        <v>802</v>
      </c>
      <c r="G105" s="65" t="s">
        <v>801</v>
      </c>
      <c r="H105" s="66" t="s">
        <v>807</v>
      </c>
      <c r="I105" s="65" t="s">
        <v>806</v>
      </c>
      <c r="J105" s="65" t="s">
        <v>805</v>
      </c>
      <c r="K105" s="72" t="s">
        <v>41</v>
      </c>
      <c r="L105" s="72" t="s">
        <v>33</v>
      </c>
      <c r="M105" s="58">
        <f>VLOOKUP(L105,코드!$B$3:$C$29,2,FALSE)</f>
        <v>1314903</v>
      </c>
      <c r="N105" s="72" t="s">
        <v>804</v>
      </c>
      <c r="O105" s="79" t="s">
        <v>803</v>
      </c>
      <c r="P105" s="75">
        <v>4000000</v>
      </c>
      <c r="Q105" s="75">
        <v>1</v>
      </c>
      <c r="R105" s="75">
        <v>1</v>
      </c>
      <c r="S105" s="76">
        <v>0</v>
      </c>
      <c r="T105" s="75"/>
      <c r="U105" s="78">
        <v>0</v>
      </c>
      <c r="V105" s="71"/>
      <c r="W105" s="60" t="e">
        <f t="shared" si="6"/>
        <v>#DIV/0!</v>
      </c>
      <c r="X105" s="46"/>
      <c r="Y105" s="74"/>
      <c r="Z105" s="46"/>
      <c r="AD105" s="46"/>
      <c r="AE105" s="46"/>
    </row>
    <row r="106" spans="1:31" s="59" customFormat="1" ht="17.25" customHeight="1">
      <c r="A106" s="59" t="s">
        <v>257</v>
      </c>
      <c r="B106" s="72" t="s">
        <v>715</v>
      </c>
      <c r="C106" s="155" t="s">
        <v>247</v>
      </c>
      <c r="D106" s="58" t="str">
        <f>VLOOKUP(C106,코드!$E$3:$F$30,2,FALSE)</f>
        <v>8711</v>
      </c>
      <c r="E106" s="58" t="str">
        <f t="shared" si="5"/>
        <v>[B-2]</v>
      </c>
      <c r="F106" s="66" t="s">
        <v>802</v>
      </c>
      <c r="G106" s="65" t="s">
        <v>801</v>
      </c>
      <c r="H106" s="66" t="s">
        <v>800</v>
      </c>
      <c r="I106" s="65" t="s">
        <v>799</v>
      </c>
      <c r="J106" s="65" t="s">
        <v>798</v>
      </c>
      <c r="K106" s="72" t="s">
        <v>130</v>
      </c>
      <c r="L106" s="72" t="s">
        <v>17</v>
      </c>
      <c r="M106" s="58">
        <f>VLOOKUP(L106,코드!$B$3:$C$29,2,FALSE)</f>
        <v>4241130</v>
      </c>
      <c r="N106" s="72" t="s">
        <v>262</v>
      </c>
      <c r="O106" s="79" t="s">
        <v>797</v>
      </c>
      <c r="P106" s="75">
        <v>40000</v>
      </c>
      <c r="Q106" s="75">
        <v>1</v>
      </c>
      <c r="R106" s="75">
        <v>12</v>
      </c>
      <c r="S106" s="64">
        <v>480000</v>
      </c>
      <c r="T106" s="63"/>
      <c r="U106" s="78">
        <v>480000</v>
      </c>
      <c r="V106" s="61" t="s">
        <v>127</v>
      </c>
      <c r="W106" s="60">
        <f t="shared" si="6"/>
        <v>1</v>
      </c>
      <c r="X106" s="46"/>
      <c r="Y106" s="74"/>
      <c r="Z106" s="46"/>
      <c r="AD106" s="46"/>
      <c r="AE106" s="46"/>
    </row>
    <row r="107" spans="1:31" s="5" customFormat="1" ht="17.25" customHeight="1">
      <c r="A107" s="59" t="s">
        <v>257</v>
      </c>
      <c r="B107" s="58" t="s">
        <v>715</v>
      </c>
      <c r="C107" s="65" t="s">
        <v>714</v>
      </c>
      <c r="D107" s="58" t="str">
        <f>VLOOKUP(C107,코드!$E$3:$F$30,2,FALSE)</f>
        <v>8647</v>
      </c>
      <c r="E107" s="58" t="str">
        <f t="shared" si="5"/>
        <v>[B-3]</v>
      </c>
      <c r="F107" s="65" t="s">
        <v>713</v>
      </c>
      <c r="G107" s="65" t="s">
        <v>786</v>
      </c>
      <c r="H107" s="66" t="s">
        <v>789</v>
      </c>
      <c r="I107" s="70" t="s">
        <v>470</v>
      </c>
      <c r="J107" s="70" t="s">
        <v>796</v>
      </c>
      <c r="K107" s="69" t="s">
        <v>84</v>
      </c>
      <c r="L107" s="68" t="s">
        <v>97</v>
      </c>
      <c r="M107" s="68">
        <f>VLOOKUP(L107,코드!$B$3:$C$29,2,FALSE)</f>
        <v>4125101</v>
      </c>
      <c r="N107" s="69" t="s">
        <v>96</v>
      </c>
      <c r="O107" s="68" t="s">
        <v>68</v>
      </c>
      <c r="P107" s="63"/>
      <c r="Q107" s="63"/>
      <c r="R107" s="63"/>
      <c r="S107" s="64">
        <v>31200000</v>
      </c>
      <c r="T107" s="63"/>
      <c r="U107" s="63">
        <v>31200000</v>
      </c>
      <c r="V107" s="61" t="s">
        <v>67</v>
      </c>
      <c r="W107" s="60">
        <f t="shared" si="6"/>
        <v>1</v>
      </c>
      <c r="Y107" s="6"/>
    </row>
    <row r="108" spans="1:31" s="5" customFormat="1" ht="17.25" customHeight="1">
      <c r="A108" s="59" t="s">
        <v>257</v>
      </c>
      <c r="B108" s="58" t="s">
        <v>715</v>
      </c>
      <c r="C108" s="65" t="s">
        <v>714</v>
      </c>
      <c r="D108" s="58" t="str">
        <f>VLOOKUP(C108,코드!$E$3:$F$30,2,FALSE)</f>
        <v>8647</v>
      </c>
      <c r="E108" s="58" t="str">
        <f t="shared" si="5"/>
        <v>[B-3]</v>
      </c>
      <c r="F108" s="65" t="s">
        <v>713</v>
      </c>
      <c r="G108" s="65" t="s">
        <v>786</v>
      </c>
      <c r="H108" s="66" t="s">
        <v>789</v>
      </c>
      <c r="I108" s="65" t="s">
        <v>794</v>
      </c>
      <c r="J108" s="65" t="s">
        <v>723</v>
      </c>
      <c r="K108" s="58" t="s">
        <v>130</v>
      </c>
      <c r="L108" s="58" t="s">
        <v>17</v>
      </c>
      <c r="M108" s="58">
        <f>VLOOKUP(L108,코드!$B$3:$C$29,2,FALSE)</f>
        <v>4241130</v>
      </c>
      <c r="N108" s="58" t="s">
        <v>129</v>
      </c>
      <c r="O108" s="79" t="s">
        <v>708</v>
      </c>
      <c r="P108" s="63">
        <v>30000</v>
      </c>
      <c r="Q108" s="63">
        <v>7</v>
      </c>
      <c r="R108" s="63">
        <v>2</v>
      </c>
      <c r="S108" s="64">
        <v>420000</v>
      </c>
      <c r="T108" s="63"/>
      <c r="U108" s="165">
        <v>420000</v>
      </c>
      <c r="V108" s="61" t="s">
        <v>316</v>
      </c>
      <c r="W108" s="60">
        <f t="shared" si="6"/>
        <v>1</v>
      </c>
      <c r="Y108" s="6"/>
    </row>
    <row r="109" spans="1:31" s="5" customFormat="1" ht="17.25" customHeight="1">
      <c r="A109" s="59" t="s">
        <v>257</v>
      </c>
      <c r="B109" s="58" t="s">
        <v>715</v>
      </c>
      <c r="C109" s="65" t="s">
        <v>714</v>
      </c>
      <c r="D109" s="58" t="str">
        <f>VLOOKUP(C109,코드!$E$3:$F$30,2,FALSE)</f>
        <v>8647</v>
      </c>
      <c r="E109" s="58" t="str">
        <f t="shared" si="5"/>
        <v>[B-3]</v>
      </c>
      <c r="F109" s="65" t="s">
        <v>713</v>
      </c>
      <c r="G109" s="65" t="s">
        <v>786</v>
      </c>
      <c r="H109" s="66" t="s">
        <v>789</v>
      </c>
      <c r="I109" s="65" t="s">
        <v>794</v>
      </c>
      <c r="J109" s="65" t="s">
        <v>795</v>
      </c>
      <c r="K109" s="58" t="s">
        <v>130</v>
      </c>
      <c r="L109" s="58" t="s">
        <v>17</v>
      </c>
      <c r="M109" s="58">
        <f>VLOOKUP(L109,코드!$B$3:$C$29,2,FALSE)</f>
        <v>4241130</v>
      </c>
      <c r="N109" s="58" t="s">
        <v>217</v>
      </c>
      <c r="O109" s="79" t="s">
        <v>708</v>
      </c>
      <c r="P109" s="63">
        <v>40000</v>
      </c>
      <c r="Q109" s="63">
        <v>30</v>
      </c>
      <c r="R109" s="63">
        <v>2</v>
      </c>
      <c r="S109" s="64">
        <v>2400000</v>
      </c>
      <c r="T109" s="63"/>
      <c r="U109" s="165">
        <v>2400000</v>
      </c>
      <c r="V109" s="61" t="s">
        <v>316</v>
      </c>
      <c r="W109" s="60">
        <f t="shared" si="6"/>
        <v>1</v>
      </c>
      <c r="Y109" s="6"/>
    </row>
    <row r="110" spans="1:31" s="5" customFormat="1" ht="17.25" customHeight="1">
      <c r="A110" s="59" t="s">
        <v>257</v>
      </c>
      <c r="B110" s="58" t="s">
        <v>715</v>
      </c>
      <c r="C110" s="65" t="s">
        <v>714</v>
      </c>
      <c r="D110" s="58" t="str">
        <f>VLOOKUP(C110,코드!$E$3:$F$30,2,FALSE)</f>
        <v>8647</v>
      </c>
      <c r="E110" s="58" t="str">
        <f t="shared" si="5"/>
        <v>[B-3]</v>
      </c>
      <c r="F110" s="65" t="s">
        <v>713</v>
      </c>
      <c r="G110" s="65" t="s">
        <v>786</v>
      </c>
      <c r="H110" s="66" t="s">
        <v>789</v>
      </c>
      <c r="I110" s="65" t="s">
        <v>794</v>
      </c>
      <c r="J110" s="65" t="s">
        <v>215</v>
      </c>
      <c r="K110" s="58" t="s">
        <v>130</v>
      </c>
      <c r="L110" s="58" t="s">
        <v>17</v>
      </c>
      <c r="M110" s="58">
        <f>VLOOKUP(L110,코드!$B$3:$C$29,2,FALSE)</f>
        <v>4241130</v>
      </c>
      <c r="N110" s="58" t="s">
        <v>129</v>
      </c>
      <c r="O110" s="79" t="s">
        <v>708</v>
      </c>
      <c r="P110" s="63">
        <v>350000</v>
      </c>
      <c r="Q110" s="63">
        <v>1</v>
      </c>
      <c r="R110" s="63">
        <v>2</v>
      </c>
      <c r="S110" s="64">
        <v>700000</v>
      </c>
      <c r="T110" s="63"/>
      <c r="U110" s="165">
        <v>700000</v>
      </c>
      <c r="V110" s="61" t="s">
        <v>316</v>
      </c>
      <c r="W110" s="60">
        <f t="shared" si="6"/>
        <v>1</v>
      </c>
      <c r="Y110" s="6"/>
    </row>
    <row r="111" spans="1:31" s="5" customFormat="1" ht="17.25" customHeight="1">
      <c r="A111" s="59" t="s">
        <v>257</v>
      </c>
      <c r="B111" s="58" t="s">
        <v>715</v>
      </c>
      <c r="C111" s="65" t="s">
        <v>714</v>
      </c>
      <c r="D111" s="58" t="str">
        <f>VLOOKUP(C111,코드!$E$3:$F$30,2,FALSE)</f>
        <v>8647</v>
      </c>
      <c r="E111" s="58" t="str">
        <f t="shared" si="5"/>
        <v>[B-3]</v>
      </c>
      <c r="F111" s="65" t="s">
        <v>713</v>
      </c>
      <c r="G111" s="65" t="s">
        <v>786</v>
      </c>
      <c r="H111" s="66" t="s">
        <v>789</v>
      </c>
      <c r="I111" s="65" t="s">
        <v>791</v>
      </c>
      <c r="J111" s="65" t="s">
        <v>723</v>
      </c>
      <c r="K111" s="58" t="s">
        <v>130</v>
      </c>
      <c r="L111" s="58" t="s">
        <v>17</v>
      </c>
      <c r="M111" s="58">
        <f>VLOOKUP(L111,코드!$B$3:$C$29,2,FALSE)</f>
        <v>4241130</v>
      </c>
      <c r="N111" s="58" t="s">
        <v>129</v>
      </c>
      <c r="O111" s="79" t="s">
        <v>708</v>
      </c>
      <c r="P111" s="63">
        <v>30000</v>
      </c>
      <c r="Q111" s="63">
        <v>7</v>
      </c>
      <c r="R111" s="63">
        <v>2</v>
      </c>
      <c r="S111" s="64">
        <v>420000</v>
      </c>
      <c r="T111" s="63"/>
      <c r="U111" s="165">
        <v>420000</v>
      </c>
      <c r="V111" s="61" t="s">
        <v>127</v>
      </c>
      <c r="W111" s="60">
        <f t="shared" si="6"/>
        <v>1</v>
      </c>
      <c r="Y111" s="6"/>
    </row>
    <row r="112" spans="1:31" s="5" customFormat="1" ht="17.25" customHeight="1">
      <c r="A112" s="59" t="s">
        <v>257</v>
      </c>
      <c r="B112" s="58" t="s">
        <v>715</v>
      </c>
      <c r="C112" s="65" t="s">
        <v>714</v>
      </c>
      <c r="D112" s="58" t="str">
        <f>VLOOKUP(C112,코드!$E$3:$F$30,2,FALSE)</f>
        <v>8647</v>
      </c>
      <c r="E112" s="58" t="str">
        <f t="shared" si="5"/>
        <v>[B-3]</v>
      </c>
      <c r="F112" s="65" t="s">
        <v>713</v>
      </c>
      <c r="G112" s="65" t="s">
        <v>786</v>
      </c>
      <c r="H112" s="66" t="s">
        <v>789</v>
      </c>
      <c r="I112" s="65" t="s">
        <v>791</v>
      </c>
      <c r="J112" s="65" t="s">
        <v>793</v>
      </c>
      <c r="K112" s="58" t="s">
        <v>130</v>
      </c>
      <c r="L112" s="58" t="s">
        <v>17</v>
      </c>
      <c r="M112" s="58">
        <f>VLOOKUP(L112,코드!$B$3:$C$29,2,FALSE)</f>
        <v>4241130</v>
      </c>
      <c r="N112" s="58" t="s">
        <v>120</v>
      </c>
      <c r="O112" s="79" t="s">
        <v>708</v>
      </c>
      <c r="P112" s="63">
        <v>30000</v>
      </c>
      <c r="Q112" s="63">
        <v>10</v>
      </c>
      <c r="R112" s="63">
        <v>1</v>
      </c>
      <c r="S112" s="64">
        <v>300000</v>
      </c>
      <c r="T112" s="63"/>
      <c r="U112" s="165">
        <v>300000</v>
      </c>
      <c r="V112" s="61" t="s">
        <v>127</v>
      </c>
      <c r="W112" s="60">
        <f t="shared" si="6"/>
        <v>1</v>
      </c>
      <c r="Y112" s="6"/>
    </row>
    <row r="113" spans="1:31" s="5" customFormat="1" ht="17.25" customHeight="1">
      <c r="A113" s="59" t="s">
        <v>257</v>
      </c>
      <c r="B113" s="58" t="s">
        <v>715</v>
      </c>
      <c r="C113" s="65" t="s">
        <v>714</v>
      </c>
      <c r="D113" s="58" t="str">
        <f>VLOOKUP(C113,코드!$E$3:$F$30,2,FALSE)</f>
        <v>8647</v>
      </c>
      <c r="E113" s="58" t="str">
        <f t="shared" si="5"/>
        <v>[B-3]</v>
      </c>
      <c r="F113" s="65" t="s">
        <v>713</v>
      </c>
      <c r="G113" s="65" t="s">
        <v>786</v>
      </c>
      <c r="H113" s="66" t="s">
        <v>789</v>
      </c>
      <c r="I113" s="65" t="s">
        <v>791</v>
      </c>
      <c r="J113" s="65" t="s">
        <v>792</v>
      </c>
      <c r="K113" s="58" t="s">
        <v>130</v>
      </c>
      <c r="L113" s="58" t="s">
        <v>17</v>
      </c>
      <c r="M113" s="58">
        <f>VLOOKUP(L113,코드!$B$3:$C$29,2,FALSE)</f>
        <v>4241130</v>
      </c>
      <c r="N113" s="58" t="s">
        <v>217</v>
      </c>
      <c r="O113" s="79" t="s">
        <v>708</v>
      </c>
      <c r="P113" s="63">
        <v>40000</v>
      </c>
      <c r="Q113" s="63">
        <v>50</v>
      </c>
      <c r="R113" s="63">
        <v>1</v>
      </c>
      <c r="S113" s="64">
        <v>2000000</v>
      </c>
      <c r="T113" s="63"/>
      <c r="U113" s="165">
        <v>2000000</v>
      </c>
      <c r="V113" s="61" t="s">
        <v>127</v>
      </c>
      <c r="W113" s="60">
        <f t="shared" si="6"/>
        <v>1</v>
      </c>
      <c r="Y113" s="6"/>
    </row>
    <row r="114" spans="1:31" s="5" customFormat="1" ht="17.25" customHeight="1">
      <c r="A114" s="59" t="s">
        <v>257</v>
      </c>
      <c r="B114" s="58" t="s">
        <v>715</v>
      </c>
      <c r="C114" s="65" t="s">
        <v>714</v>
      </c>
      <c r="D114" s="58" t="str">
        <f>VLOOKUP(C114,코드!$E$3:$F$30,2,FALSE)</f>
        <v>8647</v>
      </c>
      <c r="E114" s="58" t="str">
        <f t="shared" si="5"/>
        <v>[B-3]</v>
      </c>
      <c r="F114" s="65" t="s">
        <v>713</v>
      </c>
      <c r="G114" s="65" t="s">
        <v>786</v>
      </c>
      <c r="H114" s="66" t="s">
        <v>789</v>
      </c>
      <c r="I114" s="65" t="s">
        <v>791</v>
      </c>
      <c r="J114" s="65" t="s">
        <v>790</v>
      </c>
      <c r="K114" s="58" t="s">
        <v>130</v>
      </c>
      <c r="L114" s="58" t="s">
        <v>17</v>
      </c>
      <c r="M114" s="58">
        <f>VLOOKUP(L114,코드!$B$3:$C$29,2,FALSE)</f>
        <v>4241130</v>
      </c>
      <c r="N114" s="58" t="s">
        <v>129</v>
      </c>
      <c r="O114" s="79" t="s">
        <v>708</v>
      </c>
      <c r="P114" s="63">
        <v>1500000</v>
      </c>
      <c r="Q114" s="63">
        <v>1</v>
      </c>
      <c r="R114" s="63">
        <v>1</v>
      </c>
      <c r="S114" s="64">
        <v>1500000</v>
      </c>
      <c r="T114" s="63"/>
      <c r="U114" s="165">
        <v>1500000</v>
      </c>
      <c r="V114" s="61" t="s">
        <v>127</v>
      </c>
      <c r="W114" s="60">
        <f t="shared" si="6"/>
        <v>1</v>
      </c>
      <c r="Y114" s="6"/>
    </row>
    <row r="115" spans="1:31" s="5" customFormat="1" ht="17.25" customHeight="1">
      <c r="A115" s="59" t="s">
        <v>257</v>
      </c>
      <c r="B115" s="58" t="s">
        <v>715</v>
      </c>
      <c r="C115" s="65" t="s">
        <v>714</v>
      </c>
      <c r="D115" s="58" t="str">
        <f>VLOOKUP(C115,코드!$E$3:$F$30,2,FALSE)</f>
        <v>8647</v>
      </c>
      <c r="E115" s="58" t="str">
        <f t="shared" si="5"/>
        <v>[B-3]</v>
      </c>
      <c r="F115" s="65" t="s">
        <v>713</v>
      </c>
      <c r="G115" s="65" t="s">
        <v>786</v>
      </c>
      <c r="H115" s="66" t="s">
        <v>789</v>
      </c>
      <c r="I115" s="65" t="s">
        <v>788</v>
      </c>
      <c r="J115" s="65" t="s">
        <v>787</v>
      </c>
      <c r="K115" s="58" t="s">
        <v>130</v>
      </c>
      <c r="L115" s="58" t="s">
        <v>17</v>
      </c>
      <c r="M115" s="58">
        <f>VLOOKUP(L115,코드!$B$3:$C$29,2,FALSE)</f>
        <v>4241130</v>
      </c>
      <c r="N115" s="58" t="s">
        <v>129</v>
      </c>
      <c r="O115" s="79" t="s">
        <v>708</v>
      </c>
      <c r="P115" s="63">
        <v>20000</v>
      </c>
      <c r="Q115" s="63">
        <v>10</v>
      </c>
      <c r="R115" s="63">
        <v>4</v>
      </c>
      <c r="S115" s="64">
        <v>800000</v>
      </c>
      <c r="T115" s="63"/>
      <c r="U115" s="82">
        <f t="shared" ref="U115:U125" si="7">S115</f>
        <v>800000</v>
      </c>
      <c r="V115" s="87" t="s">
        <v>153</v>
      </c>
      <c r="W115" s="60">
        <f t="shared" si="6"/>
        <v>1</v>
      </c>
      <c r="Y115" s="6"/>
    </row>
    <row r="116" spans="1:31" s="5" customFormat="1" ht="17.25" customHeight="1">
      <c r="A116" s="59" t="s">
        <v>257</v>
      </c>
      <c r="B116" s="58" t="s">
        <v>715</v>
      </c>
      <c r="C116" s="65" t="s">
        <v>714</v>
      </c>
      <c r="D116" s="58" t="str">
        <f>VLOOKUP(C116,코드!$E$3:$F$30,2,FALSE)</f>
        <v>8647</v>
      </c>
      <c r="E116" s="58" t="str">
        <f t="shared" si="5"/>
        <v>[B-3]</v>
      </c>
      <c r="F116" s="65" t="s">
        <v>713</v>
      </c>
      <c r="G116" s="65" t="s">
        <v>786</v>
      </c>
      <c r="H116" s="66" t="s">
        <v>785</v>
      </c>
      <c r="I116" s="65" t="s">
        <v>784</v>
      </c>
      <c r="J116" s="65" t="s">
        <v>783</v>
      </c>
      <c r="K116" s="58" t="s">
        <v>130</v>
      </c>
      <c r="L116" s="58" t="s">
        <v>17</v>
      </c>
      <c r="M116" s="58">
        <f>VLOOKUP(L116,코드!$B$3:$C$29,2,FALSE)</f>
        <v>4241130</v>
      </c>
      <c r="N116" s="58" t="s">
        <v>107</v>
      </c>
      <c r="O116" s="79" t="s">
        <v>708</v>
      </c>
      <c r="P116" s="63">
        <v>450000</v>
      </c>
      <c r="Q116" s="63">
        <v>1</v>
      </c>
      <c r="R116" s="63">
        <v>2</v>
      </c>
      <c r="S116" s="64">
        <v>900000</v>
      </c>
      <c r="T116" s="63"/>
      <c r="U116" s="82">
        <f t="shared" si="7"/>
        <v>900000</v>
      </c>
      <c r="V116" s="87" t="s">
        <v>153</v>
      </c>
      <c r="W116" s="60">
        <f t="shared" si="6"/>
        <v>1</v>
      </c>
      <c r="Y116" s="6"/>
    </row>
    <row r="117" spans="1:31" s="5" customFormat="1" ht="17.25" customHeight="1">
      <c r="A117" s="59" t="s">
        <v>257</v>
      </c>
      <c r="B117" s="58" t="s">
        <v>715</v>
      </c>
      <c r="C117" s="65" t="s">
        <v>714</v>
      </c>
      <c r="D117" s="58" t="str">
        <f>VLOOKUP(C117,코드!$E$3:$F$30,2,FALSE)</f>
        <v>8647</v>
      </c>
      <c r="E117" s="58" t="str">
        <f t="shared" si="5"/>
        <v>[B-3]</v>
      </c>
      <c r="F117" s="65" t="s">
        <v>713</v>
      </c>
      <c r="G117" s="65" t="s">
        <v>749</v>
      </c>
      <c r="H117" s="66" t="s">
        <v>768</v>
      </c>
      <c r="I117" s="65" t="s">
        <v>781</v>
      </c>
      <c r="J117" s="65" t="s">
        <v>782</v>
      </c>
      <c r="K117" s="58" t="s">
        <v>130</v>
      </c>
      <c r="L117" s="58" t="s">
        <v>17</v>
      </c>
      <c r="M117" s="58">
        <f>VLOOKUP(L117,코드!$B$3:$C$29,2,FALSE)</f>
        <v>4241130</v>
      </c>
      <c r="N117" s="58" t="s">
        <v>107</v>
      </c>
      <c r="O117" s="79" t="s">
        <v>708</v>
      </c>
      <c r="P117" s="63">
        <v>600000</v>
      </c>
      <c r="Q117" s="63">
        <v>2</v>
      </c>
      <c r="R117" s="63">
        <v>1</v>
      </c>
      <c r="S117" s="64">
        <v>1200000</v>
      </c>
      <c r="T117" s="63"/>
      <c r="U117" s="82">
        <f t="shared" si="7"/>
        <v>1200000</v>
      </c>
      <c r="V117" s="87" t="s">
        <v>153</v>
      </c>
      <c r="W117" s="60">
        <f t="shared" si="6"/>
        <v>1</v>
      </c>
      <c r="Y117" s="6"/>
    </row>
    <row r="118" spans="1:31" s="5" customFormat="1" ht="17.25" customHeight="1">
      <c r="A118" s="59" t="s">
        <v>257</v>
      </c>
      <c r="B118" s="58" t="s">
        <v>715</v>
      </c>
      <c r="C118" s="65" t="s">
        <v>714</v>
      </c>
      <c r="D118" s="58" t="str">
        <f>VLOOKUP(C118,코드!$E$3:$F$30,2,FALSE)</f>
        <v>8647</v>
      </c>
      <c r="E118" s="58" t="str">
        <f t="shared" si="5"/>
        <v>[B-3]</v>
      </c>
      <c r="F118" s="65" t="s">
        <v>713</v>
      </c>
      <c r="G118" s="65" t="s">
        <v>749</v>
      </c>
      <c r="H118" s="66" t="s">
        <v>768</v>
      </c>
      <c r="I118" s="65" t="s">
        <v>781</v>
      </c>
      <c r="J118" s="65" t="s">
        <v>780</v>
      </c>
      <c r="K118" s="58" t="s">
        <v>130</v>
      </c>
      <c r="L118" s="58" t="s">
        <v>17</v>
      </c>
      <c r="M118" s="58">
        <f>VLOOKUP(L118,코드!$B$3:$C$29,2,FALSE)</f>
        <v>4241130</v>
      </c>
      <c r="N118" s="58" t="s">
        <v>120</v>
      </c>
      <c r="O118" s="79" t="s">
        <v>708</v>
      </c>
      <c r="P118" s="63">
        <v>30000</v>
      </c>
      <c r="Q118" s="63">
        <v>12</v>
      </c>
      <c r="R118" s="63">
        <v>2</v>
      </c>
      <c r="S118" s="64">
        <v>720000</v>
      </c>
      <c r="T118" s="63"/>
      <c r="U118" s="82">
        <f t="shared" si="7"/>
        <v>720000</v>
      </c>
      <c r="V118" s="87" t="s">
        <v>153</v>
      </c>
      <c r="W118" s="60">
        <f t="shared" si="6"/>
        <v>1</v>
      </c>
      <c r="Y118" s="6"/>
    </row>
    <row r="119" spans="1:31" s="5" customFormat="1" ht="17.25" customHeight="1">
      <c r="A119" s="59" t="s">
        <v>257</v>
      </c>
      <c r="B119" s="58" t="s">
        <v>715</v>
      </c>
      <c r="C119" s="65" t="s">
        <v>714</v>
      </c>
      <c r="D119" s="58" t="str">
        <f>VLOOKUP(C119,코드!$E$3:$F$30,2,FALSE)</f>
        <v>8647</v>
      </c>
      <c r="E119" s="58" t="str">
        <f t="shared" si="5"/>
        <v>[B-3]</v>
      </c>
      <c r="F119" s="65" t="s">
        <v>713</v>
      </c>
      <c r="G119" s="65" t="s">
        <v>749</v>
      </c>
      <c r="H119" s="66" t="s">
        <v>768</v>
      </c>
      <c r="I119" s="65" t="s">
        <v>779</v>
      </c>
      <c r="J119" s="65" t="s">
        <v>778</v>
      </c>
      <c r="K119" s="58" t="s">
        <v>130</v>
      </c>
      <c r="L119" s="58" t="s">
        <v>18</v>
      </c>
      <c r="M119" s="58">
        <f>VLOOKUP(L119,코드!$B$3:$C$29,2,FALSE)</f>
        <v>4233201</v>
      </c>
      <c r="N119" s="58" t="s">
        <v>178</v>
      </c>
      <c r="O119" s="79" t="s">
        <v>708</v>
      </c>
      <c r="P119" s="63">
        <v>60000000</v>
      </c>
      <c r="Q119" s="63">
        <v>1</v>
      </c>
      <c r="R119" s="63">
        <v>1</v>
      </c>
      <c r="S119" s="64">
        <v>60000000</v>
      </c>
      <c r="T119" s="63"/>
      <c r="U119" s="82">
        <f t="shared" si="7"/>
        <v>60000000</v>
      </c>
      <c r="V119" s="87" t="s">
        <v>153</v>
      </c>
      <c r="W119" s="60">
        <f t="shared" si="6"/>
        <v>1</v>
      </c>
      <c r="Y119" s="6"/>
    </row>
    <row r="120" spans="1:31" s="5" customFormat="1" ht="17.25" customHeight="1">
      <c r="A120" s="59" t="s">
        <v>257</v>
      </c>
      <c r="B120" s="58" t="s">
        <v>715</v>
      </c>
      <c r="C120" s="65" t="s">
        <v>714</v>
      </c>
      <c r="D120" s="58" t="str">
        <f>VLOOKUP(C120,코드!$E$3:$F$30,2,FALSE)</f>
        <v>8647</v>
      </c>
      <c r="E120" s="58" t="str">
        <f t="shared" si="5"/>
        <v>[B-3]</v>
      </c>
      <c r="F120" s="65" t="s">
        <v>713</v>
      </c>
      <c r="G120" s="65" t="s">
        <v>749</v>
      </c>
      <c r="H120" s="66" t="s">
        <v>768</v>
      </c>
      <c r="I120" s="65" t="s">
        <v>767</v>
      </c>
      <c r="J120" s="65" t="s">
        <v>777</v>
      </c>
      <c r="K120" s="58" t="s">
        <v>101</v>
      </c>
      <c r="L120" s="58" t="s">
        <v>15</v>
      </c>
      <c r="M120" s="58">
        <f>VLOOKUP(L120,코드!$B$3:$C$29,2,FALSE)</f>
        <v>4321701</v>
      </c>
      <c r="N120" s="58" t="s">
        <v>765</v>
      </c>
      <c r="O120" s="79" t="s">
        <v>776</v>
      </c>
      <c r="P120" s="63">
        <v>10320</v>
      </c>
      <c r="Q120" s="63">
        <v>1</v>
      </c>
      <c r="R120" s="63">
        <v>2336</v>
      </c>
      <c r="S120" s="64">
        <v>24107520</v>
      </c>
      <c r="T120" s="63"/>
      <c r="U120" s="82">
        <f t="shared" si="7"/>
        <v>24107520</v>
      </c>
      <c r="V120" s="87" t="s">
        <v>153</v>
      </c>
      <c r="W120" s="60">
        <f t="shared" si="6"/>
        <v>1</v>
      </c>
      <c r="Y120" s="6"/>
    </row>
    <row r="121" spans="1:31" s="5" customFormat="1" ht="17.25" customHeight="1">
      <c r="A121" s="59" t="s">
        <v>257</v>
      </c>
      <c r="B121" s="58" t="s">
        <v>715</v>
      </c>
      <c r="C121" s="65" t="s">
        <v>714</v>
      </c>
      <c r="D121" s="58" t="str">
        <f>VLOOKUP(C121,코드!$E$3:$F$30,2,FALSE)</f>
        <v>8647</v>
      </c>
      <c r="E121" s="58" t="str">
        <f t="shared" si="5"/>
        <v>[B-3]</v>
      </c>
      <c r="F121" s="65" t="s">
        <v>713</v>
      </c>
      <c r="G121" s="65" t="s">
        <v>749</v>
      </c>
      <c r="H121" s="66" t="s">
        <v>768</v>
      </c>
      <c r="I121" s="65" t="s">
        <v>767</v>
      </c>
      <c r="J121" s="65" t="s">
        <v>775</v>
      </c>
      <c r="K121" s="58" t="s">
        <v>130</v>
      </c>
      <c r="L121" s="58" t="s">
        <v>17</v>
      </c>
      <c r="M121" s="58">
        <f>VLOOKUP(L121,코드!$B$3:$C$29,2,FALSE)</f>
        <v>4241130</v>
      </c>
      <c r="N121" s="58" t="s">
        <v>120</v>
      </c>
      <c r="O121" s="79" t="s">
        <v>708</v>
      </c>
      <c r="P121" s="63">
        <v>1000</v>
      </c>
      <c r="Q121" s="63">
        <v>2000</v>
      </c>
      <c r="R121" s="63">
        <v>1</v>
      </c>
      <c r="S121" s="64">
        <v>2000000</v>
      </c>
      <c r="T121" s="63"/>
      <c r="U121" s="82">
        <f t="shared" si="7"/>
        <v>2000000</v>
      </c>
      <c r="V121" s="87" t="s">
        <v>153</v>
      </c>
      <c r="W121" s="60">
        <f t="shared" si="6"/>
        <v>1</v>
      </c>
      <c r="Y121" s="6"/>
    </row>
    <row r="122" spans="1:31" s="5" customFormat="1" ht="17.25" customHeight="1">
      <c r="A122" s="59" t="s">
        <v>257</v>
      </c>
      <c r="B122" s="58" t="s">
        <v>715</v>
      </c>
      <c r="C122" s="65" t="s">
        <v>714</v>
      </c>
      <c r="D122" s="58" t="str">
        <f>VLOOKUP(C122,코드!$E$3:$F$30,2,FALSE)</f>
        <v>8647</v>
      </c>
      <c r="E122" s="58" t="str">
        <f t="shared" si="5"/>
        <v>[B-3]</v>
      </c>
      <c r="F122" s="65" t="s">
        <v>713</v>
      </c>
      <c r="G122" s="65" t="s">
        <v>749</v>
      </c>
      <c r="H122" s="66" t="s">
        <v>768</v>
      </c>
      <c r="I122" s="65" t="s">
        <v>767</v>
      </c>
      <c r="J122" s="65" t="s">
        <v>774</v>
      </c>
      <c r="K122" s="58" t="s">
        <v>130</v>
      </c>
      <c r="L122" s="58" t="s">
        <v>17</v>
      </c>
      <c r="M122" s="58">
        <f>VLOOKUP(L122,코드!$B$3:$C$29,2,FALSE)</f>
        <v>4241130</v>
      </c>
      <c r="N122" s="58" t="s">
        <v>129</v>
      </c>
      <c r="O122" s="79" t="s">
        <v>708</v>
      </c>
      <c r="P122" s="63">
        <v>700</v>
      </c>
      <c r="Q122" s="63">
        <v>200</v>
      </c>
      <c r="R122" s="63">
        <v>12</v>
      </c>
      <c r="S122" s="64">
        <v>1680000</v>
      </c>
      <c r="T122" s="63"/>
      <c r="U122" s="82">
        <f t="shared" si="7"/>
        <v>1680000</v>
      </c>
      <c r="V122" s="87" t="s">
        <v>153</v>
      </c>
      <c r="W122" s="60">
        <f t="shared" si="6"/>
        <v>1</v>
      </c>
      <c r="Y122" s="6"/>
    </row>
    <row r="123" spans="1:31" s="6" customFormat="1" ht="17.25" customHeight="1">
      <c r="A123" s="59" t="s">
        <v>257</v>
      </c>
      <c r="B123" s="58" t="s">
        <v>715</v>
      </c>
      <c r="C123" s="65" t="s">
        <v>714</v>
      </c>
      <c r="D123" s="58" t="str">
        <f>VLOOKUP(C123,코드!$E$3:$F$30,2,FALSE)</f>
        <v>8647</v>
      </c>
      <c r="E123" s="58" t="str">
        <f t="shared" si="5"/>
        <v>[B-3]</v>
      </c>
      <c r="F123" s="65" t="s">
        <v>713</v>
      </c>
      <c r="G123" s="65" t="s">
        <v>749</v>
      </c>
      <c r="H123" s="66" t="s">
        <v>768</v>
      </c>
      <c r="I123" s="65" t="s">
        <v>767</v>
      </c>
      <c r="J123" s="65" t="s">
        <v>773</v>
      </c>
      <c r="K123" s="58" t="s">
        <v>130</v>
      </c>
      <c r="L123" s="58" t="s">
        <v>17</v>
      </c>
      <c r="M123" s="58">
        <f>VLOOKUP(L123,코드!$B$3:$C$29,2,FALSE)</f>
        <v>4241130</v>
      </c>
      <c r="N123" s="58" t="s">
        <v>129</v>
      </c>
      <c r="O123" s="79" t="s">
        <v>708</v>
      </c>
      <c r="P123" s="63">
        <v>3000000</v>
      </c>
      <c r="Q123" s="63">
        <v>1</v>
      </c>
      <c r="R123" s="63">
        <v>1</v>
      </c>
      <c r="S123" s="64">
        <v>3000000</v>
      </c>
      <c r="T123" s="63"/>
      <c r="U123" s="82">
        <f t="shared" si="7"/>
        <v>3000000</v>
      </c>
      <c r="V123" s="87" t="s">
        <v>153</v>
      </c>
      <c r="W123" s="60">
        <f t="shared" ref="W123:W154" si="8">U123/S123</f>
        <v>1</v>
      </c>
      <c r="X123" s="5"/>
      <c r="Z123" s="5"/>
      <c r="AD123" s="22"/>
      <c r="AE123" s="22"/>
    </row>
    <row r="124" spans="1:31" s="6" customFormat="1" ht="17.25" customHeight="1">
      <c r="A124" s="59" t="s">
        <v>257</v>
      </c>
      <c r="B124" s="58" t="s">
        <v>715</v>
      </c>
      <c r="C124" s="65" t="s">
        <v>714</v>
      </c>
      <c r="D124" s="58" t="str">
        <f>VLOOKUP(C124,코드!$E$3:$F$30,2,FALSE)</f>
        <v>8647</v>
      </c>
      <c r="E124" s="58" t="str">
        <f t="shared" si="5"/>
        <v>[B-3]</v>
      </c>
      <c r="F124" s="65" t="s">
        <v>713</v>
      </c>
      <c r="G124" s="65" t="s">
        <v>749</v>
      </c>
      <c r="H124" s="66" t="s">
        <v>768</v>
      </c>
      <c r="I124" s="65" t="s">
        <v>767</v>
      </c>
      <c r="J124" s="65" t="s">
        <v>772</v>
      </c>
      <c r="K124" s="58" t="s">
        <v>130</v>
      </c>
      <c r="L124" s="58" t="s">
        <v>17</v>
      </c>
      <c r="M124" s="58">
        <f>VLOOKUP(L124,코드!$B$3:$C$29,2,FALSE)</f>
        <v>4241130</v>
      </c>
      <c r="N124" s="58" t="s">
        <v>129</v>
      </c>
      <c r="O124" s="79" t="s">
        <v>708</v>
      </c>
      <c r="P124" s="63">
        <v>30000</v>
      </c>
      <c r="Q124" s="63">
        <v>8</v>
      </c>
      <c r="R124" s="63">
        <v>3</v>
      </c>
      <c r="S124" s="64">
        <v>720000</v>
      </c>
      <c r="T124" s="63"/>
      <c r="U124" s="82">
        <f t="shared" si="7"/>
        <v>720000</v>
      </c>
      <c r="V124" s="87" t="s">
        <v>153</v>
      </c>
      <c r="W124" s="60">
        <f t="shared" si="8"/>
        <v>1</v>
      </c>
      <c r="X124" s="5"/>
      <c r="Z124" s="5"/>
      <c r="AD124" s="22"/>
      <c r="AE124" s="22"/>
    </row>
    <row r="125" spans="1:31" s="6" customFormat="1" ht="17.25" customHeight="1">
      <c r="A125" s="59" t="s">
        <v>257</v>
      </c>
      <c r="B125" s="58" t="s">
        <v>715</v>
      </c>
      <c r="C125" s="65" t="s">
        <v>714</v>
      </c>
      <c r="D125" s="58" t="str">
        <f>VLOOKUP(C125,코드!$E$3:$F$30,2,FALSE)</f>
        <v>8647</v>
      </c>
      <c r="E125" s="58" t="str">
        <f t="shared" si="5"/>
        <v>[B-3]</v>
      </c>
      <c r="F125" s="65" t="s">
        <v>713</v>
      </c>
      <c r="G125" s="65" t="s">
        <v>749</v>
      </c>
      <c r="H125" s="66" t="s">
        <v>768</v>
      </c>
      <c r="I125" s="65" t="s">
        <v>767</v>
      </c>
      <c r="J125" s="65" t="s">
        <v>771</v>
      </c>
      <c r="K125" s="58" t="s">
        <v>205</v>
      </c>
      <c r="L125" s="58" t="s">
        <v>148</v>
      </c>
      <c r="M125" s="58">
        <f>VLOOKUP(L125,코드!$B$3:$C$29,2,FALSE)</f>
        <v>1314901</v>
      </c>
      <c r="N125" s="58" t="s">
        <v>770</v>
      </c>
      <c r="O125" s="79" t="s">
        <v>769</v>
      </c>
      <c r="P125" s="63">
        <v>2000000</v>
      </c>
      <c r="Q125" s="63">
        <v>2</v>
      </c>
      <c r="R125" s="63">
        <v>1</v>
      </c>
      <c r="S125" s="64">
        <v>4000000</v>
      </c>
      <c r="T125" s="63"/>
      <c r="U125" s="82">
        <f t="shared" si="7"/>
        <v>4000000</v>
      </c>
      <c r="V125" s="87" t="s">
        <v>153</v>
      </c>
      <c r="W125" s="60">
        <f t="shared" si="8"/>
        <v>1</v>
      </c>
      <c r="X125" s="5"/>
      <c r="Z125" s="5"/>
      <c r="AD125" s="22"/>
      <c r="AE125" s="22"/>
    </row>
    <row r="126" spans="1:31" s="6" customFormat="1" ht="17.25" customHeight="1">
      <c r="A126" s="59" t="s">
        <v>257</v>
      </c>
      <c r="B126" s="58" t="s">
        <v>715</v>
      </c>
      <c r="C126" s="65" t="s">
        <v>714</v>
      </c>
      <c r="D126" s="58" t="str">
        <f>VLOOKUP(C126,코드!$E$3:$F$30,2,FALSE)</f>
        <v>8647</v>
      </c>
      <c r="E126" s="58" t="str">
        <f t="shared" si="5"/>
        <v>[B-3]</v>
      </c>
      <c r="F126" s="65" t="s">
        <v>713</v>
      </c>
      <c r="G126" s="65" t="s">
        <v>749</v>
      </c>
      <c r="H126" s="66" t="s">
        <v>768</v>
      </c>
      <c r="I126" s="65" t="s">
        <v>767</v>
      </c>
      <c r="J126" s="65" t="s">
        <v>766</v>
      </c>
      <c r="K126" s="58" t="s">
        <v>101</v>
      </c>
      <c r="L126" s="58" t="s">
        <v>9</v>
      </c>
      <c r="M126" s="58">
        <f>VLOOKUP(L126,코드!$B$3:$C$29,2,FALSE)</f>
        <v>4321701</v>
      </c>
      <c r="N126" s="58" t="s">
        <v>765</v>
      </c>
      <c r="O126" s="79" t="s">
        <v>708</v>
      </c>
      <c r="P126" s="63">
        <v>4000000</v>
      </c>
      <c r="Q126" s="63">
        <v>1</v>
      </c>
      <c r="R126" s="63">
        <v>1</v>
      </c>
      <c r="S126" s="64">
        <v>4000000</v>
      </c>
      <c r="T126" s="63"/>
      <c r="U126" s="165">
        <v>4000000</v>
      </c>
      <c r="V126" s="61" t="s">
        <v>127</v>
      </c>
      <c r="W126" s="60">
        <f t="shared" si="8"/>
        <v>1</v>
      </c>
      <c r="X126" s="5"/>
      <c r="Z126" s="5"/>
      <c r="AD126" s="22"/>
      <c r="AE126" s="22"/>
    </row>
    <row r="127" spans="1:31" s="6" customFormat="1" ht="17.25" customHeight="1">
      <c r="A127" s="59" t="s">
        <v>257</v>
      </c>
      <c r="B127" s="58" t="s">
        <v>715</v>
      </c>
      <c r="C127" s="65" t="s">
        <v>714</v>
      </c>
      <c r="D127" s="58" t="str">
        <f>VLOOKUP(C127,코드!$E$3:$F$30,2,FALSE)</f>
        <v>8647</v>
      </c>
      <c r="E127" s="58" t="str">
        <f t="shared" si="5"/>
        <v>[B-3]</v>
      </c>
      <c r="F127" s="65" t="s">
        <v>713</v>
      </c>
      <c r="G127" s="65" t="s">
        <v>749</v>
      </c>
      <c r="H127" s="66" t="s">
        <v>748</v>
      </c>
      <c r="I127" s="65" t="s">
        <v>763</v>
      </c>
      <c r="J127" s="65" t="s">
        <v>764</v>
      </c>
      <c r="K127" s="58" t="s">
        <v>130</v>
      </c>
      <c r="L127" s="58" t="s">
        <v>17</v>
      </c>
      <c r="M127" s="58">
        <f>VLOOKUP(L127,코드!$B$3:$C$29,2,FALSE)</f>
        <v>4241130</v>
      </c>
      <c r="N127" s="58" t="s">
        <v>129</v>
      </c>
      <c r="O127" s="79" t="s">
        <v>708</v>
      </c>
      <c r="P127" s="63">
        <v>4500</v>
      </c>
      <c r="Q127" s="63">
        <v>100</v>
      </c>
      <c r="R127" s="63">
        <v>2</v>
      </c>
      <c r="S127" s="64">
        <v>900000</v>
      </c>
      <c r="T127" s="63"/>
      <c r="U127" s="82">
        <f>S127</f>
        <v>900000</v>
      </c>
      <c r="V127" s="87" t="s">
        <v>153</v>
      </c>
      <c r="W127" s="60">
        <f t="shared" si="8"/>
        <v>1</v>
      </c>
      <c r="X127" s="5"/>
      <c r="Z127" s="5"/>
      <c r="AD127" s="22"/>
      <c r="AE127" s="22"/>
    </row>
    <row r="128" spans="1:31" s="6" customFormat="1" ht="17.25" customHeight="1">
      <c r="A128" s="59" t="s">
        <v>257</v>
      </c>
      <c r="B128" s="58" t="s">
        <v>715</v>
      </c>
      <c r="C128" s="65" t="s">
        <v>714</v>
      </c>
      <c r="D128" s="58" t="str">
        <f>VLOOKUP(C128,코드!$E$3:$F$30,2,FALSE)</f>
        <v>8647</v>
      </c>
      <c r="E128" s="58" t="str">
        <f t="shared" si="5"/>
        <v>[B-3]</v>
      </c>
      <c r="F128" s="65" t="s">
        <v>713</v>
      </c>
      <c r="G128" s="65" t="s">
        <v>749</v>
      </c>
      <c r="H128" s="66" t="s">
        <v>748</v>
      </c>
      <c r="I128" s="65" t="s">
        <v>763</v>
      </c>
      <c r="J128" s="65" t="s">
        <v>709</v>
      </c>
      <c r="K128" s="58" t="s">
        <v>130</v>
      </c>
      <c r="L128" s="58" t="s">
        <v>17</v>
      </c>
      <c r="M128" s="58">
        <f>VLOOKUP(L128,코드!$B$3:$C$29,2,FALSE)</f>
        <v>4241130</v>
      </c>
      <c r="N128" s="58" t="s">
        <v>129</v>
      </c>
      <c r="O128" s="79" t="s">
        <v>708</v>
      </c>
      <c r="P128" s="63">
        <v>270000</v>
      </c>
      <c r="Q128" s="63">
        <v>1</v>
      </c>
      <c r="R128" s="63">
        <v>2</v>
      </c>
      <c r="S128" s="64">
        <v>540000</v>
      </c>
      <c r="T128" s="63"/>
      <c r="U128" s="82">
        <f>S128</f>
        <v>540000</v>
      </c>
      <c r="V128" s="87" t="s">
        <v>153</v>
      </c>
      <c r="W128" s="60">
        <f t="shared" si="8"/>
        <v>1</v>
      </c>
      <c r="X128" s="5"/>
      <c r="Z128" s="5"/>
      <c r="AD128" s="22"/>
      <c r="AE128" s="22"/>
    </row>
    <row r="129" spans="1:31" s="6" customFormat="1" ht="17.25" customHeight="1">
      <c r="A129" s="59" t="s">
        <v>257</v>
      </c>
      <c r="B129" s="58" t="s">
        <v>715</v>
      </c>
      <c r="C129" s="65" t="s">
        <v>714</v>
      </c>
      <c r="D129" s="58" t="str">
        <f>VLOOKUP(C129,코드!$E$3:$F$30,2,FALSE)</f>
        <v>8647</v>
      </c>
      <c r="E129" s="58" t="str">
        <f t="shared" si="5"/>
        <v>[B-3]</v>
      </c>
      <c r="F129" s="65" t="s">
        <v>713</v>
      </c>
      <c r="G129" s="65" t="s">
        <v>749</v>
      </c>
      <c r="H129" s="66" t="s">
        <v>748</v>
      </c>
      <c r="I129" s="65" t="s">
        <v>760</v>
      </c>
      <c r="J129" s="65" t="s">
        <v>753</v>
      </c>
      <c r="K129" s="58" t="s">
        <v>130</v>
      </c>
      <c r="L129" s="58" t="s">
        <v>17</v>
      </c>
      <c r="M129" s="58">
        <f>VLOOKUP(L129,코드!$B$3:$C$29,2,FALSE)</f>
        <v>4241130</v>
      </c>
      <c r="N129" s="58" t="s">
        <v>129</v>
      </c>
      <c r="O129" s="79" t="s">
        <v>708</v>
      </c>
      <c r="P129" s="63">
        <v>270000</v>
      </c>
      <c r="Q129" s="63">
        <v>1</v>
      </c>
      <c r="R129" s="63">
        <v>1</v>
      </c>
      <c r="S129" s="64">
        <v>270000</v>
      </c>
      <c r="T129" s="63"/>
      <c r="U129" s="165">
        <v>270000</v>
      </c>
      <c r="V129" s="61" t="s">
        <v>127</v>
      </c>
      <c r="W129" s="60">
        <f t="shared" si="8"/>
        <v>1</v>
      </c>
      <c r="X129" s="5"/>
      <c r="Z129" s="5"/>
      <c r="AD129" s="22"/>
      <c r="AE129" s="22"/>
    </row>
    <row r="130" spans="1:31" s="6" customFormat="1" ht="17.25" customHeight="1">
      <c r="A130" s="59" t="s">
        <v>257</v>
      </c>
      <c r="B130" s="58" t="s">
        <v>715</v>
      </c>
      <c r="C130" s="65" t="s">
        <v>714</v>
      </c>
      <c r="D130" s="58" t="str">
        <f>VLOOKUP(C130,코드!$E$3:$F$30,2,FALSE)</f>
        <v>8647</v>
      </c>
      <c r="E130" s="58" t="str">
        <f t="shared" si="5"/>
        <v>[B-3]</v>
      </c>
      <c r="F130" s="65" t="s">
        <v>713</v>
      </c>
      <c r="G130" s="65" t="s">
        <v>749</v>
      </c>
      <c r="H130" s="66" t="s">
        <v>748</v>
      </c>
      <c r="I130" s="65" t="s">
        <v>760</v>
      </c>
      <c r="J130" s="65" t="s">
        <v>718</v>
      </c>
      <c r="K130" s="58" t="s">
        <v>130</v>
      </c>
      <c r="L130" s="58" t="s">
        <v>17</v>
      </c>
      <c r="M130" s="58">
        <f>VLOOKUP(L130,코드!$B$3:$C$29,2,FALSE)</f>
        <v>4241130</v>
      </c>
      <c r="N130" s="58" t="s">
        <v>107</v>
      </c>
      <c r="O130" s="79" t="s">
        <v>708</v>
      </c>
      <c r="P130" s="63">
        <v>450000</v>
      </c>
      <c r="Q130" s="63">
        <v>1</v>
      </c>
      <c r="R130" s="63">
        <v>1</v>
      </c>
      <c r="S130" s="64">
        <v>450000</v>
      </c>
      <c r="T130" s="63"/>
      <c r="U130" s="165">
        <v>450000</v>
      </c>
      <c r="V130" s="61" t="s">
        <v>127</v>
      </c>
      <c r="W130" s="60">
        <f t="shared" si="8"/>
        <v>1</v>
      </c>
      <c r="X130" s="5"/>
      <c r="Z130" s="5"/>
      <c r="AD130" s="22"/>
      <c r="AE130" s="22"/>
    </row>
    <row r="131" spans="1:31" s="6" customFormat="1" ht="17.25" customHeight="1">
      <c r="A131" s="59" t="s">
        <v>257</v>
      </c>
      <c r="B131" s="58" t="s">
        <v>715</v>
      </c>
      <c r="C131" s="65" t="s">
        <v>714</v>
      </c>
      <c r="D131" s="58" t="str">
        <f>VLOOKUP(C131,코드!$E$3:$F$30,2,FALSE)</f>
        <v>8647</v>
      </c>
      <c r="E131" s="58" t="str">
        <f t="shared" ref="E131:E194" si="9">LEFT(F131, 5)</f>
        <v>[B-3]</v>
      </c>
      <c r="F131" s="65" t="s">
        <v>713</v>
      </c>
      <c r="G131" s="65" t="s">
        <v>749</v>
      </c>
      <c r="H131" s="66" t="s">
        <v>748</v>
      </c>
      <c r="I131" s="65" t="s">
        <v>760</v>
      </c>
      <c r="J131" s="65" t="s">
        <v>762</v>
      </c>
      <c r="K131" s="58" t="s">
        <v>130</v>
      </c>
      <c r="L131" s="58" t="s">
        <v>17</v>
      </c>
      <c r="M131" s="58">
        <f>VLOOKUP(L131,코드!$B$3:$C$29,2,FALSE)</f>
        <v>4241130</v>
      </c>
      <c r="N131" s="58" t="s">
        <v>120</v>
      </c>
      <c r="O131" s="79" t="s">
        <v>708</v>
      </c>
      <c r="P131" s="63">
        <v>15000</v>
      </c>
      <c r="Q131" s="63">
        <v>16</v>
      </c>
      <c r="R131" s="63">
        <v>1</v>
      </c>
      <c r="S131" s="64">
        <v>240000</v>
      </c>
      <c r="T131" s="63"/>
      <c r="U131" s="165">
        <v>240000</v>
      </c>
      <c r="V131" s="61" t="s">
        <v>127</v>
      </c>
      <c r="W131" s="60">
        <f t="shared" si="8"/>
        <v>1</v>
      </c>
      <c r="X131" s="5"/>
      <c r="Z131" s="5"/>
      <c r="AD131" s="22"/>
      <c r="AE131" s="22"/>
    </row>
    <row r="132" spans="1:31" s="6" customFormat="1" ht="17.25" customHeight="1">
      <c r="A132" s="59" t="s">
        <v>257</v>
      </c>
      <c r="B132" s="58" t="s">
        <v>715</v>
      </c>
      <c r="C132" s="65" t="s">
        <v>714</v>
      </c>
      <c r="D132" s="58" t="str">
        <f>VLOOKUP(C132,코드!$E$3:$F$30,2,FALSE)</f>
        <v>8647</v>
      </c>
      <c r="E132" s="58" t="str">
        <f t="shared" si="9"/>
        <v>[B-3]</v>
      </c>
      <c r="F132" s="65" t="s">
        <v>713</v>
      </c>
      <c r="G132" s="65" t="s">
        <v>749</v>
      </c>
      <c r="H132" s="66" t="s">
        <v>748</v>
      </c>
      <c r="I132" s="65" t="s">
        <v>760</v>
      </c>
      <c r="J132" s="65" t="s">
        <v>761</v>
      </c>
      <c r="K132" s="58" t="s">
        <v>130</v>
      </c>
      <c r="L132" s="58" t="s">
        <v>17</v>
      </c>
      <c r="M132" s="58">
        <f>VLOOKUP(L132,코드!$B$3:$C$29,2,FALSE)</f>
        <v>4241130</v>
      </c>
      <c r="N132" s="58" t="s">
        <v>129</v>
      </c>
      <c r="O132" s="79" t="s">
        <v>708</v>
      </c>
      <c r="P132" s="63">
        <v>100000</v>
      </c>
      <c r="Q132" s="63">
        <v>1</v>
      </c>
      <c r="R132" s="63">
        <v>1</v>
      </c>
      <c r="S132" s="64">
        <v>100000</v>
      </c>
      <c r="T132" s="63"/>
      <c r="U132" s="165">
        <v>100000</v>
      </c>
      <c r="V132" s="61" t="s">
        <v>127</v>
      </c>
      <c r="W132" s="60">
        <f t="shared" si="8"/>
        <v>1</v>
      </c>
      <c r="X132" s="5"/>
      <c r="Z132" s="5"/>
      <c r="AD132" s="22"/>
      <c r="AE132" s="22"/>
    </row>
    <row r="133" spans="1:31" s="6" customFormat="1" ht="17.25" customHeight="1">
      <c r="A133" s="59" t="s">
        <v>257</v>
      </c>
      <c r="B133" s="58" t="s">
        <v>715</v>
      </c>
      <c r="C133" s="65" t="s">
        <v>714</v>
      </c>
      <c r="D133" s="58" t="str">
        <f>VLOOKUP(C133,코드!$E$3:$F$30,2,FALSE)</f>
        <v>8647</v>
      </c>
      <c r="E133" s="58" t="str">
        <f t="shared" si="9"/>
        <v>[B-3]</v>
      </c>
      <c r="F133" s="65" t="s">
        <v>713</v>
      </c>
      <c r="G133" s="65" t="s">
        <v>749</v>
      </c>
      <c r="H133" s="66" t="s">
        <v>748</v>
      </c>
      <c r="I133" s="65" t="s">
        <v>760</v>
      </c>
      <c r="J133" s="65" t="s">
        <v>723</v>
      </c>
      <c r="K133" s="58" t="s">
        <v>130</v>
      </c>
      <c r="L133" s="58" t="s">
        <v>17</v>
      </c>
      <c r="M133" s="58">
        <f>VLOOKUP(L133,코드!$B$3:$C$29,2,FALSE)</f>
        <v>4241130</v>
      </c>
      <c r="N133" s="58" t="s">
        <v>129</v>
      </c>
      <c r="O133" s="79" t="s">
        <v>708</v>
      </c>
      <c r="P133" s="63">
        <v>30000</v>
      </c>
      <c r="Q133" s="63">
        <v>7</v>
      </c>
      <c r="R133" s="63">
        <v>2</v>
      </c>
      <c r="S133" s="64">
        <v>420000</v>
      </c>
      <c r="T133" s="63"/>
      <c r="U133" s="165">
        <v>420000</v>
      </c>
      <c r="V133" s="61" t="s">
        <v>127</v>
      </c>
      <c r="W133" s="60">
        <f t="shared" si="8"/>
        <v>1</v>
      </c>
      <c r="X133" s="5"/>
      <c r="Z133" s="5"/>
      <c r="AD133" s="22"/>
      <c r="AE133" s="22"/>
    </row>
    <row r="134" spans="1:31" s="6" customFormat="1" ht="17.25" customHeight="1">
      <c r="A134" s="59" t="s">
        <v>257</v>
      </c>
      <c r="B134" s="58" t="s">
        <v>715</v>
      </c>
      <c r="C134" s="65" t="s">
        <v>714</v>
      </c>
      <c r="D134" s="58" t="str">
        <f>VLOOKUP(C134,코드!$E$3:$F$30,2,FALSE)</f>
        <v>8647</v>
      </c>
      <c r="E134" s="58" t="str">
        <f t="shared" si="9"/>
        <v>[B-3]</v>
      </c>
      <c r="F134" s="65" t="s">
        <v>713</v>
      </c>
      <c r="G134" s="65" t="s">
        <v>749</v>
      </c>
      <c r="H134" s="66" t="s">
        <v>748</v>
      </c>
      <c r="I134" s="65" t="s">
        <v>758</v>
      </c>
      <c r="J134" s="65" t="s">
        <v>718</v>
      </c>
      <c r="K134" s="58" t="s">
        <v>130</v>
      </c>
      <c r="L134" s="58" t="s">
        <v>17</v>
      </c>
      <c r="M134" s="58">
        <f>VLOOKUP(L134,코드!$B$3:$C$29,2,FALSE)</f>
        <v>4241130</v>
      </c>
      <c r="N134" s="58" t="s">
        <v>107</v>
      </c>
      <c r="O134" s="79" t="s">
        <v>708</v>
      </c>
      <c r="P134" s="63">
        <v>450000</v>
      </c>
      <c r="Q134" s="63">
        <v>1</v>
      </c>
      <c r="R134" s="63">
        <v>1</v>
      </c>
      <c r="S134" s="64">
        <v>450000</v>
      </c>
      <c r="T134" s="63"/>
      <c r="U134" s="165">
        <v>450000</v>
      </c>
      <c r="V134" s="61" t="s">
        <v>316</v>
      </c>
      <c r="W134" s="60">
        <f t="shared" si="8"/>
        <v>1</v>
      </c>
      <c r="X134" s="5"/>
      <c r="Z134" s="5"/>
      <c r="AD134" s="22"/>
      <c r="AE134" s="22"/>
    </row>
    <row r="135" spans="1:31" s="6" customFormat="1" ht="17.25" customHeight="1">
      <c r="A135" s="59" t="s">
        <v>257</v>
      </c>
      <c r="B135" s="58" t="s">
        <v>715</v>
      </c>
      <c r="C135" s="65" t="s">
        <v>714</v>
      </c>
      <c r="D135" s="58" t="str">
        <f>VLOOKUP(C135,코드!$E$3:$F$30,2,FALSE)</f>
        <v>8647</v>
      </c>
      <c r="E135" s="58" t="str">
        <f t="shared" si="9"/>
        <v>[B-3]</v>
      </c>
      <c r="F135" s="65" t="s">
        <v>713</v>
      </c>
      <c r="G135" s="65" t="s">
        <v>749</v>
      </c>
      <c r="H135" s="66" t="s">
        <v>748</v>
      </c>
      <c r="I135" s="65" t="s">
        <v>758</v>
      </c>
      <c r="J135" s="65" t="s">
        <v>709</v>
      </c>
      <c r="K135" s="58" t="s">
        <v>130</v>
      </c>
      <c r="L135" s="58" t="s">
        <v>17</v>
      </c>
      <c r="M135" s="58">
        <f>VLOOKUP(L135,코드!$B$3:$C$29,2,FALSE)</f>
        <v>4241130</v>
      </c>
      <c r="N135" s="58" t="s">
        <v>129</v>
      </c>
      <c r="O135" s="79" t="s">
        <v>708</v>
      </c>
      <c r="P135" s="63">
        <v>270000</v>
      </c>
      <c r="Q135" s="63">
        <v>1</v>
      </c>
      <c r="R135" s="63">
        <v>1</v>
      </c>
      <c r="S135" s="64">
        <v>270000</v>
      </c>
      <c r="T135" s="63"/>
      <c r="U135" s="165">
        <v>270000</v>
      </c>
      <c r="V135" s="61" t="s">
        <v>316</v>
      </c>
      <c r="W135" s="60">
        <f t="shared" si="8"/>
        <v>1</v>
      </c>
      <c r="X135" s="5"/>
      <c r="Z135" s="5"/>
      <c r="AD135" s="22"/>
      <c r="AE135" s="22"/>
    </row>
    <row r="136" spans="1:31" s="6" customFormat="1" ht="17.25" customHeight="1">
      <c r="A136" s="59" t="s">
        <v>257</v>
      </c>
      <c r="B136" s="58" t="s">
        <v>715</v>
      </c>
      <c r="C136" s="65" t="s">
        <v>714</v>
      </c>
      <c r="D136" s="58" t="str">
        <f>VLOOKUP(C136,코드!$E$3:$F$30,2,FALSE)</f>
        <v>8647</v>
      </c>
      <c r="E136" s="58" t="str">
        <f t="shared" si="9"/>
        <v>[B-3]</v>
      </c>
      <c r="F136" s="65" t="s">
        <v>713</v>
      </c>
      <c r="G136" s="65" t="s">
        <v>749</v>
      </c>
      <c r="H136" s="66" t="s">
        <v>748</v>
      </c>
      <c r="I136" s="65" t="s">
        <v>758</v>
      </c>
      <c r="J136" s="65" t="s">
        <v>759</v>
      </c>
      <c r="K136" s="58" t="s">
        <v>130</v>
      </c>
      <c r="L136" s="58" t="s">
        <v>17</v>
      </c>
      <c r="M136" s="58">
        <f>VLOOKUP(L136,코드!$B$3:$C$29,2,FALSE)</f>
        <v>4241130</v>
      </c>
      <c r="N136" s="58" t="s">
        <v>120</v>
      </c>
      <c r="O136" s="79" t="s">
        <v>708</v>
      </c>
      <c r="P136" s="63">
        <v>15000</v>
      </c>
      <c r="Q136" s="63">
        <v>22</v>
      </c>
      <c r="R136" s="63">
        <v>1</v>
      </c>
      <c r="S136" s="64">
        <v>330000</v>
      </c>
      <c r="T136" s="63"/>
      <c r="U136" s="165">
        <v>330000</v>
      </c>
      <c r="V136" s="61" t="s">
        <v>316</v>
      </c>
      <c r="W136" s="60">
        <f t="shared" si="8"/>
        <v>1</v>
      </c>
      <c r="X136" s="5"/>
      <c r="Z136" s="5"/>
      <c r="AD136" s="22"/>
      <c r="AE136" s="22"/>
    </row>
    <row r="137" spans="1:31" s="6" customFormat="1" ht="17.25" customHeight="1">
      <c r="A137" s="59" t="s">
        <v>257</v>
      </c>
      <c r="B137" s="58" t="s">
        <v>715</v>
      </c>
      <c r="C137" s="65" t="s">
        <v>714</v>
      </c>
      <c r="D137" s="58" t="str">
        <f>VLOOKUP(C137,코드!$E$3:$F$30,2,FALSE)</f>
        <v>8647</v>
      </c>
      <c r="E137" s="58" t="str">
        <f t="shared" si="9"/>
        <v>[B-3]</v>
      </c>
      <c r="F137" s="65" t="s">
        <v>713</v>
      </c>
      <c r="G137" s="65" t="s">
        <v>749</v>
      </c>
      <c r="H137" s="66" t="s">
        <v>748</v>
      </c>
      <c r="I137" s="65" t="s">
        <v>758</v>
      </c>
      <c r="J137" s="65" t="s">
        <v>723</v>
      </c>
      <c r="K137" s="58" t="s">
        <v>130</v>
      </c>
      <c r="L137" s="58" t="s">
        <v>17</v>
      </c>
      <c r="M137" s="58">
        <f>VLOOKUP(L137,코드!$B$3:$C$29,2,FALSE)</f>
        <v>4241130</v>
      </c>
      <c r="N137" s="58" t="s">
        <v>129</v>
      </c>
      <c r="O137" s="79" t="s">
        <v>708</v>
      </c>
      <c r="P137" s="63">
        <v>30000</v>
      </c>
      <c r="Q137" s="63">
        <v>7</v>
      </c>
      <c r="R137" s="63">
        <v>2</v>
      </c>
      <c r="S137" s="64">
        <v>420000</v>
      </c>
      <c r="T137" s="63"/>
      <c r="U137" s="165">
        <v>420000</v>
      </c>
      <c r="V137" s="61" t="s">
        <v>316</v>
      </c>
      <c r="W137" s="60">
        <f t="shared" si="8"/>
        <v>1</v>
      </c>
      <c r="X137" s="5"/>
      <c r="Z137" s="5"/>
      <c r="AD137" s="22"/>
      <c r="AE137" s="22"/>
    </row>
    <row r="138" spans="1:31" s="6" customFormat="1" ht="17.25" customHeight="1">
      <c r="A138" s="59" t="s">
        <v>257</v>
      </c>
      <c r="B138" s="58" t="s">
        <v>715</v>
      </c>
      <c r="C138" s="65" t="s">
        <v>714</v>
      </c>
      <c r="D138" s="58" t="str">
        <f>VLOOKUP(C138,코드!$E$3:$F$30,2,FALSE)</f>
        <v>8647</v>
      </c>
      <c r="E138" s="58" t="str">
        <f t="shared" si="9"/>
        <v>[B-3]</v>
      </c>
      <c r="F138" s="65" t="s">
        <v>713</v>
      </c>
      <c r="G138" s="65" t="s">
        <v>749</v>
      </c>
      <c r="H138" s="66" t="s">
        <v>748</v>
      </c>
      <c r="I138" s="65" t="s">
        <v>758</v>
      </c>
      <c r="J138" s="65" t="s">
        <v>757</v>
      </c>
      <c r="K138" s="58" t="s">
        <v>130</v>
      </c>
      <c r="L138" s="58" t="s">
        <v>17</v>
      </c>
      <c r="M138" s="58">
        <f>VLOOKUP(L138,코드!$B$3:$C$29,2,FALSE)</f>
        <v>4241130</v>
      </c>
      <c r="N138" s="58" t="s">
        <v>217</v>
      </c>
      <c r="O138" s="79" t="s">
        <v>708</v>
      </c>
      <c r="P138" s="63">
        <v>40000</v>
      </c>
      <c r="Q138" s="63">
        <v>5</v>
      </c>
      <c r="R138" s="63">
        <v>1</v>
      </c>
      <c r="S138" s="64">
        <v>200000</v>
      </c>
      <c r="T138" s="63"/>
      <c r="U138" s="165">
        <v>200000</v>
      </c>
      <c r="V138" s="61" t="s">
        <v>316</v>
      </c>
      <c r="W138" s="60">
        <f t="shared" si="8"/>
        <v>1</v>
      </c>
      <c r="X138" s="5"/>
      <c r="Z138" s="5"/>
      <c r="AD138" s="22"/>
      <c r="AE138" s="22"/>
    </row>
    <row r="139" spans="1:31" s="5" customFormat="1" ht="17.25" customHeight="1">
      <c r="A139" s="59" t="s">
        <v>257</v>
      </c>
      <c r="B139" s="58" t="s">
        <v>715</v>
      </c>
      <c r="C139" s="65" t="s">
        <v>714</v>
      </c>
      <c r="D139" s="58" t="str">
        <f>VLOOKUP(C139,코드!$E$3:$F$30,2,FALSE)</f>
        <v>8647</v>
      </c>
      <c r="E139" s="58" t="str">
        <f t="shared" si="9"/>
        <v>[B-3]</v>
      </c>
      <c r="F139" s="65" t="s">
        <v>713</v>
      </c>
      <c r="G139" s="65" t="s">
        <v>749</v>
      </c>
      <c r="H139" s="66" t="s">
        <v>748</v>
      </c>
      <c r="I139" s="65" t="s">
        <v>754</v>
      </c>
      <c r="J139" s="65" t="s">
        <v>718</v>
      </c>
      <c r="K139" s="58" t="s">
        <v>130</v>
      </c>
      <c r="L139" s="58" t="s">
        <v>17</v>
      </c>
      <c r="M139" s="58">
        <f>VLOOKUP(L139,코드!$B$3:$C$29,2,FALSE)</f>
        <v>4241130</v>
      </c>
      <c r="N139" s="58" t="s">
        <v>107</v>
      </c>
      <c r="O139" s="79" t="s">
        <v>708</v>
      </c>
      <c r="P139" s="63">
        <v>450000</v>
      </c>
      <c r="Q139" s="63">
        <v>1</v>
      </c>
      <c r="R139" s="63">
        <v>1</v>
      </c>
      <c r="S139" s="64">
        <v>450000</v>
      </c>
      <c r="T139" s="63"/>
      <c r="U139" s="165">
        <v>450000</v>
      </c>
      <c r="V139" s="61" t="s">
        <v>316</v>
      </c>
      <c r="W139" s="60">
        <f t="shared" si="8"/>
        <v>1</v>
      </c>
      <c r="Y139" s="6"/>
    </row>
    <row r="140" spans="1:31" s="5" customFormat="1" ht="17.25" customHeight="1">
      <c r="A140" s="59" t="s">
        <v>257</v>
      </c>
      <c r="B140" s="58" t="s">
        <v>715</v>
      </c>
      <c r="C140" s="65" t="s">
        <v>714</v>
      </c>
      <c r="D140" s="58" t="str">
        <f>VLOOKUP(C140,코드!$E$3:$F$30,2,FALSE)</f>
        <v>8647</v>
      </c>
      <c r="E140" s="58" t="str">
        <f t="shared" si="9"/>
        <v>[B-3]</v>
      </c>
      <c r="F140" s="65" t="s">
        <v>713</v>
      </c>
      <c r="G140" s="65" t="s">
        <v>749</v>
      </c>
      <c r="H140" s="66" t="s">
        <v>748</v>
      </c>
      <c r="I140" s="65" t="s">
        <v>754</v>
      </c>
      <c r="J140" s="65" t="s">
        <v>756</v>
      </c>
      <c r="K140" s="58" t="s">
        <v>130</v>
      </c>
      <c r="L140" s="58" t="s">
        <v>17</v>
      </c>
      <c r="M140" s="58">
        <f>VLOOKUP(L140,코드!$B$3:$C$29,2,FALSE)</f>
        <v>4241130</v>
      </c>
      <c r="N140" s="58" t="s">
        <v>120</v>
      </c>
      <c r="O140" s="79" t="s">
        <v>708</v>
      </c>
      <c r="P140" s="63">
        <v>15000</v>
      </c>
      <c r="Q140" s="63">
        <v>15</v>
      </c>
      <c r="R140" s="63">
        <v>1</v>
      </c>
      <c r="S140" s="64">
        <v>225000</v>
      </c>
      <c r="T140" s="63"/>
      <c r="U140" s="165">
        <v>225000</v>
      </c>
      <c r="V140" s="61" t="s">
        <v>316</v>
      </c>
      <c r="W140" s="60">
        <f t="shared" si="8"/>
        <v>1</v>
      </c>
      <c r="Y140" s="6"/>
    </row>
    <row r="141" spans="1:31" s="5" customFormat="1" ht="17.25" customHeight="1">
      <c r="A141" s="59" t="s">
        <v>257</v>
      </c>
      <c r="B141" s="58" t="s">
        <v>715</v>
      </c>
      <c r="C141" s="65" t="s">
        <v>714</v>
      </c>
      <c r="D141" s="58" t="str">
        <f>VLOOKUP(C141,코드!$E$3:$F$30,2,FALSE)</f>
        <v>8647</v>
      </c>
      <c r="E141" s="58" t="str">
        <f t="shared" si="9"/>
        <v>[B-3]</v>
      </c>
      <c r="F141" s="65" t="s">
        <v>713</v>
      </c>
      <c r="G141" s="65" t="s">
        <v>749</v>
      </c>
      <c r="H141" s="66" t="s">
        <v>748</v>
      </c>
      <c r="I141" s="65" t="s">
        <v>754</v>
      </c>
      <c r="J141" s="65" t="s">
        <v>755</v>
      </c>
      <c r="K141" s="58" t="s">
        <v>130</v>
      </c>
      <c r="L141" s="58" t="s">
        <v>17</v>
      </c>
      <c r="M141" s="58">
        <f>VLOOKUP(L141,코드!$B$3:$C$29,2,FALSE)</f>
        <v>4241130</v>
      </c>
      <c r="N141" s="58" t="s">
        <v>129</v>
      </c>
      <c r="O141" s="79" t="s">
        <v>708</v>
      </c>
      <c r="P141" s="63">
        <v>100000</v>
      </c>
      <c r="Q141" s="63">
        <v>1</v>
      </c>
      <c r="R141" s="63">
        <v>1</v>
      </c>
      <c r="S141" s="64">
        <v>100000</v>
      </c>
      <c r="T141" s="63"/>
      <c r="U141" s="165">
        <v>100000</v>
      </c>
      <c r="V141" s="61" t="s">
        <v>316</v>
      </c>
      <c r="W141" s="60">
        <f t="shared" si="8"/>
        <v>1</v>
      </c>
      <c r="Y141" s="6"/>
    </row>
    <row r="142" spans="1:31" s="5" customFormat="1" ht="17.25" customHeight="1">
      <c r="A142" s="59" t="s">
        <v>257</v>
      </c>
      <c r="B142" s="58" t="s">
        <v>715</v>
      </c>
      <c r="C142" s="65" t="s">
        <v>714</v>
      </c>
      <c r="D142" s="58" t="str">
        <f>VLOOKUP(C142,코드!$E$3:$F$30,2,FALSE)</f>
        <v>8647</v>
      </c>
      <c r="E142" s="58" t="str">
        <f t="shared" si="9"/>
        <v>[B-3]</v>
      </c>
      <c r="F142" s="65" t="s">
        <v>713</v>
      </c>
      <c r="G142" s="65" t="s">
        <v>749</v>
      </c>
      <c r="H142" s="66" t="s">
        <v>748</v>
      </c>
      <c r="I142" s="65" t="s">
        <v>754</v>
      </c>
      <c r="J142" s="65" t="s">
        <v>723</v>
      </c>
      <c r="K142" s="58" t="s">
        <v>130</v>
      </c>
      <c r="L142" s="58" t="s">
        <v>17</v>
      </c>
      <c r="M142" s="58">
        <f>VLOOKUP(L142,코드!$B$3:$C$29,2,FALSE)</f>
        <v>4241130</v>
      </c>
      <c r="N142" s="58" t="s">
        <v>129</v>
      </c>
      <c r="O142" s="79" t="s">
        <v>708</v>
      </c>
      <c r="P142" s="63">
        <v>30000</v>
      </c>
      <c r="Q142" s="63">
        <v>7</v>
      </c>
      <c r="R142" s="63">
        <v>2</v>
      </c>
      <c r="S142" s="64">
        <v>420000</v>
      </c>
      <c r="T142" s="63"/>
      <c r="U142" s="165">
        <v>420000</v>
      </c>
      <c r="V142" s="61" t="s">
        <v>316</v>
      </c>
      <c r="W142" s="60">
        <f t="shared" si="8"/>
        <v>1</v>
      </c>
      <c r="Y142" s="6"/>
    </row>
    <row r="143" spans="1:31" s="5" customFormat="1" ht="17.25" customHeight="1">
      <c r="A143" s="59" t="s">
        <v>257</v>
      </c>
      <c r="B143" s="58" t="s">
        <v>715</v>
      </c>
      <c r="C143" s="65" t="s">
        <v>714</v>
      </c>
      <c r="D143" s="58" t="str">
        <f>VLOOKUP(C143,코드!$E$3:$F$30,2,FALSE)</f>
        <v>8647</v>
      </c>
      <c r="E143" s="58" t="str">
        <f t="shared" si="9"/>
        <v>[B-3]</v>
      </c>
      <c r="F143" s="65" t="s">
        <v>713</v>
      </c>
      <c r="G143" s="65" t="s">
        <v>749</v>
      </c>
      <c r="H143" s="66" t="s">
        <v>748</v>
      </c>
      <c r="I143" s="65" t="s">
        <v>754</v>
      </c>
      <c r="J143" s="65" t="s">
        <v>215</v>
      </c>
      <c r="K143" s="58" t="s">
        <v>130</v>
      </c>
      <c r="L143" s="58" t="s">
        <v>17</v>
      </c>
      <c r="M143" s="58">
        <f>VLOOKUP(L143,코드!$B$3:$C$29,2,FALSE)</f>
        <v>4241130</v>
      </c>
      <c r="N143" s="58" t="s">
        <v>129</v>
      </c>
      <c r="O143" s="79" t="s">
        <v>708</v>
      </c>
      <c r="P143" s="63">
        <v>270000</v>
      </c>
      <c r="Q143" s="63">
        <v>1</v>
      </c>
      <c r="R143" s="63">
        <v>1</v>
      </c>
      <c r="S143" s="64">
        <v>270000</v>
      </c>
      <c r="T143" s="63"/>
      <c r="U143" s="165">
        <v>270000</v>
      </c>
      <c r="V143" s="61" t="s">
        <v>316</v>
      </c>
      <c r="W143" s="60">
        <f t="shared" si="8"/>
        <v>1</v>
      </c>
      <c r="Y143" s="6"/>
    </row>
    <row r="144" spans="1:31" s="5" customFormat="1" ht="17.25" customHeight="1">
      <c r="A144" s="59" t="s">
        <v>257</v>
      </c>
      <c r="B144" s="58" t="s">
        <v>715</v>
      </c>
      <c r="C144" s="65" t="s">
        <v>714</v>
      </c>
      <c r="D144" s="58" t="str">
        <f>VLOOKUP(C144,코드!$E$3:$F$30,2,FALSE)</f>
        <v>8647</v>
      </c>
      <c r="E144" s="58" t="str">
        <f t="shared" si="9"/>
        <v>[B-3]</v>
      </c>
      <c r="F144" s="65" t="s">
        <v>713</v>
      </c>
      <c r="G144" s="65" t="s">
        <v>749</v>
      </c>
      <c r="H144" s="66" t="s">
        <v>748</v>
      </c>
      <c r="I144" s="65" t="s">
        <v>747</v>
      </c>
      <c r="J144" s="65" t="s">
        <v>753</v>
      </c>
      <c r="K144" s="58" t="s">
        <v>130</v>
      </c>
      <c r="L144" s="58" t="s">
        <v>17</v>
      </c>
      <c r="M144" s="58">
        <f>VLOOKUP(L144,코드!$B$3:$C$29,2,FALSE)</f>
        <v>4241130</v>
      </c>
      <c r="N144" s="58" t="s">
        <v>129</v>
      </c>
      <c r="O144" s="79" t="s">
        <v>708</v>
      </c>
      <c r="P144" s="63">
        <v>270000</v>
      </c>
      <c r="Q144" s="63">
        <v>1</v>
      </c>
      <c r="R144" s="63">
        <v>1</v>
      </c>
      <c r="S144" s="64">
        <v>270000</v>
      </c>
      <c r="T144" s="63"/>
      <c r="U144" s="82">
        <f t="shared" ref="U144:U152" si="10">S144</f>
        <v>270000</v>
      </c>
      <c r="V144" s="87" t="s">
        <v>153</v>
      </c>
      <c r="W144" s="60">
        <f t="shared" si="8"/>
        <v>1</v>
      </c>
      <c r="Y144" s="6"/>
    </row>
    <row r="145" spans="1:25" s="5" customFormat="1" ht="17.25" customHeight="1">
      <c r="A145" s="59" t="s">
        <v>257</v>
      </c>
      <c r="B145" s="58" t="s">
        <v>715</v>
      </c>
      <c r="C145" s="65" t="s">
        <v>714</v>
      </c>
      <c r="D145" s="58" t="str">
        <f>VLOOKUP(C145,코드!$E$3:$F$30,2,FALSE)</f>
        <v>8647</v>
      </c>
      <c r="E145" s="58" t="str">
        <f t="shared" si="9"/>
        <v>[B-3]</v>
      </c>
      <c r="F145" s="65" t="s">
        <v>713</v>
      </c>
      <c r="G145" s="65" t="s">
        <v>749</v>
      </c>
      <c r="H145" s="66" t="s">
        <v>748</v>
      </c>
      <c r="I145" s="65" t="s">
        <v>747</v>
      </c>
      <c r="J145" s="65" t="s">
        <v>752</v>
      </c>
      <c r="K145" s="58" t="s">
        <v>130</v>
      </c>
      <c r="L145" s="58" t="s">
        <v>17</v>
      </c>
      <c r="M145" s="58">
        <f>VLOOKUP(L145,코드!$B$3:$C$29,2,FALSE)</f>
        <v>4241130</v>
      </c>
      <c r="N145" s="58" t="s">
        <v>107</v>
      </c>
      <c r="O145" s="79" t="s">
        <v>708</v>
      </c>
      <c r="P145" s="63">
        <v>200000</v>
      </c>
      <c r="Q145" s="63">
        <v>2</v>
      </c>
      <c r="R145" s="63">
        <v>4</v>
      </c>
      <c r="S145" s="64">
        <v>1600000</v>
      </c>
      <c r="T145" s="63"/>
      <c r="U145" s="82">
        <f t="shared" si="10"/>
        <v>1600000</v>
      </c>
      <c r="V145" s="87" t="s">
        <v>153</v>
      </c>
      <c r="W145" s="60">
        <f t="shared" si="8"/>
        <v>1</v>
      </c>
      <c r="Y145" s="6"/>
    </row>
    <row r="146" spans="1:25" s="5" customFormat="1" ht="17.25" customHeight="1">
      <c r="A146" s="59" t="s">
        <v>257</v>
      </c>
      <c r="B146" s="58" t="s">
        <v>715</v>
      </c>
      <c r="C146" s="65" t="s">
        <v>714</v>
      </c>
      <c r="D146" s="58" t="str">
        <f>VLOOKUP(C146,코드!$E$3:$F$30,2,FALSE)</f>
        <v>8647</v>
      </c>
      <c r="E146" s="58" t="str">
        <f t="shared" si="9"/>
        <v>[B-3]</v>
      </c>
      <c r="F146" s="65" t="s">
        <v>713</v>
      </c>
      <c r="G146" s="65" t="s">
        <v>749</v>
      </c>
      <c r="H146" s="66" t="s">
        <v>748</v>
      </c>
      <c r="I146" s="65" t="s">
        <v>747</v>
      </c>
      <c r="J146" s="65" t="s">
        <v>751</v>
      </c>
      <c r="K146" s="58" t="s">
        <v>130</v>
      </c>
      <c r="L146" s="58" t="s">
        <v>17</v>
      </c>
      <c r="M146" s="58">
        <f>VLOOKUP(L146,코드!$B$3:$C$29,2,FALSE)</f>
        <v>4241130</v>
      </c>
      <c r="N146" s="58" t="s">
        <v>120</v>
      </c>
      <c r="O146" s="79" t="s">
        <v>708</v>
      </c>
      <c r="P146" s="63">
        <v>15000</v>
      </c>
      <c r="Q146" s="63">
        <v>8</v>
      </c>
      <c r="R146" s="63">
        <v>4</v>
      </c>
      <c r="S146" s="64">
        <v>480000</v>
      </c>
      <c r="T146" s="63"/>
      <c r="U146" s="82">
        <f t="shared" si="10"/>
        <v>480000</v>
      </c>
      <c r="V146" s="87" t="s">
        <v>153</v>
      </c>
      <c r="W146" s="60">
        <f t="shared" si="8"/>
        <v>1</v>
      </c>
      <c r="Y146" s="6"/>
    </row>
    <row r="147" spans="1:25" s="5" customFormat="1" ht="17.25" customHeight="1">
      <c r="A147" s="59" t="s">
        <v>257</v>
      </c>
      <c r="B147" s="58" t="s">
        <v>715</v>
      </c>
      <c r="C147" s="65" t="s">
        <v>714</v>
      </c>
      <c r="D147" s="58" t="str">
        <f>VLOOKUP(C147,코드!$E$3:$F$30,2,FALSE)</f>
        <v>8647</v>
      </c>
      <c r="E147" s="58" t="str">
        <f t="shared" si="9"/>
        <v>[B-3]</v>
      </c>
      <c r="F147" s="65" t="s">
        <v>713</v>
      </c>
      <c r="G147" s="65" t="s">
        <v>749</v>
      </c>
      <c r="H147" s="66" t="s">
        <v>748</v>
      </c>
      <c r="I147" s="65" t="s">
        <v>747</v>
      </c>
      <c r="J147" s="65" t="s">
        <v>750</v>
      </c>
      <c r="K147" s="58" t="s">
        <v>130</v>
      </c>
      <c r="L147" s="58" t="s">
        <v>17</v>
      </c>
      <c r="M147" s="58">
        <f>VLOOKUP(L147,코드!$B$3:$C$29,2,FALSE)</f>
        <v>4241130</v>
      </c>
      <c r="N147" s="58" t="s">
        <v>129</v>
      </c>
      <c r="O147" s="79" t="s">
        <v>708</v>
      </c>
      <c r="P147" s="63">
        <v>400000</v>
      </c>
      <c r="Q147" s="63">
        <v>1</v>
      </c>
      <c r="R147" s="63">
        <v>1</v>
      </c>
      <c r="S147" s="64">
        <v>400000</v>
      </c>
      <c r="T147" s="63"/>
      <c r="U147" s="82">
        <f t="shared" si="10"/>
        <v>400000</v>
      </c>
      <c r="V147" s="87" t="s">
        <v>153</v>
      </c>
      <c r="W147" s="60">
        <f t="shared" si="8"/>
        <v>1</v>
      </c>
      <c r="Y147" s="6"/>
    </row>
    <row r="148" spans="1:25" s="5" customFormat="1" ht="17.25" customHeight="1">
      <c r="A148" s="59" t="s">
        <v>257</v>
      </c>
      <c r="B148" s="58" t="s">
        <v>715</v>
      </c>
      <c r="C148" s="65" t="s">
        <v>714</v>
      </c>
      <c r="D148" s="58" t="str">
        <f>VLOOKUP(C148,코드!$E$3:$F$30,2,FALSE)</f>
        <v>8647</v>
      </c>
      <c r="E148" s="58" t="str">
        <f t="shared" si="9"/>
        <v>[B-3]</v>
      </c>
      <c r="F148" s="65" t="s">
        <v>713</v>
      </c>
      <c r="G148" s="65" t="s">
        <v>749</v>
      </c>
      <c r="H148" s="66" t="s">
        <v>748</v>
      </c>
      <c r="I148" s="65" t="s">
        <v>747</v>
      </c>
      <c r="J148" s="65" t="s">
        <v>723</v>
      </c>
      <c r="K148" s="58" t="s">
        <v>130</v>
      </c>
      <c r="L148" s="58" t="s">
        <v>17</v>
      </c>
      <c r="M148" s="58">
        <f>VLOOKUP(L148,코드!$B$3:$C$29,2,FALSE)</f>
        <v>4241130</v>
      </c>
      <c r="N148" s="58" t="s">
        <v>129</v>
      </c>
      <c r="O148" s="79" t="s">
        <v>708</v>
      </c>
      <c r="P148" s="63">
        <v>30000</v>
      </c>
      <c r="Q148" s="63">
        <v>7</v>
      </c>
      <c r="R148" s="63">
        <v>2</v>
      </c>
      <c r="S148" s="64">
        <v>420000</v>
      </c>
      <c r="T148" s="63"/>
      <c r="U148" s="82">
        <f t="shared" si="10"/>
        <v>420000</v>
      </c>
      <c r="V148" s="87" t="s">
        <v>153</v>
      </c>
      <c r="W148" s="60">
        <f t="shared" si="8"/>
        <v>1</v>
      </c>
      <c r="Y148" s="6"/>
    </row>
    <row r="149" spans="1:25" s="5" customFormat="1" ht="17.25" customHeight="1">
      <c r="A149" s="59" t="s">
        <v>257</v>
      </c>
      <c r="B149" s="58" t="s">
        <v>715</v>
      </c>
      <c r="C149" s="65" t="s">
        <v>714</v>
      </c>
      <c r="D149" s="58" t="str">
        <f>VLOOKUP(C149,코드!$E$3:$F$30,2,FALSE)</f>
        <v>8647</v>
      </c>
      <c r="E149" s="58" t="str">
        <f t="shared" si="9"/>
        <v>[B-3]</v>
      </c>
      <c r="F149" s="65" t="s">
        <v>713</v>
      </c>
      <c r="G149" s="65" t="s">
        <v>712</v>
      </c>
      <c r="H149" s="66" t="s">
        <v>729</v>
      </c>
      <c r="I149" s="65" t="s">
        <v>745</v>
      </c>
      <c r="J149" s="65" t="s">
        <v>746</v>
      </c>
      <c r="K149" s="58" t="s">
        <v>130</v>
      </c>
      <c r="L149" s="58" t="s">
        <v>17</v>
      </c>
      <c r="M149" s="58">
        <f>VLOOKUP(L149,코드!$B$3:$C$29,2,FALSE)</f>
        <v>4241130</v>
      </c>
      <c r="N149" s="58" t="s">
        <v>129</v>
      </c>
      <c r="O149" s="79" t="s">
        <v>708</v>
      </c>
      <c r="P149" s="63">
        <v>30000</v>
      </c>
      <c r="Q149" s="63">
        <v>10</v>
      </c>
      <c r="R149" s="63">
        <v>3</v>
      </c>
      <c r="S149" s="64">
        <v>900000</v>
      </c>
      <c r="T149" s="63"/>
      <c r="U149" s="82">
        <f t="shared" si="10"/>
        <v>900000</v>
      </c>
      <c r="V149" s="87" t="s">
        <v>153</v>
      </c>
      <c r="W149" s="60">
        <f t="shared" si="8"/>
        <v>1</v>
      </c>
      <c r="Y149" s="6"/>
    </row>
    <row r="150" spans="1:25" s="5" customFormat="1" ht="17.25" customHeight="1">
      <c r="A150" s="59" t="s">
        <v>257</v>
      </c>
      <c r="B150" s="58" t="s">
        <v>715</v>
      </c>
      <c r="C150" s="65" t="s">
        <v>714</v>
      </c>
      <c r="D150" s="58" t="str">
        <f>VLOOKUP(C150,코드!$E$3:$F$30,2,FALSE)</f>
        <v>8647</v>
      </c>
      <c r="E150" s="58" t="str">
        <f t="shared" si="9"/>
        <v>[B-3]</v>
      </c>
      <c r="F150" s="65" t="s">
        <v>713</v>
      </c>
      <c r="G150" s="65" t="s">
        <v>712</v>
      </c>
      <c r="H150" s="66" t="s">
        <v>729</v>
      </c>
      <c r="I150" s="65" t="s">
        <v>745</v>
      </c>
      <c r="J150" s="65" t="s">
        <v>709</v>
      </c>
      <c r="K150" s="58" t="s">
        <v>130</v>
      </c>
      <c r="L150" s="58" t="s">
        <v>17</v>
      </c>
      <c r="M150" s="58">
        <f>VLOOKUP(L150,코드!$B$3:$C$29,2,FALSE)</f>
        <v>4241130</v>
      </c>
      <c r="N150" s="58" t="s">
        <v>129</v>
      </c>
      <c r="O150" s="79" t="s">
        <v>708</v>
      </c>
      <c r="P150" s="63">
        <v>100000</v>
      </c>
      <c r="Q150" s="63">
        <v>1</v>
      </c>
      <c r="R150" s="63">
        <v>1</v>
      </c>
      <c r="S150" s="64">
        <v>100000</v>
      </c>
      <c r="T150" s="63"/>
      <c r="U150" s="82">
        <f t="shared" si="10"/>
        <v>100000</v>
      </c>
      <c r="V150" s="87" t="s">
        <v>153</v>
      </c>
      <c r="W150" s="60">
        <f t="shared" si="8"/>
        <v>1</v>
      </c>
      <c r="Y150" s="6"/>
    </row>
    <row r="151" spans="1:25" s="5" customFormat="1" ht="17.25" customHeight="1">
      <c r="A151" s="59" t="s">
        <v>257</v>
      </c>
      <c r="B151" s="58" t="s">
        <v>715</v>
      </c>
      <c r="C151" s="65" t="s">
        <v>714</v>
      </c>
      <c r="D151" s="58" t="str">
        <f>VLOOKUP(C151,코드!$E$3:$F$30,2,FALSE)</f>
        <v>8647</v>
      </c>
      <c r="E151" s="58" t="str">
        <f t="shared" si="9"/>
        <v>[B-3]</v>
      </c>
      <c r="F151" s="65" t="s">
        <v>713</v>
      </c>
      <c r="G151" s="65" t="s">
        <v>712</v>
      </c>
      <c r="H151" s="66" t="s">
        <v>729</v>
      </c>
      <c r="I151" s="65" t="s">
        <v>743</v>
      </c>
      <c r="J151" s="65" t="s">
        <v>744</v>
      </c>
      <c r="K151" s="58" t="s">
        <v>130</v>
      </c>
      <c r="L151" s="58" t="s">
        <v>17</v>
      </c>
      <c r="M151" s="58">
        <f>VLOOKUP(L151,코드!$B$3:$C$29,2,FALSE)</f>
        <v>4241130</v>
      </c>
      <c r="N151" s="58" t="s">
        <v>120</v>
      </c>
      <c r="O151" s="79" t="s">
        <v>708</v>
      </c>
      <c r="P151" s="63">
        <v>30000</v>
      </c>
      <c r="Q151" s="63">
        <v>12</v>
      </c>
      <c r="R151" s="63">
        <v>1</v>
      </c>
      <c r="S151" s="64">
        <v>360000</v>
      </c>
      <c r="T151" s="63"/>
      <c r="U151" s="82">
        <f t="shared" si="10"/>
        <v>360000</v>
      </c>
      <c r="V151" s="87" t="s">
        <v>153</v>
      </c>
      <c r="W151" s="60">
        <f t="shared" si="8"/>
        <v>1</v>
      </c>
      <c r="Y151" s="6"/>
    </row>
    <row r="152" spans="1:25" s="5" customFormat="1" ht="17.25" customHeight="1">
      <c r="A152" s="59" t="s">
        <v>257</v>
      </c>
      <c r="B152" s="58" t="s">
        <v>715</v>
      </c>
      <c r="C152" s="65" t="s">
        <v>714</v>
      </c>
      <c r="D152" s="58" t="str">
        <f>VLOOKUP(C152,코드!$E$3:$F$30,2,FALSE)</f>
        <v>8647</v>
      </c>
      <c r="E152" s="58" t="str">
        <f t="shared" si="9"/>
        <v>[B-3]</v>
      </c>
      <c r="F152" s="65" t="s">
        <v>713</v>
      </c>
      <c r="G152" s="65" t="s">
        <v>712</v>
      </c>
      <c r="H152" s="66" t="s">
        <v>729</v>
      </c>
      <c r="I152" s="65" t="s">
        <v>743</v>
      </c>
      <c r="J152" s="65" t="s">
        <v>742</v>
      </c>
      <c r="K152" s="58" t="s">
        <v>130</v>
      </c>
      <c r="L152" s="58" t="s">
        <v>17</v>
      </c>
      <c r="M152" s="58">
        <f>VLOOKUP(L152,코드!$B$3:$C$29,2,FALSE)</f>
        <v>4241130</v>
      </c>
      <c r="N152" s="58" t="s">
        <v>129</v>
      </c>
      <c r="O152" s="79" t="s">
        <v>708</v>
      </c>
      <c r="P152" s="63">
        <v>30000</v>
      </c>
      <c r="Q152" s="63">
        <v>7</v>
      </c>
      <c r="R152" s="63">
        <v>2</v>
      </c>
      <c r="S152" s="64">
        <v>420000</v>
      </c>
      <c r="T152" s="63"/>
      <c r="U152" s="82">
        <f t="shared" si="10"/>
        <v>420000</v>
      </c>
      <c r="V152" s="87" t="s">
        <v>153</v>
      </c>
      <c r="W152" s="60">
        <f t="shared" si="8"/>
        <v>1</v>
      </c>
      <c r="Y152" s="6"/>
    </row>
    <row r="153" spans="1:25" s="5" customFormat="1" ht="17.25" customHeight="1">
      <c r="A153" s="59" t="s">
        <v>257</v>
      </c>
      <c r="B153" s="58" t="s">
        <v>715</v>
      </c>
      <c r="C153" s="65" t="s">
        <v>714</v>
      </c>
      <c r="D153" s="58" t="str">
        <f>VLOOKUP(C153,코드!$E$3:$F$30,2,FALSE)</f>
        <v>8647</v>
      </c>
      <c r="E153" s="58" t="str">
        <f t="shared" si="9"/>
        <v>[B-3]</v>
      </c>
      <c r="F153" s="65" t="s">
        <v>713</v>
      </c>
      <c r="G153" s="65" t="s">
        <v>712</v>
      </c>
      <c r="H153" s="66" t="s">
        <v>729</v>
      </c>
      <c r="I153" s="65" t="s">
        <v>740</v>
      </c>
      <c r="J153" s="65" t="s">
        <v>741</v>
      </c>
      <c r="K153" s="58" t="s">
        <v>130</v>
      </c>
      <c r="L153" s="58" t="s">
        <v>17</v>
      </c>
      <c r="M153" s="58">
        <f>VLOOKUP(L153,코드!$B$3:$C$29,2,FALSE)</f>
        <v>4241130</v>
      </c>
      <c r="N153" s="58" t="s">
        <v>120</v>
      </c>
      <c r="O153" s="79" t="s">
        <v>708</v>
      </c>
      <c r="P153" s="63">
        <v>15000</v>
      </c>
      <c r="Q153" s="63">
        <v>25</v>
      </c>
      <c r="R153" s="63">
        <v>1</v>
      </c>
      <c r="S153" s="64">
        <v>375000</v>
      </c>
      <c r="T153" s="63"/>
      <c r="U153" s="165">
        <v>375000</v>
      </c>
      <c r="V153" s="61" t="s">
        <v>127</v>
      </c>
      <c r="W153" s="60">
        <f t="shared" si="8"/>
        <v>1</v>
      </c>
      <c r="Y153" s="6"/>
    </row>
    <row r="154" spans="1:25" s="5" customFormat="1" ht="17.25" customHeight="1">
      <c r="A154" s="59" t="s">
        <v>257</v>
      </c>
      <c r="B154" s="58" t="s">
        <v>715</v>
      </c>
      <c r="C154" s="65" t="s">
        <v>714</v>
      </c>
      <c r="D154" s="58" t="str">
        <f>VLOOKUP(C154,코드!$E$3:$F$30,2,FALSE)</f>
        <v>8647</v>
      </c>
      <c r="E154" s="58" t="str">
        <f t="shared" si="9"/>
        <v>[B-3]</v>
      </c>
      <c r="F154" s="65" t="s">
        <v>713</v>
      </c>
      <c r="G154" s="65" t="s">
        <v>712</v>
      </c>
      <c r="H154" s="66" t="s">
        <v>729</v>
      </c>
      <c r="I154" s="65" t="s">
        <v>740</v>
      </c>
      <c r="J154" s="65" t="s">
        <v>709</v>
      </c>
      <c r="K154" s="58" t="s">
        <v>130</v>
      </c>
      <c r="L154" s="58" t="s">
        <v>17</v>
      </c>
      <c r="M154" s="58">
        <f>VLOOKUP(L154,코드!$B$3:$C$29,2,FALSE)</f>
        <v>4241130</v>
      </c>
      <c r="N154" s="58" t="s">
        <v>129</v>
      </c>
      <c r="O154" s="79" t="s">
        <v>708</v>
      </c>
      <c r="P154" s="63">
        <v>270000</v>
      </c>
      <c r="Q154" s="63">
        <v>1</v>
      </c>
      <c r="R154" s="63">
        <v>1</v>
      </c>
      <c r="S154" s="64">
        <v>270000</v>
      </c>
      <c r="T154" s="63"/>
      <c r="U154" s="165">
        <v>270000</v>
      </c>
      <c r="V154" s="61" t="s">
        <v>127</v>
      </c>
      <c r="W154" s="60">
        <f t="shared" si="8"/>
        <v>1</v>
      </c>
      <c r="Y154" s="6"/>
    </row>
    <row r="155" spans="1:25" s="5" customFormat="1" ht="17.25" customHeight="1">
      <c r="A155" s="59" t="s">
        <v>257</v>
      </c>
      <c r="B155" s="58" t="s">
        <v>715</v>
      </c>
      <c r="C155" s="65" t="s">
        <v>714</v>
      </c>
      <c r="D155" s="58" t="str">
        <f>VLOOKUP(C155,코드!$E$3:$F$30,2,FALSE)</f>
        <v>8647</v>
      </c>
      <c r="E155" s="58" t="str">
        <f t="shared" si="9"/>
        <v>[B-3]</v>
      </c>
      <c r="F155" s="65" t="s">
        <v>713</v>
      </c>
      <c r="G155" s="65" t="s">
        <v>712</v>
      </c>
      <c r="H155" s="66" t="s">
        <v>729</v>
      </c>
      <c r="I155" s="65" t="s">
        <v>738</v>
      </c>
      <c r="J155" s="65" t="s">
        <v>739</v>
      </c>
      <c r="K155" s="58" t="s">
        <v>130</v>
      </c>
      <c r="L155" s="58" t="s">
        <v>17</v>
      </c>
      <c r="M155" s="58">
        <f>VLOOKUP(L155,코드!$B$3:$C$29,2,FALSE)</f>
        <v>4241130</v>
      </c>
      <c r="N155" s="58" t="s">
        <v>120</v>
      </c>
      <c r="O155" s="79" t="s">
        <v>708</v>
      </c>
      <c r="P155" s="63">
        <v>15000</v>
      </c>
      <c r="Q155" s="63">
        <v>25</v>
      </c>
      <c r="R155" s="63">
        <v>1</v>
      </c>
      <c r="S155" s="64">
        <v>375000</v>
      </c>
      <c r="T155" s="63"/>
      <c r="U155" s="165">
        <v>375000</v>
      </c>
      <c r="V155" s="61" t="s">
        <v>127</v>
      </c>
      <c r="W155" s="60">
        <f t="shared" ref="W155:W189" si="11">U155/S155</f>
        <v>1</v>
      </c>
      <c r="Y155" s="6"/>
    </row>
    <row r="156" spans="1:25" s="5" customFormat="1" ht="17.25" customHeight="1">
      <c r="A156" s="59" t="s">
        <v>257</v>
      </c>
      <c r="B156" s="58" t="s">
        <v>715</v>
      </c>
      <c r="C156" s="65" t="s">
        <v>714</v>
      </c>
      <c r="D156" s="58" t="str">
        <f>VLOOKUP(C156,코드!$E$3:$F$30,2,FALSE)</f>
        <v>8647</v>
      </c>
      <c r="E156" s="58" t="str">
        <f t="shared" si="9"/>
        <v>[B-3]</v>
      </c>
      <c r="F156" s="65" t="s">
        <v>713</v>
      </c>
      <c r="G156" s="65" t="s">
        <v>712</v>
      </c>
      <c r="H156" s="66" t="s">
        <v>729</v>
      </c>
      <c r="I156" s="65" t="s">
        <v>738</v>
      </c>
      <c r="J156" s="65" t="s">
        <v>709</v>
      </c>
      <c r="K156" s="58" t="s">
        <v>130</v>
      </c>
      <c r="L156" s="58" t="s">
        <v>17</v>
      </c>
      <c r="M156" s="58">
        <f>VLOOKUP(L156,코드!$B$3:$C$29,2,FALSE)</f>
        <v>4241130</v>
      </c>
      <c r="N156" s="58" t="s">
        <v>129</v>
      </c>
      <c r="O156" s="79" t="s">
        <v>708</v>
      </c>
      <c r="P156" s="63">
        <v>270000</v>
      </c>
      <c r="Q156" s="63">
        <v>1</v>
      </c>
      <c r="R156" s="63">
        <v>1</v>
      </c>
      <c r="S156" s="64">
        <v>270000</v>
      </c>
      <c r="T156" s="63"/>
      <c r="U156" s="165">
        <v>270000</v>
      </c>
      <c r="V156" s="61" t="s">
        <v>127</v>
      </c>
      <c r="W156" s="60">
        <f t="shared" si="11"/>
        <v>1</v>
      </c>
      <c r="Y156" s="6"/>
    </row>
    <row r="157" spans="1:25" s="5" customFormat="1" ht="17.25" customHeight="1">
      <c r="A157" s="59" t="s">
        <v>257</v>
      </c>
      <c r="B157" s="58" t="s">
        <v>715</v>
      </c>
      <c r="C157" s="65" t="s">
        <v>714</v>
      </c>
      <c r="D157" s="58" t="str">
        <f>VLOOKUP(C157,코드!$E$3:$F$30,2,FALSE)</f>
        <v>8647</v>
      </c>
      <c r="E157" s="58" t="str">
        <f t="shared" si="9"/>
        <v>[B-3]</v>
      </c>
      <c r="F157" s="65" t="s">
        <v>713</v>
      </c>
      <c r="G157" s="65" t="s">
        <v>712</v>
      </c>
      <c r="H157" s="66" t="s">
        <v>729</v>
      </c>
      <c r="I157" s="65" t="s">
        <v>734</v>
      </c>
      <c r="J157" s="65" t="s">
        <v>737</v>
      </c>
      <c r="K157" s="58" t="s">
        <v>130</v>
      </c>
      <c r="L157" s="58" t="s">
        <v>17</v>
      </c>
      <c r="M157" s="58">
        <f>VLOOKUP(L157,코드!$B$3:$C$29,2,FALSE)</f>
        <v>4241130</v>
      </c>
      <c r="N157" s="58" t="s">
        <v>107</v>
      </c>
      <c r="O157" s="79" t="s">
        <v>708</v>
      </c>
      <c r="P157" s="63">
        <v>450000</v>
      </c>
      <c r="Q157" s="63">
        <v>1</v>
      </c>
      <c r="R157" s="63">
        <v>2</v>
      </c>
      <c r="S157" s="64">
        <v>900000</v>
      </c>
      <c r="T157" s="63"/>
      <c r="U157" s="165">
        <v>900000</v>
      </c>
      <c r="V157" s="61" t="s">
        <v>316</v>
      </c>
      <c r="W157" s="60">
        <f t="shared" si="11"/>
        <v>1</v>
      </c>
      <c r="Y157" s="6"/>
    </row>
    <row r="158" spans="1:25" s="5" customFormat="1" ht="17.25" customHeight="1">
      <c r="A158" s="59" t="s">
        <v>257</v>
      </c>
      <c r="B158" s="58" t="s">
        <v>715</v>
      </c>
      <c r="C158" s="65" t="s">
        <v>714</v>
      </c>
      <c r="D158" s="58" t="str">
        <f>VLOOKUP(C158,코드!$E$3:$F$30,2,FALSE)</f>
        <v>8647</v>
      </c>
      <c r="E158" s="58" t="str">
        <f t="shared" si="9"/>
        <v>[B-3]</v>
      </c>
      <c r="F158" s="65" t="s">
        <v>713</v>
      </c>
      <c r="G158" s="65" t="s">
        <v>712</v>
      </c>
      <c r="H158" s="66" t="s">
        <v>729</v>
      </c>
      <c r="I158" s="65" t="s">
        <v>734</v>
      </c>
      <c r="J158" s="65" t="s">
        <v>725</v>
      </c>
      <c r="K158" s="58" t="s">
        <v>130</v>
      </c>
      <c r="L158" s="58" t="s">
        <v>17</v>
      </c>
      <c r="M158" s="58">
        <f>VLOOKUP(L158,코드!$B$3:$C$29,2,FALSE)</f>
        <v>4241130</v>
      </c>
      <c r="N158" s="58" t="s">
        <v>217</v>
      </c>
      <c r="O158" s="79" t="s">
        <v>708</v>
      </c>
      <c r="P158" s="63">
        <v>40000</v>
      </c>
      <c r="Q158" s="63">
        <v>12</v>
      </c>
      <c r="R158" s="63">
        <v>2</v>
      </c>
      <c r="S158" s="64">
        <v>960000</v>
      </c>
      <c r="T158" s="63"/>
      <c r="U158" s="165">
        <v>960000</v>
      </c>
      <c r="V158" s="61" t="s">
        <v>316</v>
      </c>
      <c r="W158" s="60">
        <f t="shared" si="11"/>
        <v>1</v>
      </c>
      <c r="Y158" s="6"/>
    </row>
    <row r="159" spans="1:25" s="5" customFormat="1" ht="17.25" customHeight="1">
      <c r="A159" s="59" t="s">
        <v>257</v>
      </c>
      <c r="B159" s="58" t="s">
        <v>715</v>
      </c>
      <c r="C159" s="65" t="s">
        <v>714</v>
      </c>
      <c r="D159" s="58" t="str">
        <f>VLOOKUP(C159,코드!$E$3:$F$30,2,FALSE)</f>
        <v>8647</v>
      </c>
      <c r="E159" s="58" t="str">
        <f t="shared" si="9"/>
        <v>[B-3]</v>
      </c>
      <c r="F159" s="65" t="s">
        <v>713</v>
      </c>
      <c r="G159" s="65" t="s">
        <v>712</v>
      </c>
      <c r="H159" s="66" t="s">
        <v>729</v>
      </c>
      <c r="I159" s="65" t="s">
        <v>734</v>
      </c>
      <c r="J159" s="65" t="s">
        <v>723</v>
      </c>
      <c r="K159" s="58" t="s">
        <v>130</v>
      </c>
      <c r="L159" s="58" t="s">
        <v>17</v>
      </c>
      <c r="M159" s="58">
        <f>VLOOKUP(L159,코드!$B$3:$C$29,2,FALSE)</f>
        <v>4241130</v>
      </c>
      <c r="N159" s="58" t="s">
        <v>129</v>
      </c>
      <c r="O159" s="79" t="s">
        <v>708</v>
      </c>
      <c r="P159" s="63">
        <v>30000</v>
      </c>
      <c r="Q159" s="63">
        <v>7</v>
      </c>
      <c r="R159" s="63">
        <v>2</v>
      </c>
      <c r="S159" s="64">
        <v>420000</v>
      </c>
      <c r="T159" s="63"/>
      <c r="U159" s="165">
        <v>420000</v>
      </c>
      <c r="V159" s="61" t="s">
        <v>316</v>
      </c>
      <c r="W159" s="60">
        <f t="shared" si="11"/>
        <v>1</v>
      </c>
      <c r="Y159" s="6"/>
    </row>
    <row r="160" spans="1:25" s="5" customFormat="1" ht="17.25" customHeight="1">
      <c r="A160" s="59" t="s">
        <v>257</v>
      </c>
      <c r="B160" s="58" t="s">
        <v>715</v>
      </c>
      <c r="C160" s="65" t="s">
        <v>714</v>
      </c>
      <c r="D160" s="58" t="str">
        <f>VLOOKUP(C160,코드!$E$3:$F$30,2,FALSE)</f>
        <v>8647</v>
      </c>
      <c r="E160" s="58" t="str">
        <f t="shared" si="9"/>
        <v>[B-3]</v>
      </c>
      <c r="F160" s="65" t="s">
        <v>713</v>
      </c>
      <c r="G160" s="65" t="s">
        <v>712</v>
      </c>
      <c r="H160" s="66" t="s">
        <v>729</v>
      </c>
      <c r="I160" s="65" t="s">
        <v>734</v>
      </c>
      <c r="J160" s="65" t="s">
        <v>709</v>
      </c>
      <c r="K160" s="58" t="s">
        <v>130</v>
      </c>
      <c r="L160" s="58" t="s">
        <v>17</v>
      </c>
      <c r="M160" s="58">
        <f>VLOOKUP(L160,코드!$B$3:$C$29,2,FALSE)</f>
        <v>4241130</v>
      </c>
      <c r="N160" s="58" t="s">
        <v>129</v>
      </c>
      <c r="O160" s="79" t="s">
        <v>708</v>
      </c>
      <c r="P160" s="63">
        <v>450000</v>
      </c>
      <c r="Q160" s="63">
        <v>1</v>
      </c>
      <c r="R160" s="63">
        <v>2</v>
      </c>
      <c r="S160" s="64">
        <v>900000</v>
      </c>
      <c r="T160" s="63"/>
      <c r="U160" s="165">
        <v>900000</v>
      </c>
      <c r="V160" s="61" t="s">
        <v>316</v>
      </c>
      <c r="W160" s="60">
        <f t="shared" si="11"/>
        <v>1</v>
      </c>
      <c r="Y160" s="6"/>
    </row>
    <row r="161" spans="1:25" s="5" customFormat="1" ht="17.25" customHeight="1">
      <c r="A161" s="59" t="s">
        <v>257</v>
      </c>
      <c r="B161" s="58" t="s">
        <v>715</v>
      </c>
      <c r="C161" s="65" t="s">
        <v>714</v>
      </c>
      <c r="D161" s="58" t="str">
        <f>VLOOKUP(C161,코드!$E$3:$F$30,2,FALSE)</f>
        <v>8647</v>
      </c>
      <c r="E161" s="58" t="str">
        <f t="shared" si="9"/>
        <v>[B-3]</v>
      </c>
      <c r="F161" s="65" t="s">
        <v>713</v>
      </c>
      <c r="G161" s="65" t="s">
        <v>712</v>
      </c>
      <c r="H161" s="66" t="s">
        <v>729</v>
      </c>
      <c r="I161" s="65" t="s">
        <v>734</v>
      </c>
      <c r="J161" s="65" t="s">
        <v>736</v>
      </c>
      <c r="K161" s="58" t="s">
        <v>130</v>
      </c>
      <c r="L161" s="58" t="s">
        <v>17</v>
      </c>
      <c r="M161" s="58">
        <f>VLOOKUP(L161,코드!$B$3:$C$29,2,FALSE)</f>
        <v>4241130</v>
      </c>
      <c r="N161" s="58" t="s">
        <v>129</v>
      </c>
      <c r="O161" s="79" t="s">
        <v>708</v>
      </c>
      <c r="P161" s="63">
        <v>300000</v>
      </c>
      <c r="Q161" s="63">
        <v>1</v>
      </c>
      <c r="R161" s="63">
        <v>2</v>
      </c>
      <c r="S161" s="64">
        <v>600000</v>
      </c>
      <c r="T161" s="63"/>
      <c r="U161" s="165">
        <v>600000</v>
      </c>
      <c r="V161" s="61" t="s">
        <v>316</v>
      </c>
      <c r="W161" s="60">
        <f t="shared" si="11"/>
        <v>1</v>
      </c>
      <c r="Y161" s="6"/>
    </row>
    <row r="162" spans="1:25" s="5" customFormat="1" ht="17.25" customHeight="1">
      <c r="A162" s="59" t="s">
        <v>257</v>
      </c>
      <c r="B162" s="58" t="s">
        <v>715</v>
      </c>
      <c r="C162" s="65" t="s">
        <v>714</v>
      </c>
      <c r="D162" s="58" t="str">
        <f>VLOOKUP(C162,코드!$E$3:$F$30,2,FALSE)</f>
        <v>8647</v>
      </c>
      <c r="E162" s="58" t="str">
        <f t="shared" si="9"/>
        <v>[B-3]</v>
      </c>
      <c r="F162" s="65" t="s">
        <v>713</v>
      </c>
      <c r="G162" s="65" t="s">
        <v>712</v>
      </c>
      <c r="H162" s="66" t="s">
        <v>729</v>
      </c>
      <c r="I162" s="65" t="s">
        <v>734</v>
      </c>
      <c r="J162" s="65" t="s">
        <v>735</v>
      </c>
      <c r="K162" s="58" t="s">
        <v>130</v>
      </c>
      <c r="L162" s="58" t="s">
        <v>17</v>
      </c>
      <c r="M162" s="58">
        <f>VLOOKUP(L162,코드!$B$3:$C$29,2,FALSE)</f>
        <v>4241130</v>
      </c>
      <c r="N162" s="58" t="s">
        <v>120</v>
      </c>
      <c r="O162" s="79" t="s">
        <v>708</v>
      </c>
      <c r="P162" s="63">
        <v>15000</v>
      </c>
      <c r="Q162" s="63">
        <v>13</v>
      </c>
      <c r="R162" s="63">
        <v>2</v>
      </c>
      <c r="S162" s="64">
        <v>390000</v>
      </c>
      <c r="T162" s="63"/>
      <c r="U162" s="165">
        <v>390000</v>
      </c>
      <c r="V162" s="61" t="s">
        <v>316</v>
      </c>
      <c r="W162" s="60">
        <f t="shared" si="11"/>
        <v>1</v>
      </c>
      <c r="Y162" s="6"/>
    </row>
    <row r="163" spans="1:25" s="5" customFormat="1" ht="17.25" customHeight="1">
      <c r="A163" s="59" t="s">
        <v>257</v>
      </c>
      <c r="B163" s="58" t="s">
        <v>715</v>
      </c>
      <c r="C163" s="65" t="s">
        <v>714</v>
      </c>
      <c r="D163" s="58" t="str">
        <f>VLOOKUP(C163,코드!$E$3:$F$30,2,FALSE)</f>
        <v>8647</v>
      </c>
      <c r="E163" s="58" t="str">
        <f t="shared" si="9"/>
        <v>[B-3]</v>
      </c>
      <c r="F163" s="65" t="s">
        <v>713</v>
      </c>
      <c r="G163" s="65" t="s">
        <v>712</v>
      </c>
      <c r="H163" s="66" t="s">
        <v>729</v>
      </c>
      <c r="I163" s="65" t="s">
        <v>734</v>
      </c>
      <c r="J163" s="65" t="s">
        <v>733</v>
      </c>
      <c r="K163" s="58" t="s">
        <v>130</v>
      </c>
      <c r="L163" s="58" t="s">
        <v>17</v>
      </c>
      <c r="M163" s="58">
        <f>VLOOKUP(L163,코드!$B$3:$C$29,2,FALSE)</f>
        <v>4241130</v>
      </c>
      <c r="N163" s="58" t="s">
        <v>129</v>
      </c>
      <c r="O163" s="79" t="s">
        <v>708</v>
      </c>
      <c r="P163" s="63">
        <v>62400</v>
      </c>
      <c r="Q163" s="63">
        <v>3</v>
      </c>
      <c r="R163" s="63">
        <v>2</v>
      </c>
      <c r="S163" s="64">
        <v>374400</v>
      </c>
      <c r="T163" s="63"/>
      <c r="U163" s="165">
        <v>374400</v>
      </c>
      <c r="V163" s="61" t="s">
        <v>316</v>
      </c>
      <c r="W163" s="60">
        <f t="shared" si="11"/>
        <v>1</v>
      </c>
      <c r="Y163" s="6"/>
    </row>
    <row r="164" spans="1:25" s="5" customFormat="1" ht="17.25" customHeight="1">
      <c r="A164" s="59" t="s">
        <v>257</v>
      </c>
      <c r="B164" s="58" t="s">
        <v>715</v>
      </c>
      <c r="C164" s="65" t="s">
        <v>714</v>
      </c>
      <c r="D164" s="58" t="str">
        <f>VLOOKUP(C164,코드!$E$3:$F$30,2,FALSE)</f>
        <v>8647</v>
      </c>
      <c r="E164" s="58" t="str">
        <f t="shared" si="9"/>
        <v>[B-3]</v>
      </c>
      <c r="F164" s="65" t="s">
        <v>713</v>
      </c>
      <c r="G164" s="65" t="s">
        <v>712</v>
      </c>
      <c r="H164" s="66" t="s">
        <v>729</v>
      </c>
      <c r="I164" s="65" t="s">
        <v>728</v>
      </c>
      <c r="J164" s="65" t="s">
        <v>732</v>
      </c>
      <c r="K164" s="58" t="s">
        <v>130</v>
      </c>
      <c r="L164" s="58" t="s">
        <v>17</v>
      </c>
      <c r="M164" s="58">
        <f>VLOOKUP(L164,코드!$B$3:$C$29,2,FALSE)</f>
        <v>4241130</v>
      </c>
      <c r="N164" s="58" t="s">
        <v>129</v>
      </c>
      <c r="O164" s="79" t="s">
        <v>708</v>
      </c>
      <c r="P164" s="63">
        <v>8800</v>
      </c>
      <c r="Q164" s="63">
        <v>60</v>
      </c>
      <c r="R164" s="63">
        <v>1</v>
      </c>
      <c r="S164" s="64">
        <v>528000</v>
      </c>
      <c r="T164" s="63"/>
      <c r="U164" s="165">
        <v>528000</v>
      </c>
      <c r="V164" s="61"/>
      <c r="W164" s="60">
        <f t="shared" si="11"/>
        <v>1</v>
      </c>
      <c r="Y164" s="6"/>
    </row>
    <row r="165" spans="1:25" s="5" customFormat="1" ht="17.25" customHeight="1">
      <c r="A165" s="59" t="s">
        <v>257</v>
      </c>
      <c r="B165" s="58" t="s">
        <v>715</v>
      </c>
      <c r="C165" s="65" t="s">
        <v>714</v>
      </c>
      <c r="D165" s="58" t="str">
        <f>VLOOKUP(C165,코드!$E$3:$F$30,2,FALSE)</f>
        <v>8647</v>
      </c>
      <c r="E165" s="58" t="str">
        <f t="shared" si="9"/>
        <v>[B-3]</v>
      </c>
      <c r="F165" s="65" t="s">
        <v>713</v>
      </c>
      <c r="G165" s="65" t="s">
        <v>712</v>
      </c>
      <c r="H165" s="66" t="s">
        <v>729</v>
      </c>
      <c r="I165" s="65" t="s">
        <v>728</v>
      </c>
      <c r="J165" s="65" t="s">
        <v>731</v>
      </c>
      <c r="K165" s="58" t="s">
        <v>130</v>
      </c>
      <c r="L165" s="58" t="s">
        <v>17</v>
      </c>
      <c r="M165" s="58">
        <f>VLOOKUP(L165,코드!$B$3:$C$29,2,FALSE)</f>
        <v>4241130</v>
      </c>
      <c r="N165" s="58" t="s">
        <v>107</v>
      </c>
      <c r="O165" s="79" t="s">
        <v>708</v>
      </c>
      <c r="P165" s="63">
        <v>150000</v>
      </c>
      <c r="Q165" s="63">
        <v>3</v>
      </c>
      <c r="R165" s="63">
        <v>10</v>
      </c>
      <c r="S165" s="64">
        <v>4500000</v>
      </c>
      <c r="T165" s="63"/>
      <c r="U165" s="165">
        <v>4500000</v>
      </c>
      <c r="V165" s="61" t="s">
        <v>316</v>
      </c>
      <c r="W165" s="60">
        <f t="shared" si="11"/>
        <v>1</v>
      </c>
      <c r="Y165" s="6"/>
    </row>
    <row r="166" spans="1:25" s="5" customFormat="1" ht="17.25" customHeight="1">
      <c r="A166" s="59" t="s">
        <v>257</v>
      </c>
      <c r="B166" s="58" t="s">
        <v>715</v>
      </c>
      <c r="C166" s="65" t="s">
        <v>714</v>
      </c>
      <c r="D166" s="58" t="str">
        <f>VLOOKUP(C166,코드!$E$3:$F$30,2,FALSE)</f>
        <v>8647</v>
      </c>
      <c r="E166" s="58" t="str">
        <f t="shared" si="9"/>
        <v>[B-3]</v>
      </c>
      <c r="F166" s="65" t="s">
        <v>713</v>
      </c>
      <c r="G166" s="65" t="s">
        <v>712</v>
      </c>
      <c r="H166" s="66" t="s">
        <v>729</v>
      </c>
      <c r="I166" s="65" t="s">
        <v>728</v>
      </c>
      <c r="J166" s="65" t="s">
        <v>730</v>
      </c>
      <c r="K166" s="58" t="s">
        <v>130</v>
      </c>
      <c r="L166" s="58" t="s">
        <v>17</v>
      </c>
      <c r="M166" s="58">
        <f>VLOOKUP(L166,코드!$B$3:$C$29,2,FALSE)</f>
        <v>4241130</v>
      </c>
      <c r="N166" s="58" t="s">
        <v>120</v>
      </c>
      <c r="O166" s="79" t="s">
        <v>708</v>
      </c>
      <c r="P166" s="63">
        <v>5000</v>
      </c>
      <c r="Q166" s="63">
        <v>30</v>
      </c>
      <c r="R166" s="63">
        <v>2</v>
      </c>
      <c r="S166" s="64">
        <v>300000</v>
      </c>
      <c r="T166" s="63"/>
      <c r="U166" s="165">
        <v>300000</v>
      </c>
      <c r="V166" s="61" t="s">
        <v>316</v>
      </c>
      <c r="W166" s="60">
        <f t="shared" si="11"/>
        <v>1</v>
      </c>
      <c r="Y166" s="6"/>
    </row>
    <row r="167" spans="1:25" s="5" customFormat="1" ht="17.25" customHeight="1">
      <c r="A167" s="59" t="s">
        <v>257</v>
      </c>
      <c r="B167" s="58" t="s">
        <v>715</v>
      </c>
      <c r="C167" s="65" t="s">
        <v>714</v>
      </c>
      <c r="D167" s="58" t="str">
        <f>VLOOKUP(C167,코드!$E$3:$F$30,2,FALSE)</f>
        <v>8647</v>
      </c>
      <c r="E167" s="58" t="str">
        <f t="shared" si="9"/>
        <v>[B-3]</v>
      </c>
      <c r="F167" s="65" t="s">
        <v>713</v>
      </c>
      <c r="G167" s="65" t="s">
        <v>712</v>
      </c>
      <c r="H167" s="66" t="s">
        <v>729</v>
      </c>
      <c r="I167" s="65" t="s">
        <v>728</v>
      </c>
      <c r="J167" s="65" t="s">
        <v>709</v>
      </c>
      <c r="K167" s="58" t="s">
        <v>130</v>
      </c>
      <c r="L167" s="58" t="s">
        <v>17</v>
      </c>
      <c r="M167" s="58">
        <f>VLOOKUP(L167,코드!$B$3:$C$29,2,FALSE)</f>
        <v>4241130</v>
      </c>
      <c r="N167" s="58" t="s">
        <v>129</v>
      </c>
      <c r="O167" s="79" t="s">
        <v>708</v>
      </c>
      <c r="P167" s="63">
        <v>270000</v>
      </c>
      <c r="Q167" s="63">
        <v>1</v>
      </c>
      <c r="R167" s="63">
        <v>2</v>
      </c>
      <c r="S167" s="64">
        <v>540000</v>
      </c>
      <c r="T167" s="63"/>
      <c r="U167" s="165">
        <v>540000</v>
      </c>
      <c r="V167" s="61" t="s">
        <v>316</v>
      </c>
      <c r="W167" s="60">
        <f t="shared" si="11"/>
        <v>1</v>
      </c>
      <c r="Y167" s="6"/>
    </row>
    <row r="168" spans="1:25" s="5" customFormat="1" ht="17.25" customHeight="1">
      <c r="A168" s="59" t="s">
        <v>257</v>
      </c>
      <c r="B168" s="58" t="s">
        <v>715</v>
      </c>
      <c r="C168" s="65" t="s">
        <v>714</v>
      </c>
      <c r="D168" s="58" t="str">
        <f>VLOOKUP(C168,코드!$E$3:$F$30,2,FALSE)</f>
        <v>8647</v>
      </c>
      <c r="E168" s="58" t="str">
        <f t="shared" si="9"/>
        <v>[B-3]</v>
      </c>
      <c r="F168" s="65" t="s">
        <v>713</v>
      </c>
      <c r="G168" s="65" t="s">
        <v>712</v>
      </c>
      <c r="H168" s="66" t="s">
        <v>729</v>
      </c>
      <c r="I168" s="65" t="s">
        <v>728</v>
      </c>
      <c r="J168" s="65" t="s">
        <v>723</v>
      </c>
      <c r="K168" s="58" t="s">
        <v>130</v>
      </c>
      <c r="L168" s="58" t="s">
        <v>17</v>
      </c>
      <c r="M168" s="58">
        <f>VLOOKUP(L168,코드!$B$3:$C$29,2,FALSE)</f>
        <v>4241130</v>
      </c>
      <c r="N168" s="58" t="s">
        <v>129</v>
      </c>
      <c r="O168" s="79" t="s">
        <v>708</v>
      </c>
      <c r="P168" s="63">
        <v>30000</v>
      </c>
      <c r="Q168" s="63">
        <v>7</v>
      </c>
      <c r="R168" s="63">
        <v>2</v>
      </c>
      <c r="S168" s="64">
        <v>420000</v>
      </c>
      <c r="T168" s="63"/>
      <c r="U168" s="165">
        <v>420000</v>
      </c>
      <c r="V168" s="61" t="s">
        <v>316</v>
      </c>
      <c r="W168" s="60">
        <f t="shared" si="11"/>
        <v>1</v>
      </c>
      <c r="Y168" s="6"/>
    </row>
    <row r="169" spans="1:25" s="5" customFormat="1" ht="17.25" customHeight="1">
      <c r="A169" s="59" t="s">
        <v>257</v>
      </c>
      <c r="B169" s="58" t="s">
        <v>715</v>
      </c>
      <c r="C169" s="65" t="s">
        <v>714</v>
      </c>
      <c r="D169" s="58" t="str">
        <f>VLOOKUP(C169,코드!$E$3:$F$30,2,FALSE)</f>
        <v>8647</v>
      </c>
      <c r="E169" s="58" t="str">
        <f t="shared" si="9"/>
        <v>[B-3]</v>
      </c>
      <c r="F169" s="65" t="s">
        <v>713</v>
      </c>
      <c r="G169" s="65" t="s">
        <v>712</v>
      </c>
      <c r="H169" s="66" t="s">
        <v>711</v>
      </c>
      <c r="I169" s="65" t="s">
        <v>724</v>
      </c>
      <c r="J169" s="65" t="s">
        <v>727</v>
      </c>
      <c r="K169" s="58" t="s">
        <v>130</v>
      </c>
      <c r="L169" s="58" t="s">
        <v>17</v>
      </c>
      <c r="M169" s="58">
        <f>VLOOKUP(L169,코드!$B$3:$C$29,2,FALSE)</f>
        <v>4241130</v>
      </c>
      <c r="N169" s="58" t="s">
        <v>129</v>
      </c>
      <c r="O169" s="79" t="s">
        <v>708</v>
      </c>
      <c r="P169" s="63">
        <v>1000000</v>
      </c>
      <c r="Q169" s="63">
        <v>1</v>
      </c>
      <c r="R169" s="63">
        <v>1</v>
      </c>
      <c r="S169" s="64">
        <v>1000000</v>
      </c>
      <c r="T169" s="63"/>
      <c r="U169" s="82">
        <f t="shared" ref="U169:U176" si="12">S169</f>
        <v>1000000</v>
      </c>
      <c r="V169" s="87" t="s">
        <v>153</v>
      </c>
      <c r="W169" s="60">
        <f t="shared" si="11"/>
        <v>1</v>
      </c>
      <c r="Y169" s="6"/>
    </row>
    <row r="170" spans="1:25" s="5" customFormat="1" ht="17.25" customHeight="1">
      <c r="A170" s="59" t="s">
        <v>257</v>
      </c>
      <c r="B170" s="58" t="s">
        <v>715</v>
      </c>
      <c r="C170" s="65" t="s">
        <v>714</v>
      </c>
      <c r="D170" s="58" t="str">
        <f>VLOOKUP(C170,코드!$E$3:$F$30,2,FALSE)</f>
        <v>8647</v>
      </c>
      <c r="E170" s="58" t="str">
        <f t="shared" si="9"/>
        <v>[B-3]</v>
      </c>
      <c r="F170" s="65" t="s">
        <v>713</v>
      </c>
      <c r="G170" s="65" t="s">
        <v>712</v>
      </c>
      <c r="H170" s="66" t="s">
        <v>711</v>
      </c>
      <c r="I170" s="65" t="s">
        <v>724</v>
      </c>
      <c r="J170" s="65" t="s">
        <v>726</v>
      </c>
      <c r="K170" s="58" t="s">
        <v>130</v>
      </c>
      <c r="L170" s="58" t="s">
        <v>17</v>
      </c>
      <c r="M170" s="58">
        <f>VLOOKUP(L170,코드!$B$3:$C$29,2,FALSE)</f>
        <v>4241130</v>
      </c>
      <c r="N170" s="58" t="s">
        <v>129</v>
      </c>
      <c r="O170" s="79" t="s">
        <v>708</v>
      </c>
      <c r="P170" s="63">
        <v>2000000</v>
      </c>
      <c r="Q170" s="63">
        <v>1</v>
      </c>
      <c r="R170" s="63">
        <v>1</v>
      </c>
      <c r="S170" s="64">
        <v>2000000</v>
      </c>
      <c r="T170" s="63"/>
      <c r="U170" s="82">
        <f t="shared" si="12"/>
        <v>2000000</v>
      </c>
      <c r="V170" s="87" t="s">
        <v>153</v>
      </c>
      <c r="W170" s="60">
        <f t="shared" si="11"/>
        <v>1</v>
      </c>
      <c r="Y170" s="6"/>
    </row>
    <row r="171" spans="1:25" ht="17.25" customHeight="1">
      <c r="A171" s="59" t="s">
        <v>257</v>
      </c>
      <c r="B171" s="58" t="s">
        <v>715</v>
      </c>
      <c r="C171" s="65" t="s">
        <v>714</v>
      </c>
      <c r="D171" s="58" t="str">
        <f>VLOOKUP(C171,코드!$E$3:$F$30,2,FALSE)</f>
        <v>8647</v>
      </c>
      <c r="E171" s="58" t="str">
        <f t="shared" si="9"/>
        <v>[B-3]</v>
      </c>
      <c r="F171" s="65" t="s">
        <v>713</v>
      </c>
      <c r="G171" s="65" t="s">
        <v>712</v>
      </c>
      <c r="H171" s="66" t="s">
        <v>711</v>
      </c>
      <c r="I171" s="65" t="s">
        <v>724</v>
      </c>
      <c r="J171" s="65" t="s">
        <v>725</v>
      </c>
      <c r="K171" s="58" t="s">
        <v>130</v>
      </c>
      <c r="L171" s="58" t="s">
        <v>17</v>
      </c>
      <c r="M171" s="58">
        <f>VLOOKUP(L171,코드!$B$3:$C$29,2,FALSE)</f>
        <v>4241130</v>
      </c>
      <c r="N171" s="58" t="s">
        <v>217</v>
      </c>
      <c r="O171" s="79" t="s">
        <v>708</v>
      </c>
      <c r="P171" s="63">
        <v>40000</v>
      </c>
      <c r="Q171" s="63">
        <v>40</v>
      </c>
      <c r="R171" s="63">
        <v>1</v>
      </c>
      <c r="S171" s="64">
        <v>1600000</v>
      </c>
      <c r="T171" s="63"/>
      <c r="U171" s="82">
        <f t="shared" si="12"/>
        <v>1600000</v>
      </c>
      <c r="V171" s="87" t="s">
        <v>153</v>
      </c>
      <c r="W171" s="60">
        <f t="shared" si="11"/>
        <v>1</v>
      </c>
    </row>
    <row r="172" spans="1:25" ht="17.25" customHeight="1">
      <c r="A172" s="59" t="s">
        <v>257</v>
      </c>
      <c r="B172" s="58" t="s">
        <v>715</v>
      </c>
      <c r="C172" s="65" t="s">
        <v>714</v>
      </c>
      <c r="D172" s="58" t="str">
        <f>VLOOKUP(C172,코드!$E$3:$F$30,2,FALSE)</f>
        <v>8647</v>
      </c>
      <c r="E172" s="58" t="str">
        <f t="shared" si="9"/>
        <v>[B-3]</v>
      </c>
      <c r="F172" s="65" t="s">
        <v>713</v>
      </c>
      <c r="G172" s="65" t="s">
        <v>712</v>
      </c>
      <c r="H172" s="66" t="s">
        <v>711</v>
      </c>
      <c r="I172" s="65" t="s">
        <v>724</v>
      </c>
      <c r="J172" s="65" t="s">
        <v>723</v>
      </c>
      <c r="K172" s="58" t="s">
        <v>130</v>
      </c>
      <c r="L172" s="58" t="s">
        <v>17</v>
      </c>
      <c r="M172" s="58">
        <f>VLOOKUP(L172,코드!$B$3:$C$29,2,FALSE)</f>
        <v>4241130</v>
      </c>
      <c r="N172" s="58" t="s">
        <v>129</v>
      </c>
      <c r="O172" s="79" t="s">
        <v>708</v>
      </c>
      <c r="P172" s="63">
        <v>30000</v>
      </c>
      <c r="Q172" s="63">
        <v>7</v>
      </c>
      <c r="R172" s="63">
        <v>2</v>
      </c>
      <c r="S172" s="64">
        <v>420000</v>
      </c>
      <c r="T172" s="63"/>
      <c r="U172" s="82">
        <f t="shared" si="12"/>
        <v>420000</v>
      </c>
      <c r="V172" s="87" t="s">
        <v>153</v>
      </c>
      <c r="W172" s="60">
        <f t="shared" si="11"/>
        <v>1</v>
      </c>
    </row>
    <row r="173" spans="1:25" ht="17.25" customHeight="1">
      <c r="A173" s="59" t="s">
        <v>257</v>
      </c>
      <c r="B173" s="58" t="s">
        <v>715</v>
      </c>
      <c r="C173" s="65" t="s">
        <v>714</v>
      </c>
      <c r="D173" s="58" t="str">
        <f>VLOOKUP(C173,코드!$E$3:$F$30,2,FALSE)</f>
        <v>8647</v>
      </c>
      <c r="E173" s="58" t="str">
        <f t="shared" si="9"/>
        <v>[B-3]</v>
      </c>
      <c r="F173" s="65" t="s">
        <v>713</v>
      </c>
      <c r="G173" s="65" t="s">
        <v>712</v>
      </c>
      <c r="H173" s="66" t="s">
        <v>711</v>
      </c>
      <c r="I173" s="65" t="s">
        <v>720</v>
      </c>
      <c r="J173" s="65" t="s">
        <v>722</v>
      </c>
      <c r="K173" s="58" t="s">
        <v>130</v>
      </c>
      <c r="L173" s="58" t="s">
        <v>17</v>
      </c>
      <c r="M173" s="58">
        <f>VLOOKUP(L173,코드!$B$3:$C$29,2,FALSE)</f>
        <v>4241130</v>
      </c>
      <c r="N173" s="58" t="s">
        <v>107</v>
      </c>
      <c r="O173" s="79" t="s">
        <v>708</v>
      </c>
      <c r="P173" s="63">
        <v>30000</v>
      </c>
      <c r="Q173" s="63">
        <v>7</v>
      </c>
      <c r="R173" s="63">
        <v>2</v>
      </c>
      <c r="S173" s="64">
        <v>900000</v>
      </c>
      <c r="T173" s="63"/>
      <c r="U173" s="82">
        <f t="shared" si="12"/>
        <v>900000</v>
      </c>
      <c r="V173" s="87" t="s">
        <v>153</v>
      </c>
      <c r="W173" s="60">
        <f t="shared" si="11"/>
        <v>1</v>
      </c>
    </row>
    <row r="174" spans="1:25" ht="17.25" customHeight="1">
      <c r="A174" s="59" t="s">
        <v>257</v>
      </c>
      <c r="B174" s="58" t="s">
        <v>715</v>
      </c>
      <c r="C174" s="65" t="s">
        <v>714</v>
      </c>
      <c r="D174" s="58" t="str">
        <f>VLOOKUP(C174,코드!$E$3:$F$30,2,FALSE)</f>
        <v>8647</v>
      </c>
      <c r="E174" s="58" t="str">
        <f t="shared" si="9"/>
        <v>[B-3]</v>
      </c>
      <c r="F174" s="65" t="s">
        <v>713</v>
      </c>
      <c r="G174" s="65" t="s">
        <v>712</v>
      </c>
      <c r="H174" s="66" t="s">
        <v>711</v>
      </c>
      <c r="I174" s="65" t="s">
        <v>720</v>
      </c>
      <c r="J174" s="65" t="s">
        <v>721</v>
      </c>
      <c r="K174" s="58" t="s">
        <v>130</v>
      </c>
      <c r="L174" s="58" t="s">
        <v>17</v>
      </c>
      <c r="M174" s="58">
        <f>VLOOKUP(L174,코드!$B$3:$C$29,2,FALSE)</f>
        <v>4241130</v>
      </c>
      <c r="N174" s="58" t="s">
        <v>129</v>
      </c>
      <c r="O174" s="79" t="s">
        <v>708</v>
      </c>
      <c r="P174" s="63">
        <v>15000</v>
      </c>
      <c r="Q174" s="63">
        <v>11</v>
      </c>
      <c r="R174" s="63">
        <v>8</v>
      </c>
      <c r="S174" s="64">
        <v>1320000</v>
      </c>
      <c r="T174" s="63"/>
      <c r="U174" s="82">
        <f t="shared" si="12"/>
        <v>1320000</v>
      </c>
      <c r="V174" s="87" t="s">
        <v>153</v>
      </c>
      <c r="W174" s="60">
        <f t="shared" si="11"/>
        <v>1</v>
      </c>
    </row>
    <row r="175" spans="1:25" ht="17.25" customHeight="1">
      <c r="A175" s="59" t="s">
        <v>257</v>
      </c>
      <c r="B175" s="58" t="s">
        <v>715</v>
      </c>
      <c r="C175" s="65" t="s">
        <v>714</v>
      </c>
      <c r="D175" s="58" t="str">
        <f>VLOOKUP(C175,코드!$E$3:$F$30,2,FALSE)</f>
        <v>8647</v>
      </c>
      <c r="E175" s="58" t="str">
        <f t="shared" si="9"/>
        <v>[B-3]</v>
      </c>
      <c r="F175" s="65" t="s">
        <v>713</v>
      </c>
      <c r="G175" s="65" t="s">
        <v>712</v>
      </c>
      <c r="H175" s="66" t="s">
        <v>711</v>
      </c>
      <c r="I175" s="65" t="s">
        <v>720</v>
      </c>
      <c r="J175" s="65" t="s">
        <v>709</v>
      </c>
      <c r="K175" s="58" t="s">
        <v>130</v>
      </c>
      <c r="L175" s="58" t="s">
        <v>17</v>
      </c>
      <c r="M175" s="58">
        <f>VLOOKUP(L175,코드!$B$3:$C$29,2,FALSE)</f>
        <v>4241130</v>
      </c>
      <c r="N175" s="58" t="s">
        <v>129</v>
      </c>
      <c r="O175" s="79" t="s">
        <v>708</v>
      </c>
      <c r="P175" s="63">
        <v>270000</v>
      </c>
      <c r="Q175" s="63">
        <v>1</v>
      </c>
      <c r="R175" s="63">
        <v>2</v>
      </c>
      <c r="S175" s="64">
        <v>540000</v>
      </c>
      <c r="T175" s="63"/>
      <c r="U175" s="82">
        <f t="shared" si="12"/>
        <v>540000</v>
      </c>
      <c r="V175" s="87" t="s">
        <v>153</v>
      </c>
      <c r="W175" s="60">
        <f t="shared" si="11"/>
        <v>1</v>
      </c>
    </row>
    <row r="176" spans="1:25" ht="17.25" customHeight="1">
      <c r="A176" s="59" t="s">
        <v>257</v>
      </c>
      <c r="B176" s="58" t="s">
        <v>715</v>
      </c>
      <c r="C176" s="65" t="s">
        <v>714</v>
      </c>
      <c r="D176" s="58" t="str">
        <f>VLOOKUP(C176,코드!$E$3:$F$30,2,FALSE)</f>
        <v>8647</v>
      </c>
      <c r="E176" s="58" t="str">
        <f t="shared" si="9"/>
        <v>[B-3]</v>
      </c>
      <c r="F176" s="65" t="s">
        <v>713</v>
      </c>
      <c r="G176" s="65" t="s">
        <v>712</v>
      </c>
      <c r="H176" s="66" t="s">
        <v>711</v>
      </c>
      <c r="I176" s="65" t="s">
        <v>720</v>
      </c>
      <c r="J176" s="65" t="s">
        <v>719</v>
      </c>
      <c r="K176" s="58" t="s">
        <v>130</v>
      </c>
      <c r="L176" s="58" t="s">
        <v>17</v>
      </c>
      <c r="M176" s="58">
        <f>VLOOKUP(L176,코드!$B$3:$C$29,2,FALSE)</f>
        <v>4241130</v>
      </c>
      <c r="N176" s="58" t="s">
        <v>129</v>
      </c>
      <c r="O176" s="79" t="s">
        <v>708</v>
      </c>
      <c r="P176" s="63">
        <v>500000</v>
      </c>
      <c r="Q176" s="63">
        <v>1</v>
      </c>
      <c r="R176" s="63">
        <v>2</v>
      </c>
      <c r="S176" s="64">
        <v>1000000</v>
      </c>
      <c r="T176" s="63"/>
      <c r="U176" s="82">
        <f t="shared" si="12"/>
        <v>1000000</v>
      </c>
      <c r="V176" s="87" t="s">
        <v>153</v>
      </c>
      <c r="W176" s="60">
        <f t="shared" si="11"/>
        <v>1</v>
      </c>
    </row>
    <row r="177" spans="1:31" ht="17.25" customHeight="1">
      <c r="A177" s="59" t="s">
        <v>257</v>
      </c>
      <c r="B177" s="58" t="s">
        <v>715</v>
      </c>
      <c r="C177" s="65" t="s">
        <v>714</v>
      </c>
      <c r="D177" s="58" t="str">
        <f>VLOOKUP(C177,코드!$E$3:$F$30,2,FALSE)</f>
        <v>8647</v>
      </c>
      <c r="E177" s="58" t="str">
        <f t="shared" si="9"/>
        <v>[B-3]</v>
      </c>
      <c r="F177" s="65" t="s">
        <v>713</v>
      </c>
      <c r="G177" s="65" t="s">
        <v>712</v>
      </c>
      <c r="H177" s="66" t="s">
        <v>711</v>
      </c>
      <c r="I177" s="65" t="s">
        <v>710</v>
      </c>
      <c r="J177" s="65" t="s">
        <v>718</v>
      </c>
      <c r="K177" s="58" t="s">
        <v>130</v>
      </c>
      <c r="L177" s="58" t="s">
        <v>17</v>
      </c>
      <c r="M177" s="58">
        <f>VLOOKUP(L177,코드!$B$3:$C$29,2,FALSE)</f>
        <v>4241130</v>
      </c>
      <c r="N177" s="58" t="s">
        <v>107</v>
      </c>
      <c r="O177" s="79" t="s">
        <v>708</v>
      </c>
      <c r="P177" s="63">
        <v>450000</v>
      </c>
      <c r="Q177" s="63">
        <v>1</v>
      </c>
      <c r="R177" s="63">
        <v>1</v>
      </c>
      <c r="S177" s="64">
        <v>450000</v>
      </c>
      <c r="T177" s="63"/>
      <c r="U177" s="165">
        <v>450000</v>
      </c>
      <c r="V177" s="61" t="s">
        <v>316</v>
      </c>
      <c r="W177" s="60">
        <f t="shared" si="11"/>
        <v>1</v>
      </c>
    </row>
    <row r="178" spans="1:31" ht="17.25" customHeight="1">
      <c r="A178" s="59" t="s">
        <v>257</v>
      </c>
      <c r="B178" s="58" t="s">
        <v>715</v>
      </c>
      <c r="C178" s="65" t="s">
        <v>714</v>
      </c>
      <c r="D178" s="58" t="str">
        <f>VLOOKUP(C178,코드!$E$3:$F$30,2,FALSE)</f>
        <v>8647</v>
      </c>
      <c r="E178" s="58" t="str">
        <f t="shared" si="9"/>
        <v>[B-3]</v>
      </c>
      <c r="F178" s="65" t="s">
        <v>713</v>
      </c>
      <c r="G178" s="65" t="s">
        <v>712</v>
      </c>
      <c r="H178" s="66" t="s">
        <v>711</v>
      </c>
      <c r="I178" s="65" t="s">
        <v>710</v>
      </c>
      <c r="J178" s="65" t="s">
        <v>717</v>
      </c>
      <c r="K178" s="58" t="s">
        <v>130</v>
      </c>
      <c r="L178" s="58" t="s">
        <v>17</v>
      </c>
      <c r="M178" s="58">
        <f>VLOOKUP(L178,코드!$B$3:$C$29,2,FALSE)</f>
        <v>4241130</v>
      </c>
      <c r="N178" s="58" t="s">
        <v>129</v>
      </c>
      <c r="O178" s="79" t="s">
        <v>708</v>
      </c>
      <c r="P178" s="63">
        <v>40000</v>
      </c>
      <c r="Q178" s="63">
        <v>12</v>
      </c>
      <c r="R178" s="63">
        <v>1</v>
      </c>
      <c r="S178" s="64">
        <v>480000</v>
      </c>
      <c r="T178" s="63"/>
      <c r="U178" s="165">
        <v>480000</v>
      </c>
      <c r="V178" s="61" t="s">
        <v>316</v>
      </c>
      <c r="W178" s="60">
        <f t="shared" si="11"/>
        <v>1</v>
      </c>
    </row>
    <row r="179" spans="1:31" ht="17.25" customHeight="1">
      <c r="A179" s="59" t="s">
        <v>257</v>
      </c>
      <c r="B179" s="58" t="s">
        <v>715</v>
      </c>
      <c r="C179" s="65" t="s">
        <v>714</v>
      </c>
      <c r="D179" s="58" t="str">
        <f>VLOOKUP(C179,코드!$E$3:$F$30,2,FALSE)</f>
        <v>8647</v>
      </c>
      <c r="E179" s="58" t="str">
        <f t="shared" si="9"/>
        <v>[B-3]</v>
      </c>
      <c r="F179" s="65" t="s">
        <v>713</v>
      </c>
      <c r="G179" s="65" t="s">
        <v>712</v>
      </c>
      <c r="H179" s="66" t="s">
        <v>711</v>
      </c>
      <c r="I179" s="65" t="s">
        <v>710</v>
      </c>
      <c r="J179" s="65" t="s">
        <v>716</v>
      </c>
      <c r="K179" s="58" t="s">
        <v>130</v>
      </c>
      <c r="L179" s="58" t="s">
        <v>17</v>
      </c>
      <c r="M179" s="58">
        <f>VLOOKUP(L179,코드!$B$3:$C$29,2,FALSE)</f>
        <v>4241130</v>
      </c>
      <c r="N179" s="58" t="s">
        <v>129</v>
      </c>
      <c r="O179" s="79" t="s">
        <v>708</v>
      </c>
      <c r="P179" s="63">
        <v>15000</v>
      </c>
      <c r="Q179" s="63">
        <v>13</v>
      </c>
      <c r="R179" s="63">
        <v>1</v>
      </c>
      <c r="S179" s="64">
        <v>195000</v>
      </c>
      <c r="T179" s="63"/>
      <c r="U179" s="165">
        <v>195000</v>
      </c>
      <c r="V179" s="61" t="s">
        <v>316</v>
      </c>
      <c r="W179" s="60">
        <f t="shared" si="11"/>
        <v>1</v>
      </c>
    </row>
    <row r="180" spans="1:31" ht="17.25" customHeight="1">
      <c r="A180" s="59" t="s">
        <v>257</v>
      </c>
      <c r="B180" s="58" t="s">
        <v>715</v>
      </c>
      <c r="C180" s="65" t="s">
        <v>714</v>
      </c>
      <c r="D180" s="58" t="str">
        <f>VLOOKUP(C180,코드!$E$3:$F$30,2,FALSE)</f>
        <v>8647</v>
      </c>
      <c r="E180" s="58" t="str">
        <f t="shared" si="9"/>
        <v>[B-3]</v>
      </c>
      <c r="F180" s="65" t="s">
        <v>713</v>
      </c>
      <c r="G180" s="65" t="s">
        <v>712</v>
      </c>
      <c r="H180" s="66" t="s">
        <v>711</v>
      </c>
      <c r="I180" s="65" t="s">
        <v>710</v>
      </c>
      <c r="J180" s="65" t="s">
        <v>709</v>
      </c>
      <c r="K180" s="58" t="s">
        <v>130</v>
      </c>
      <c r="L180" s="58" t="s">
        <v>17</v>
      </c>
      <c r="M180" s="58">
        <f>VLOOKUP(L180,코드!$B$3:$C$29,2,FALSE)</f>
        <v>4241130</v>
      </c>
      <c r="N180" s="58" t="s">
        <v>129</v>
      </c>
      <c r="O180" s="79" t="s">
        <v>708</v>
      </c>
      <c r="P180" s="63">
        <v>270000</v>
      </c>
      <c r="Q180" s="63">
        <v>1</v>
      </c>
      <c r="R180" s="63">
        <v>1</v>
      </c>
      <c r="S180" s="64">
        <v>270000</v>
      </c>
      <c r="T180" s="63"/>
      <c r="U180" s="165">
        <v>270000</v>
      </c>
      <c r="V180" s="61" t="s">
        <v>316</v>
      </c>
      <c r="W180" s="60">
        <f t="shared" si="11"/>
        <v>1</v>
      </c>
    </row>
    <row r="181" spans="1:31" ht="17.25" customHeight="1">
      <c r="A181" s="59" t="s">
        <v>257</v>
      </c>
      <c r="B181" s="72" t="s">
        <v>531</v>
      </c>
      <c r="C181" s="72" t="s">
        <v>152</v>
      </c>
      <c r="D181" s="58" t="str">
        <f>VLOOKUP(C181,코드!$E$3:$F$30,2,FALSE)</f>
        <v>8701</v>
      </c>
      <c r="E181" s="58" t="str">
        <f t="shared" si="9"/>
        <v>[C-1]</v>
      </c>
      <c r="F181" s="66" t="s">
        <v>680</v>
      </c>
      <c r="G181" s="65" t="s">
        <v>698</v>
      </c>
      <c r="H181" s="66" t="s">
        <v>702</v>
      </c>
      <c r="I181" s="70" t="s">
        <v>470</v>
      </c>
      <c r="J181" s="70" t="s">
        <v>707</v>
      </c>
      <c r="K181" s="69" t="s">
        <v>84</v>
      </c>
      <c r="L181" s="68" t="s">
        <v>97</v>
      </c>
      <c r="M181" s="68">
        <f>VLOOKUP(L181,코드!$B$3:$C$29,2,FALSE)</f>
        <v>4125101</v>
      </c>
      <c r="N181" s="69" t="s">
        <v>96</v>
      </c>
      <c r="O181" s="68" t="s">
        <v>68</v>
      </c>
      <c r="P181" s="63"/>
      <c r="Q181" s="63"/>
      <c r="R181" s="63"/>
      <c r="S181" s="64">
        <v>31200000</v>
      </c>
      <c r="T181" s="63"/>
      <c r="U181" s="63">
        <v>31200000</v>
      </c>
      <c r="V181" s="61" t="s">
        <v>67</v>
      </c>
      <c r="W181" s="60">
        <f t="shared" si="11"/>
        <v>1</v>
      </c>
    </row>
    <row r="182" spans="1:31" ht="17.25" customHeight="1">
      <c r="A182" s="59" t="s">
        <v>257</v>
      </c>
      <c r="B182" s="72" t="s">
        <v>531</v>
      </c>
      <c r="C182" s="72" t="s">
        <v>152</v>
      </c>
      <c r="D182" s="58" t="str">
        <f>VLOOKUP(C182,코드!$E$3:$F$30,2,FALSE)</f>
        <v>8701</v>
      </c>
      <c r="E182" s="58" t="str">
        <f t="shared" si="9"/>
        <v>[C-1]</v>
      </c>
      <c r="F182" s="66" t="s">
        <v>680</v>
      </c>
      <c r="G182" s="65" t="s">
        <v>698</v>
      </c>
      <c r="H182" s="66" t="s">
        <v>702</v>
      </c>
      <c r="I182" s="70" t="s">
        <v>251</v>
      </c>
      <c r="J182" s="70" t="s">
        <v>706</v>
      </c>
      <c r="K182" s="69" t="s">
        <v>84</v>
      </c>
      <c r="L182" s="68" t="s">
        <v>22</v>
      </c>
      <c r="M182" s="68">
        <f>VLOOKUP(L182,코드!$B$3:$C$29,2,FALSE)</f>
        <v>4118701</v>
      </c>
      <c r="N182" s="69" t="s">
        <v>96</v>
      </c>
      <c r="O182" s="68" t="s">
        <v>68</v>
      </c>
      <c r="P182" s="63"/>
      <c r="Q182" s="63"/>
      <c r="R182" s="63"/>
      <c r="S182" s="64">
        <v>34968600</v>
      </c>
      <c r="T182" s="63"/>
      <c r="U182" s="63">
        <v>34968600</v>
      </c>
      <c r="V182" s="61" t="s">
        <v>67</v>
      </c>
      <c r="W182" s="60">
        <f t="shared" si="11"/>
        <v>1</v>
      </c>
    </row>
    <row r="183" spans="1:31" ht="17.25" customHeight="1">
      <c r="A183" s="59" t="s">
        <v>257</v>
      </c>
      <c r="B183" s="72" t="s">
        <v>531</v>
      </c>
      <c r="C183" s="72" t="s">
        <v>152</v>
      </c>
      <c r="D183" s="58" t="str">
        <f>VLOOKUP(C183,코드!$E$3:$F$30,2,FALSE)</f>
        <v>8701</v>
      </c>
      <c r="E183" s="58" t="str">
        <f t="shared" si="9"/>
        <v>[C-1]</v>
      </c>
      <c r="F183" s="66" t="s">
        <v>680</v>
      </c>
      <c r="G183" s="65" t="s">
        <v>698</v>
      </c>
      <c r="H183" s="66" t="s">
        <v>702</v>
      </c>
      <c r="I183" s="70" t="s">
        <v>251</v>
      </c>
      <c r="J183" s="70" t="s">
        <v>705</v>
      </c>
      <c r="K183" s="69" t="s">
        <v>84</v>
      </c>
      <c r="L183" s="68" t="s">
        <v>22</v>
      </c>
      <c r="M183" s="68">
        <f>VLOOKUP(L183,코드!$B$3:$C$29,2,FALSE)</f>
        <v>4118701</v>
      </c>
      <c r="N183" s="69" t="s">
        <v>96</v>
      </c>
      <c r="O183" s="68" t="s">
        <v>68</v>
      </c>
      <c r="P183" s="63"/>
      <c r="Q183" s="63"/>
      <c r="R183" s="63"/>
      <c r="S183" s="64">
        <v>31836000</v>
      </c>
      <c r="T183" s="63"/>
      <c r="U183" s="63">
        <v>31836000</v>
      </c>
      <c r="V183" s="61" t="s">
        <v>67</v>
      </c>
      <c r="W183" s="60">
        <f t="shared" si="11"/>
        <v>1</v>
      </c>
    </row>
    <row r="184" spans="1:31" s="16" customFormat="1" ht="17.25" customHeight="1">
      <c r="A184" s="59" t="s">
        <v>257</v>
      </c>
      <c r="B184" s="72" t="s">
        <v>531</v>
      </c>
      <c r="C184" s="72" t="s">
        <v>152</v>
      </c>
      <c r="D184" s="58" t="str">
        <f>VLOOKUP(C184,코드!$E$3:$F$30,2,FALSE)</f>
        <v>8701</v>
      </c>
      <c r="E184" s="58" t="str">
        <f t="shared" si="9"/>
        <v>[C-1]</v>
      </c>
      <c r="F184" s="66" t="s">
        <v>680</v>
      </c>
      <c r="G184" s="65" t="s">
        <v>704</v>
      </c>
      <c r="H184" s="66" t="s">
        <v>702</v>
      </c>
      <c r="I184" s="65" t="s">
        <v>703</v>
      </c>
      <c r="J184" s="65" t="s">
        <v>564</v>
      </c>
      <c r="K184" s="72" t="s">
        <v>130</v>
      </c>
      <c r="L184" s="72" t="s">
        <v>11</v>
      </c>
      <c r="M184" s="58">
        <f>VLOOKUP(L184,코드!$B$3:$C$29,2,FALSE)</f>
        <v>4113401</v>
      </c>
      <c r="N184" s="72" t="s">
        <v>154</v>
      </c>
      <c r="O184" s="79" t="s">
        <v>675</v>
      </c>
      <c r="P184" s="200">
        <v>3000000</v>
      </c>
      <c r="Q184" s="200">
        <v>1</v>
      </c>
      <c r="R184" s="200">
        <v>10</v>
      </c>
      <c r="S184" s="76">
        <v>30000000</v>
      </c>
      <c r="T184" s="200">
        <v>30000000</v>
      </c>
      <c r="U184" s="82">
        <f>S184</f>
        <v>30000000</v>
      </c>
      <c r="V184" s="87" t="s">
        <v>153</v>
      </c>
      <c r="W184" s="60">
        <f t="shared" si="11"/>
        <v>1</v>
      </c>
      <c r="X184" s="198"/>
      <c r="Y184" s="74"/>
      <c r="Z184" s="198"/>
      <c r="AD184" s="198"/>
      <c r="AE184" s="198"/>
    </row>
    <row r="185" spans="1:31" s="16" customFormat="1" ht="17.25" customHeight="1">
      <c r="A185" s="59" t="s">
        <v>257</v>
      </c>
      <c r="B185" s="72" t="s">
        <v>531</v>
      </c>
      <c r="C185" s="72" t="s">
        <v>152</v>
      </c>
      <c r="D185" s="58" t="str">
        <f>VLOOKUP(C185,코드!$E$3:$F$30,2,FALSE)</f>
        <v>8701</v>
      </c>
      <c r="E185" s="58" t="str">
        <f t="shared" si="9"/>
        <v>[C-1]</v>
      </c>
      <c r="F185" s="66" t="s">
        <v>680</v>
      </c>
      <c r="G185" s="65" t="s">
        <v>698</v>
      </c>
      <c r="H185" s="66" t="s">
        <v>702</v>
      </c>
      <c r="I185" s="65" t="s">
        <v>701</v>
      </c>
      <c r="J185" s="65" t="s">
        <v>109</v>
      </c>
      <c r="K185" s="72" t="s">
        <v>130</v>
      </c>
      <c r="L185" s="72" t="s">
        <v>17</v>
      </c>
      <c r="M185" s="58">
        <f>VLOOKUP(L185,코드!$B$3:$C$29,2,FALSE)</f>
        <v>4241130</v>
      </c>
      <c r="N185" s="58" t="s">
        <v>129</v>
      </c>
      <c r="O185" s="79" t="s">
        <v>675</v>
      </c>
      <c r="P185" s="200">
        <v>3000000</v>
      </c>
      <c r="Q185" s="200">
        <v>1</v>
      </c>
      <c r="R185" s="200">
        <v>1</v>
      </c>
      <c r="S185" s="76">
        <v>3000000</v>
      </c>
      <c r="T185" s="200">
        <v>3000000</v>
      </c>
      <c r="U185" s="199">
        <v>3000000</v>
      </c>
      <c r="V185" s="185" t="s">
        <v>158</v>
      </c>
      <c r="W185" s="60">
        <f t="shared" si="11"/>
        <v>1</v>
      </c>
      <c r="X185" s="88"/>
      <c r="Y185" s="74"/>
      <c r="Z185" s="198"/>
      <c r="AD185" s="198"/>
      <c r="AE185" s="198"/>
    </row>
    <row r="186" spans="1:31" s="16" customFormat="1" ht="17.25" customHeight="1">
      <c r="A186" s="59" t="s">
        <v>257</v>
      </c>
      <c r="B186" s="72" t="s">
        <v>531</v>
      </c>
      <c r="C186" s="72" t="s">
        <v>152</v>
      </c>
      <c r="D186" s="58" t="str">
        <f>VLOOKUP(C186,코드!$E$3:$F$30,2,FALSE)</f>
        <v>8701</v>
      </c>
      <c r="E186" s="58" t="str">
        <f t="shared" si="9"/>
        <v>[C-1]</v>
      </c>
      <c r="F186" s="66" t="s">
        <v>680</v>
      </c>
      <c r="G186" s="65" t="s">
        <v>698</v>
      </c>
      <c r="H186" s="66" t="s">
        <v>700</v>
      </c>
      <c r="I186" s="65" t="s">
        <v>699</v>
      </c>
      <c r="J186" s="65" t="s">
        <v>109</v>
      </c>
      <c r="K186" s="72" t="s">
        <v>60</v>
      </c>
      <c r="L186" s="72" t="s">
        <v>17</v>
      </c>
      <c r="M186" s="58">
        <f>VLOOKUP(L186,코드!$B$3:$C$29,2,FALSE)</f>
        <v>4241130</v>
      </c>
      <c r="N186" s="72" t="s">
        <v>109</v>
      </c>
      <c r="O186" s="79" t="s">
        <v>675</v>
      </c>
      <c r="P186" s="200">
        <v>0</v>
      </c>
      <c r="Q186" s="200">
        <v>0</v>
      </c>
      <c r="R186" s="200">
        <v>0</v>
      </c>
      <c r="S186" s="76">
        <v>0</v>
      </c>
      <c r="T186" s="200">
        <v>0</v>
      </c>
      <c r="U186" s="199">
        <v>0</v>
      </c>
      <c r="V186" s="185"/>
      <c r="W186" s="60" t="e">
        <f t="shared" si="11"/>
        <v>#DIV/0!</v>
      </c>
      <c r="X186" s="198"/>
      <c r="Y186" s="74"/>
      <c r="Z186" s="198"/>
      <c r="AD186" s="198"/>
      <c r="AE186" s="198"/>
    </row>
    <row r="187" spans="1:31" s="16" customFormat="1" ht="17.25" customHeight="1">
      <c r="A187" s="59" t="s">
        <v>257</v>
      </c>
      <c r="B187" s="72" t="s">
        <v>531</v>
      </c>
      <c r="C187" s="72" t="s">
        <v>152</v>
      </c>
      <c r="D187" s="58" t="str">
        <f>VLOOKUP(C187,코드!$E$3:$F$30,2,FALSE)</f>
        <v>8701</v>
      </c>
      <c r="E187" s="58" t="str">
        <f t="shared" si="9"/>
        <v>[C-1]</v>
      </c>
      <c r="F187" s="66" t="s">
        <v>688</v>
      </c>
      <c r="G187" s="65" t="s">
        <v>698</v>
      </c>
      <c r="H187" s="66" t="s">
        <v>697</v>
      </c>
      <c r="I187" s="65" t="s">
        <v>696</v>
      </c>
      <c r="J187" s="65" t="s">
        <v>695</v>
      </c>
      <c r="K187" s="72" t="s">
        <v>130</v>
      </c>
      <c r="L187" s="72" t="s">
        <v>17</v>
      </c>
      <c r="M187" s="58">
        <f>VLOOKUP(L187,코드!$B$3:$C$29,2,FALSE)</f>
        <v>4241130</v>
      </c>
      <c r="N187" s="72" t="s">
        <v>109</v>
      </c>
      <c r="O187" s="79" t="s">
        <v>675</v>
      </c>
      <c r="P187" s="200"/>
      <c r="Q187" s="200"/>
      <c r="R187" s="200"/>
      <c r="S187" s="76">
        <v>0</v>
      </c>
      <c r="T187" s="200">
        <v>0</v>
      </c>
      <c r="U187" s="199">
        <v>0</v>
      </c>
      <c r="V187" s="185"/>
      <c r="W187" s="60" t="e">
        <f t="shared" si="11"/>
        <v>#DIV/0!</v>
      </c>
      <c r="X187" s="198"/>
      <c r="Y187" s="74"/>
      <c r="Z187" s="198"/>
      <c r="AD187" s="198"/>
      <c r="AE187" s="198"/>
    </row>
    <row r="188" spans="1:31" s="16" customFormat="1" ht="17.25" customHeight="1">
      <c r="A188" s="59" t="s">
        <v>257</v>
      </c>
      <c r="B188" s="72" t="s">
        <v>531</v>
      </c>
      <c r="C188" s="72" t="s">
        <v>152</v>
      </c>
      <c r="D188" s="58" t="str">
        <f>VLOOKUP(C188,코드!$E$3:$F$30,2,FALSE)</f>
        <v>8701</v>
      </c>
      <c r="E188" s="58" t="str">
        <f t="shared" si="9"/>
        <v>[C-1]</v>
      </c>
      <c r="F188" s="66" t="s">
        <v>688</v>
      </c>
      <c r="G188" s="65" t="s">
        <v>687</v>
      </c>
      <c r="H188" s="66" t="s">
        <v>694</v>
      </c>
      <c r="I188" s="65" t="s">
        <v>693</v>
      </c>
      <c r="J188" s="65" t="s">
        <v>154</v>
      </c>
      <c r="K188" s="72" t="s">
        <v>130</v>
      </c>
      <c r="L188" s="72" t="s">
        <v>29</v>
      </c>
      <c r="M188" s="58">
        <f>VLOOKUP(L188,코드!$B$3:$C$29,2,FALSE)</f>
        <v>4113401</v>
      </c>
      <c r="N188" s="72" t="s">
        <v>154</v>
      </c>
      <c r="O188" s="79" t="s">
        <v>675</v>
      </c>
      <c r="P188" s="200">
        <v>1500000</v>
      </c>
      <c r="Q188" s="200">
        <v>1</v>
      </c>
      <c r="R188" s="200">
        <v>8</v>
      </c>
      <c r="S188" s="76">
        <v>12000000</v>
      </c>
      <c r="T188" s="200">
        <v>12000000</v>
      </c>
      <c r="U188" s="199">
        <v>12000000</v>
      </c>
      <c r="V188" s="185" t="s">
        <v>542</v>
      </c>
      <c r="W188" s="60">
        <f t="shared" si="11"/>
        <v>1</v>
      </c>
      <c r="X188" s="198"/>
      <c r="Y188" s="74"/>
      <c r="Z188" s="198"/>
      <c r="AD188" s="198"/>
      <c r="AE188" s="198"/>
    </row>
    <row r="189" spans="1:31" s="16" customFormat="1" ht="17.25" customHeight="1">
      <c r="A189" s="59" t="s">
        <v>257</v>
      </c>
      <c r="B189" s="72" t="s">
        <v>531</v>
      </c>
      <c r="C189" s="72" t="s">
        <v>152</v>
      </c>
      <c r="D189" s="58" t="str">
        <f>VLOOKUP(C189,코드!$E$3:$F$30,2,FALSE)</f>
        <v>8701</v>
      </c>
      <c r="E189" s="58" t="str">
        <f t="shared" si="9"/>
        <v>[C-1]</v>
      </c>
      <c r="F189" s="66" t="s">
        <v>688</v>
      </c>
      <c r="G189" s="65" t="s">
        <v>687</v>
      </c>
      <c r="H189" s="66" t="s">
        <v>686</v>
      </c>
      <c r="I189" s="65" t="s">
        <v>690</v>
      </c>
      <c r="J189" s="65" t="s">
        <v>692</v>
      </c>
      <c r="K189" s="72" t="s">
        <v>130</v>
      </c>
      <c r="L189" s="72" t="s">
        <v>29</v>
      </c>
      <c r="M189" s="58">
        <f>VLOOKUP(L189,코드!$B$3:$C$29,2,FALSE)</f>
        <v>4113401</v>
      </c>
      <c r="N189" s="72" t="s">
        <v>154</v>
      </c>
      <c r="O189" s="79" t="s">
        <v>675</v>
      </c>
      <c r="P189" s="200">
        <v>0</v>
      </c>
      <c r="Q189" s="200">
        <v>0</v>
      </c>
      <c r="R189" s="200">
        <v>0</v>
      </c>
      <c r="S189" s="76">
        <v>0</v>
      </c>
      <c r="T189" s="200">
        <v>0</v>
      </c>
      <c r="U189" s="199">
        <v>0</v>
      </c>
      <c r="V189" s="185"/>
      <c r="W189" s="60" t="e">
        <f t="shared" si="11"/>
        <v>#DIV/0!</v>
      </c>
      <c r="X189" s="198"/>
      <c r="Y189" s="74"/>
      <c r="Z189" s="198"/>
      <c r="AD189" s="198"/>
      <c r="AE189" s="198"/>
    </row>
    <row r="190" spans="1:31" s="16" customFormat="1" ht="17.25" customHeight="1">
      <c r="A190" s="59" t="s">
        <v>257</v>
      </c>
      <c r="B190" s="72" t="s">
        <v>531</v>
      </c>
      <c r="C190" s="72" t="s">
        <v>152</v>
      </c>
      <c r="D190" s="58" t="str">
        <f>VLOOKUP(C190,코드!$E$3:$F$30,2,FALSE)</f>
        <v>8701</v>
      </c>
      <c r="E190" s="58" t="str">
        <f t="shared" si="9"/>
        <v>[C-1]</v>
      </c>
      <c r="F190" s="66" t="s">
        <v>688</v>
      </c>
      <c r="G190" s="65" t="s">
        <v>691</v>
      </c>
      <c r="H190" s="66" t="s">
        <v>686</v>
      </c>
      <c r="I190" s="65" t="s">
        <v>690</v>
      </c>
      <c r="J190" s="65" t="s">
        <v>689</v>
      </c>
      <c r="K190" s="72" t="s">
        <v>130</v>
      </c>
      <c r="L190" s="72" t="s">
        <v>568</v>
      </c>
      <c r="M190" s="58">
        <f>VLOOKUP(L190,코드!$B$3:$C$29,2,FALSE)</f>
        <v>4241130</v>
      </c>
      <c r="N190" s="72" t="s">
        <v>587</v>
      </c>
      <c r="O190" s="79" t="s">
        <v>675</v>
      </c>
      <c r="P190" s="200">
        <v>0</v>
      </c>
      <c r="Q190" s="200">
        <v>0</v>
      </c>
      <c r="R190" s="200">
        <v>0</v>
      </c>
      <c r="S190" s="158"/>
      <c r="T190" s="203"/>
      <c r="U190" s="203"/>
      <c r="V190" s="184"/>
      <c r="W190" s="60"/>
      <c r="X190" s="202"/>
      <c r="Y190" s="74"/>
      <c r="Z190" s="88"/>
      <c r="AD190" s="198"/>
      <c r="AE190" s="198"/>
    </row>
    <row r="191" spans="1:31" s="16" customFormat="1" ht="17.25" customHeight="1">
      <c r="A191" s="59" t="s">
        <v>257</v>
      </c>
      <c r="B191" s="72" t="s">
        <v>531</v>
      </c>
      <c r="C191" s="72" t="s">
        <v>152</v>
      </c>
      <c r="D191" s="58" t="str">
        <f>VLOOKUP(C191,코드!$E$3:$F$30,2,FALSE)</f>
        <v>8701</v>
      </c>
      <c r="E191" s="58" t="str">
        <f t="shared" si="9"/>
        <v>[C-1]</v>
      </c>
      <c r="F191" s="66" t="s">
        <v>688</v>
      </c>
      <c r="G191" s="65" t="s">
        <v>687</v>
      </c>
      <c r="H191" s="66" t="s">
        <v>686</v>
      </c>
      <c r="I191" s="65" t="s">
        <v>686</v>
      </c>
      <c r="J191" s="65" t="s">
        <v>685</v>
      </c>
      <c r="K191" s="72" t="s">
        <v>130</v>
      </c>
      <c r="L191" s="72" t="s">
        <v>17</v>
      </c>
      <c r="M191" s="58">
        <f>VLOOKUP(L191,코드!$B$3:$C$29,2,FALSE)</f>
        <v>4241130</v>
      </c>
      <c r="N191" s="72" t="s">
        <v>109</v>
      </c>
      <c r="O191" s="79" t="s">
        <v>675</v>
      </c>
      <c r="P191" s="200">
        <v>0</v>
      </c>
      <c r="Q191" s="200">
        <v>0</v>
      </c>
      <c r="R191" s="200">
        <v>0</v>
      </c>
      <c r="S191" s="161">
        <v>300000</v>
      </c>
      <c r="T191" s="200">
        <v>300000</v>
      </c>
      <c r="U191" s="199">
        <v>300000</v>
      </c>
      <c r="V191" s="185"/>
      <c r="W191" s="60">
        <f t="shared" ref="W191:W222" si="13">U191/S191</f>
        <v>1</v>
      </c>
      <c r="X191" s="198"/>
      <c r="Y191" s="74"/>
      <c r="Z191" s="198"/>
      <c r="AD191" s="198"/>
      <c r="AE191" s="198"/>
    </row>
    <row r="192" spans="1:31" s="16" customFormat="1" ht="17.25" customHeight="1">
      <c r="A192" s="59" t="s">
        <v>257</v>
      </c>
      <c r="B192" s="72" t="s">
        <v>531</v>
      </c>
      <c r="C192" s="72" t="s">
        <v>152</v>
      </c>
      <c r="D192" s="58" t="str">
        <f>VLOOKUP(C192,코드!$E$3:$F$30,2,FALSE)</f>
        <v>8701</v>
      </c>
      <c r="E192" s="58" t="str">
        <f t="shared" si="9"/>
        <v>[C-1]</v>
      </c>
      <c r="F192" s="66" t="s">
        <v>680</v>
      </c>
      <c r="G192" s="65" t="s">
        <v>684</v>
      </c>
      <c r="H192" s="66" t="s">
        <v>678</v>
      </c>
      <c r="I192" s="65" t="s">
        <v>683</v>
      </c>
      <c r="J192" s="65" t="s">
        <v>683</v>
      </c>
      <c r="K192" s="72" t="s">
        <v>60</v>
      </c>
      <c r="L192" s="72" t="s">
        <v>29</v>
      </c>
      <c r="M192" s="58">
        <f>VLOOKUP(L192,코드!$B$3:$C$29,2,FALSE)</f>
        <v>4113401</v>
      </c>
      <c r="N192" s="72" t="s">
        <v>682</v>
      </c>
      <c r="O192" s="79" t="s">
        <v>675</v>
      </c>
      <c r="P192" s="200">
        <v>2000000</v>
      </c>
      <c r="Q192" s="200">
        <v>13</v>
      </c>
      <c r="R192" s="200">
        <v>1</v>
      </c>
      <c r="S192" s="181">
        <v>16000000</v>
      </c>
      <c r="T192" s="200">
        <v>26000000</v>
      </c>
      <c r="U192" s="199">
        <v>16000000</v>
      </c>
      <c r="V192" s="185" t="s">
        <v>542</v>
      </c>
      <c r="W192" s="60">
        <f t="shared" si="13"/>
        <v>1</v>
      </c>
      <c r="X192" s="202"/>
      <c r="Y192" s="180"/>
      <c r="Z192" s="88"/>
      <c r="AD192" s="88"/>
      <c r="AE192" s="198"/>
    </row>
    <row r="193" spans="1:31" s="16" customFormat="1" ht="17.25" customHeight="1">
      <c r="A193" s="59" t="s">
        <v>257</v>
      </c>
      <c r="B193" s="72" t="s">
        <v>531</v>
      </c>
      <c r="C193" s="72" t="s">
        <v>152</v>
      </c>
      <c r="D193" s="58" t="str">
        <f>VLOOKUP(C193,코드!$E$3:$F$30,2,FALSE)</f>
        <v>8701</v>
      </c>
      <c r="E193" s="58" t="str">
        <f t="shared" si="9"/>
        <v>[C-1]</v>
      </c>
      <c r="F193" s="66" t="s">
        <v>680</v>
      </c>
      <c r="G193" s="65" t="s">
        <v>679</v>
      </c>
      <c r="H193" s="66" t="s">
        <v>678</v>
      </c>
      <c r="I193" s="65" t="s">
        <v>677</v>
      </c>
      <c r="J193" s="65" t="s">
        <v>681</v>
      </c>
      <c r="K193" s="72" t="s">
        <v>60</v>
      </c>
      <c r="L193" s="176" t="s">
        <v>15</v>
      </c>
      <c r="M193" s="58">
        <f>VLOOKUP(L193,코드!$B$3:$C$29,2,FALSE)</f>
        <v>4321701</v>
      </c>
      <c r="N193" s="72" t="s">
        <v>159</v>
      </c>
      <c r="O193" s="79" t="s">
        <v>675</v>
      </c>
      <c r="P193" s="200">
        <v>700000</v>
      </c>
      <c r="Q193" s="200">
        <v>5</v>
      </c>
      <c r="R193" s="200">
        <v>1</v>
      </c>
      <c r="S193" s="158">
        <v>5600000</v>
      </c>
      <c r="T193" s="201">
        <v>5600000</v>
      </c>
      <c r="U193" s="82">
        <f>S193</f>
        <v>5600000</v>
      </c>
      <c r="V193" s="87" t="s">
        <v>153</v>
      </c>
      <c r="W193" s="60">
        <f t="shared" si="13"/>
        <v>1</v>
      </c>
      <c r="X193" s="198"/>
      <c r="Y193" s="74"/>
      <c r="Z193" s="198"/>
      <c r="AD193" s="198"/>
      <c r="AE193" s="198"/>
    </row>
    <row r="194" spans="1:31" s="16" customFormat="1" ht="17.25" customHeight="1">
      <c r="A194" s="59" t="s">
        <v>257</v>
      </c>
      <c r="B194" s="72" t="s">
        <v>531</v>
      </c>
      <c r="C194" s="72" t="s">
        <v>152</v>
      </c>
      <c r="D194" s="58" t="str">
        <f>VLOOKUP(C194,코드!$E$3:$F$30,2,FALSE)</f>
        <v>8701</v>
      </c>
      <c r="E194" s="58" t="str">
        <f t="shared" si="9"/>
        <v>[C-1]</v>
      </c>
      <c r="F194" s="66" t="s">
        <v>680</v>
      </c>
      <c r="G194" s="65" t="s">
        <v>679</v>
      </c>
      <c r="H194" s="66" t="s">
        <v>678</v>
      </c>
      <c r="I194" s="65" t="s">
        <v>677</v>
      </c>
      <c r="J194" s="65" t="s">
        <v>676</v>
      </c>
      <c r="K194" s="72" t="s">
        <v>60</v>
      </c>
      <c r="L194" s="72" t="s">
        <v>17</v>
      </c>
      <c r="M194" s="58">
        <f>VLOOKUP(L194,코드!$B$3:$C$29,2,FALSE)</f>
        <v>4241130</v>
      </c>
      <c r="N194" s="72" t="s">
        <v>159</v>
      </c>
      <c r="O194" s="79" t="s">
        <v>675</v>
      </c>
      <c r="P194" s="200">
        <v>5400000</v>
      </c>
      <c r="Q194" s="200">
        <v>1</v>
      </c>
      <c r="R194" s="200">
        <v>1</v>
      </c>
      <c r="S194" s="76">
        <v>4800000</v>
      </c>
      <c r="T194" s="200">
        <v>4800000</v>
      </c>
      <c r="U194" s="199">
        <v>4800000</v>
      </c>
      <c r="V194" s="185" t="s">
        <v>158</v>
      </c>
      <c r="W194" s="60">
        <f t="shared" si="13"/>
        <v>1</v>
      </c>
      <c r="X194" s="88"/>
      <c r="Y194" s="74"/>
      <c r="Z194" s="198"/>
      <c r="AD194" s="198"/>
      <c r="AE194" s="198"/>
    </row>
    <row r="195" spans="1:31" s="59" customFormat="1" ht="17.25" customHeight="1">
      <c r="A195" s="59" t="s">
        <v>257</v>
      </c>
      <c r="B195" s="72" t="s">
        <v>531</v>
      </c>
      <c r="C195" s="155" t="s">
        <v>152</v>
      </c>
      <c r="D195" s="58" t="str">
        <f>VLOOKUP(C195,코드!$E$3:$F$30,2,FALSE)</f>
        <v>8701</v>
      </c>
      <c r="E195" s="58" t="str">
        <f t="shared" ref="E195:E258" si="14">LEFT(F195, 5)</f>
        <v>[C-2]</v>
      </c>
      <c r="F195" s="65" t="s">
        <v>577</v>
      </c>
      <c r="G195" s="65" t="s">
        <v>628</v>
      </c>
      <c r="H195" s="66" t="s">
        <v>670</v>
      </c>
      <c r="I195" s="65" t="s">
        <v>674</v>
      </c>
      <c r="J195" s="192" t="s">
        <v>673</v>
      </c>
      <c r="K195" s="72" t="s">
        <v>130</v>
      </c>
      <c r="L195" s="72" t="s">
        <v>29</v>
      </c>
      <c r="M195" s="58">
        <f>VLOOKUP(L195,코드!$B$3:$C$29,2,FALSE)</f>
        <v>4113401</v>
      </c>
      <c r="N195" s="72" t="s">
        <v>159</v>
      </c>
      <c r="O195" s="79" t="s">
        <v>578</v>
      </c>
      <c r="P195" s="75">
        <v>500000</v>
      </c>
      <c r="Q195" s="75">
        <v>4</v>
      </c>
      <c r="R195" s="75">
        <v>1</v>
      </c>
      <c r="S195" s="181">
        <v>1500000</v>
      </c>
      <c r="T195" s="75">
        <v>2000000</v>
      </c>
      <c r="U195" s="78">
        <v>1500000</v>
      </c>
      <c r="V195" s="185" t="s">
        <v>542</v>
      </c>
      <c r="W195" s="60">
        <f t="shared" si="13"/>
        <v>1</v>
      </c>
      <c r="X195" s="46"/>
      <c r="Y195" s="74"/>
      <c r="Z195" s="46"/>
      <c r="AD195" s="46"/>
      <c r="AE195" s="46"/>
    </row>
    <row r="196" spans="1:31" s="59" customFormat="1" ht="17.25" customHeight="1">
      <c r="A196" s="59" t="s">
        <v>257</v>
      </c>
      <c r="B196" s="72" t="s">
        <v>531</v>
      </c>
      <c r="C196" s="155" t="s">
        <v>152</v>
      </c>
      <c r="D196" s="58" t="str">
        <f>VLOOKUP(C196,코드!$E$3:$F$30,2,FALSE)</f>
        <v>8701</v>
      </c>
      <c r="E196" s="58" t="str">
        <f t="shared" si="14"/>
        <v>[C-2]</v>
      </c>
      <c r="F196" s="65" t="s">
        <v>577</v>
      </c>
      <c r="G196" s="65" t="s">
        <v>628</v>
      </c>
      <c r="H196" s="66" t="s">
        <v>670</v>
      </c>
      <c r="I196" s="65" t="s">
        <v>672</v>
      </c>
      <c r="J196" s="65" t="s">
        <v>671</v>
      </c>
      <c r="K196" s="72" t="s">
        <v>130</v>
      </c>
      <c r="L196" s="72" t="s">
        <v>17</v>
      </c>
      <c r="M196" s="58">
        <f>VLOOKUP(L196,코드!$B$3:$C$29,2,FALSE)</f>
        <v>4241130</v>
      </c>
      <c r="N196" s="72" t="s">
        <v>93</v>
      </c>
      <c r="O196" s="79" t="s">
        <v>578</v>
      </c>
      <c r="P196" s="75">
        <v>200000</v>
      </c>
      <c r="Q196" s="75">
        <v>6</v>
      </c>
      <c r="R196" s="75">
        <v>1</v>
      </c>
      <c r="S196" s="76">
        <v>1200000</v>
      </c>
      <c r="T196" s="75">
        <v>1200000</v>
      </c>
      <c r="U196" s="78">
        <v>1200000</v>
      </c>
      <c r="V196" s="185" t="s">
        <v>542</v>
      </c>
      <c r="W196" s="60">
        <f t="shared" si="13"/>
        <v>1</v>
      </c>
      <c r="X196" s="46"/>
      <c r="Y196" s="74"/>
      <c r="Z196" s="46"/>
      <c r="AD196" s="46"/>
      <c r="AE196" s="46"/>
    </row>
    <row r="197" spans="1:31" s="59" customFormat="1" ht="17.25" customHeight="1">
      <c r="A197" s="59" t="s">
        <v>257</v>
      </c>
      <c r="B197" s="72" t="s">
        <v>531</v>
      </c>
      <c r="C197" s="155" t="s">
        <v>152</v>
      </c>
      <c r="D197" s="58" t="str">
        <f>VLOOKUP(C197,코드!$E$3:$F$30,2,FALSE)</f>
        <v>8701</v>
      </c>
      <c r="E197" s="58" t="str">
        <f t="shared" si="14"/>
        <v>[C-2]</v>
      </c>
      <c r="F197" s="65" t="s">
        <v>577</v>
      </c>
      <c r="G197" s="65" t="s">
        <v>628</v>
      </c>
      <c r="H197" s="66" t="s">
        <v>670</v>
      </c>
      <c r="I197" s="65" t="s">
        <v>669</v>
      </c>
      <c r="J197" s="65" t="s">
        <v>668</v>
      </c>
      <c r="K197" s="72" t="s">
        <v>60</v>
      </c>
      <c r="L197" s="72" t="s">
        <v>15</v>
      </c>
      <c r="M197" s="58">
        <f>VLOOKUP(L197,코드!$B$3:$C$29,2,FALSE)</f>
        <v>4321701</v>
      </c>
      <c r="N197" s="72" t="s">
        <v>159</v>
      </c>
      <c r="O197" s="79" t="s">
        <v>578</v>
      </c>
      <c r="P197" s="75">
        <v>800000</v>
      </c>
      <c r="Q197" s="75">
        <v>4</v>
      </c>
      <c r="R197" s="75">
        <v>1</v>
      </c>
      <c r="S197" s="181">
        <v>2400000</v>
      </c>
      <c r="T197" s="75">
        <v>3200000</v>
      </c>
      <c r="U197" s="197">
        <v>2400000</v>
      </c>
      <c r="V197" s="185" t="s">
        <v>542</v>
      </c>
      <c r="W197" s="60">
        <f t="shared" si="13"/>
        <v>1</v>
      </c>
      <c r="X197" s="46"/>
      <c r="Y197" s="74"/>
      <c r="Z197" s="46"/>
      <c r="AD197" s="46"/>
      <c r="AE197" s="46"/>
    </row>
    <row r="198" spans="1:31" s="178" customFormat="1" ht="17.25" customHeight="1">
      <c r="A198" s="59" t="s">
        <v>257</v>
      </c>
      <c r="B198" s="72" t="s">
        <v>531</v>
      </c>
      <c r="C198" s="155" t="s">
        <v>152</v>
      </c>
      <c r="D198" s="58" t="str">
        <f>VLOOKUP(C198,코드!$E$3:$F$30,2,FALSE)</f>
        <v>8701</v>
      </c>
      <c r="E198" s="58" t="str">
        <f t="shared" si="14"/>
        <v>[C-2]</v>
      </c>
      <c r="F198" s="65" t="s">
        <v>577</v>
      </c>
      <c r="G198" s="65" t="s">
        <v>628</v>
      </c>
      <c r="H198" s="66" t="s">
        <v>665</v>
      </c>
      <c r="I198" s="65" t="s">
        <v>667</v>
      </c>
      <c r="J198" s="65" t="s">
        <v>666</v>
      </c>
      <c r="K198" s="72" t="s">
        <v>130</v>
      </c>
      <c r="L198" s="72" t="s">
        <v>17</v>
      </c>
      <c r="M198" s="58">
        <f>VLOOKUP(L198,코드!$B$3:$C$29,2,FALSE)</f>
        <v>4241130</v>
      </c>
      <c r="N198" s="72" t="s">
        <v>120</v>
      </c>
      <c r="O198" s="79" t="s">
        <v>578</v>
      </c>
      <c r="P198" s="75">
        <v>600000</v>
      </c>
      <c r="Q198" s="75">
        <v>1</v>
      </c>
      <c r="R198" s="75">
        <v>2</v>
      </c>
      <c r="S198" s="76">
        <v>2000000</v>
      </c>
      <c r="T198" s="75">
        <v>2000000</v>
      </c>
      <c r="U198" s="196">
        <v>2000000</v>
      </c>
      <c r="V198" s="185" t="s">
        <v>542</v>
      </c>
      <c r="W198" s="60">
        <f t="shared" si="13"/>
        <v>1</v>
      </c>
      <c r="X198" s="179"/>
      <c r="Y198" s="180"/>
      <c r="Z198" s="179"/>
      <c r="AD198" s="179"/>
      <c r="AE198" s="179"/>
    </row>
    <row r="199" spans="1:31" s="178" customFormat="1" ht="17.25" customHeight="1">
      <c r="A199" s="59" t="s">
        <v>257</v>
      </c>
      <c r="B199" s="72" t="s">
        <v>531</v>
      </c>
      <c r="C199" s="155" t="s">
        <v>152</v>
      </c>
      <c r="D199" s="58" t="str">
        <f>VLOOKUP(C199,코드!$E$3:$F$30,2,FALSE)</f>
        <v>8701</v>
      </c>
      <c r="E199" s="58" t="str">
        <f t="shared" si="14"/>
        <v>[C-2]</v>
      </c>
      <c r="F199" s="65" t="s">
        <v>577</v>
      </c>
      <c r="G199" s="65" t="s">
        <v>628</v>
      </c>
      <c r="H199" s="66" t="s">
        <v>665</v>
      </c>
      <c r="I199" s="65" t="s">
        <v>664</v>
      </c>
      <c r="J199" s="65" t="s">
        <v>587</v>
      </c>
      <c r="K199" s="72" t="s">
        <v>130</v>
      </c>
      <c r="L199" s="72" t="s">
        <v>17</v>
      </c>
      <c r="M199" s="58">
        <f>VLOOKUP(L199,코드!$B$3:$C$29,2,FALSE)</f>
        <v>4241130</v>
      </c>
      <c r="N199" s="72" t="s">
        <v>587</v>
      </c>
      <c r="O199" s="79" t="s">
        <v>578</v>
      </c>
      <c r="P199" s="75">
        <v>150000</v>
      </c>
      <c r="Q199" s="75">
        <v>5</v>
      </c>
      <c r="R199" s="75">
        <v>2</v>
      </c>
      <c r="S199" s="76">
        <v>1500000</v>
      </c>
      <c r="T199" s="75">
        <v>1500000</v>
      </c>
      <c r="U199" s="196">
        <v>1500000</v>
      </c>
      <c r="V199" s="185" t="s">
        <v>306</v>
      </c>
      <c r="W199" s="60">
        <f t="shared" si="13"/>
        <v>1</v>
      </c>
      <c r="X199" s="179"/>
      <c r="Y199" s="180"/>
      <c r="Z199" s="179"/>
      <c r="AD199" s="179"/>
      <c r="AE199" s="179"/>
    </row>
    <row r="200" spans="1:31" s="178" customFormat="1" ht="17.25" customHeight="1">
      <c r="A200" s="59" t="s">
        <v>257</v>
      </c>
      <c r="B200" s="72" t="s">
        <v>531</v>
      </c>
      <c r="C200" s="155" t="s">
        <v>152</v>
      </c>
      <c r="D200" s="58" t="str">
        <f>VLOOKUP(C200,코드!$E$3:$F$30,2,FALSE)</f>
        <v>8701</v>
      </c>
      <c r="E200" s="58" t="str">
        <f t="shared" si="14"/>
        <v>[C-2]</v>
      </c>
      <c r="F200" s="65" t="s">
        <v>577</v>
      </c>
      <c r="G200" s="65" t="s">
        <v>628</v>
      </c>
      <c r="H200" s="66" t="s">
        <v>663</v>
      </c>
      <c r="I200" s="65" t="s">
        <v>663</v>
      </c>
      <c r="J200" s="65" t="s">
        <v>656</v>
      </c>
      <c r="K200" s="72" t="s">
        <v>60</v>
      </c>
      <c r="L200" s="176" t="s">
        <v>15</v>
      </c>
      <c r="M200" s="58">
        <f>VLOOKUP(L200,코드!$B$3:$C$29,2,FALSE)</f>
        <v>4321701</v>
      </c>
      <c r="N200" s="72" t="s">
        <v>159</v>
      </c>
      <c r="O200" s="79" t="s">
        <v>578</v>
      </c>
      <c r="P200" s="75">
        <v>700000</v>
      </c>
      <c r="Q200" s="75">
        <v>57</v>
      </c>
      <c r="R200" s="75">
        <v>2</v>
      </c>
      <c r="S200" s="181">
        <v>83300000</v>
      </c>
      <c r="T200" s="75">
        <v>87500000</v>
      </c>
      <c r="U200" s="187">
        <f>42000000+41300000</f>
        <v>83300000</v>
      </c>
      <c r="V200" s="185" t="s">
        <v>542</v>
      </c>
      <c r="W200" s="60">
        <f t="shared" si="13"/>
        <v>1</v>
      </c>
      <c r="X200" s="179"/>
      <c r="Y200" s="195"/>
      <c r="Z200" s="179"/>
      <c r="AD200" s="179"/>
      <c r="AE200" s="179"/>
    </row>
    <row r="201" spans="1:31" s="178" customFormat="1" ht="17.25" customHeight="1">
      <c r="A201" s="59" t="s">
        <v>257</v>
      </c>
      <c r="B201" s="72" t="s">
        <v>531</v>
      </c>
      <c r="C201" s="155" t="s">
        <v>152</v>
      </c>
      <c r="D201" s="58" t="str">
        <f>VLOOKUP(C201,코드!$E$3:$F$30,2,FALSE)</f>
        <v>8701</v>
      </c>
      <c r="E201" s="58" t="str">
        <f t="shared" si="14"/>
        <v>[C-2]</v>
      </c>
      <c r="F201" s="65" t="s">
        <v>577</v>
      </c>
      <c r="G201" s="65" t="s">
        <v>628</v>
      </c>
      <c r="H201" s="66" t="s">
        <v>661</v>
      </c>
      <c r="I201" s="65" t="s">
        <v>662</v>
      </c>
      <c r="J201" s="65" t="s">
        <v>659</v>
      </c>
      <c r="K201" s="72" t="s">
        <v>130</v>
      </c>
      <c r="L201" s="72" t="s">
        <v>11</v>
      </c>
      <c r="M201" s="58">
        <f>VLOOKUP(L201,코드!$B$3:$C$29,2,FALSE)</f>
        <v>4113401</v>
      </c>
      <c r="N201" s="72" t="s">
        <v>659</v>
      </c>
      <c r="O201" s="79" t="s">
        <v>578</v>
      </c>
      <c r="P201" s="75">
        <v>1000000</v>
      </c>
      <c r="Q201" s="75">
        <v>20</v>
      </c>
      <c r="R201" s="75">
        <v>2</v>
      </c>
      <c r="S201" s="161">
        <v>35000000</v>
      </c>
      <c r="T201" s="75">
        <v>35000000</v>
      </c>
      <c r="U201" s="82">
        <f>S201</f>
        <v>35000000</v>
      </c>
      <c r="V201" s="87" t="s">
        <v>153</v>
      </c>
      <c r="W201" s="60">
        <f t="shared" si="13"/>
        <v>1</v>
      </c>
      <c r="X201" s="179"/>
      <c r="Y201" s="180"/>
      <c r="Z201" s="179"/>
      <c r="AD201" s="179"/>
      <c r="AE201" s="179"/>
    </row>
    <row r="202" spans="1:31" s="59" customFormat="1" ht="17.25" customHeight="1">
      <c r="A202" s="59" t="s">
        <v>257</v>
      </c>
      <c r="B202" s="72" t="s">
        <v>531</v>
      </c>
      <c r="C202" s="155" t="s">
        <v>152</v>
      </c>
      <c r="D202" s="58" t="str">
        <f>VLOOKUP(C202,코드!$E$3:$F$30,2,FALSE)</f>
        <v>8701</v>
      </c>
      <c r="E202" s="58" t="str">
        <f t="shared" si="14"/>
        <v>[C-2]</v>
      </c>
      <c r="F202" s="65" t="s">
        <v>577</v>
      </c>
      <c r="G202" s="65" t="s">
        <v>628</v>
      </c>
      <c r="H202" s="66" t="s">
        <v>661</v>
      </c>
      <c r="I202" s="65" t="s">
        <v>660</v>
      </c>
      <c r="J202" s="65" t="s">
        <v>659</v>
      </c>
      <c r="K202" s="72" t="s">
        <v>130</v>
      </c>
      <c r="L202" s="72" t="s">
        <v>568</v>
      </c>
      <c r="M202" s="58">
        <f>VLOOKUP(L202,코드!$B$3:$C$29,2,FALSE)</f>
        <v>4241130</v>
      </c>
      <c r="N202" s="72" t="s">
        <v>659</v>
      </c>
      <c r="O202" s="79" t="s">
        <v>578</v>
      </c>
      <c r="P202" s="75">
        <v>1000000</v>
      </c>
      <c r="Q202" s="75">
        <v>12</v>
      </c>
      <c r="R202" s="75">
        <v>1</v>
      </c>
      <c r="S202" s="161">
        <v>6000000</v>
      </c>
      <c r="T202" s="75">
        <v>6000000</v>
      </c>
      <c r="U202" s="187">
        <v>6000000</v>
      </c>
      <c r="V202" s="185" t="s">
        <v>542</v>
      </c>
      <c r="W202" s="60">
        <f t="shared" si="13"/>
        <v>1</v>
      </c>
      <c r="X202" s="46"/>
      <c r="Y202" s="74"/>
      <c r="Z202" s="46"/>
      <c r="AD202" s="46"/>
      <c r="AE202" s="46"/>
    </row>
    <row r="203" spans="1:31" s="178" customFormat="1" ht="17.25" customHeight="1">
      <c r="A203" s="59" t="s">
        <v>257</v>
      </c>
      <c r="B203" s="72" t="s">
        <v>531</v>
      </c>
      <c r="C203" s="155" t="s">
        <v>152</v>
      </c>
      <c r="D203" s="58" t="str">
        <f>VLOOKUP(C203,코드!$E$3:$F$30,2,FALSE)</f>
        <v>8701</v>
      </c>
      <c r="E203" s="58" t="str">
        <f t="shared" si="14"/>
        <v>[C-2]</v>
      </c>
      <c r="F203" s="65" t="s">
        <v>577</v>
      </c>
      <c r="G203" s="65" t="s">
        <v>647</v>
      </c>
      <c r="H203" s="66" t="s">
        <v>658</v>
      </c>
      <c r="I203" s="65" t="s">
        <v>657</v>
      </c>
      <c r="J203" s="65" t="s">
        <v>656</v>
      </c>
      <c r="K203" s="72" t="s">
        <v>60</v>
      </c>
      <c r="L203" s="72" t="s">
        <v>9</v>
      </c>
      <c r="M203" s="58">
        <f>VLOOKUP(L203,코드!$B$3:$C$29,2,FALSE)</f>
        <v>4321701</v>
      </c>
      <c r="N203" s="72" t="s">
        <v>159</v>
      </c>
      <c r="O203" s="79" t="s">
        <v>578</v>
      </c>
      <c r="P203" s="75">
        <v>1200000</v>
      </c>
      <c r="Q203" s="75">
        <v>11</v>
      </c>
      <c r="R203" s="75">
        <v>1</v>
      </c>
      <c r="S203" s="161">
        <v>9600000</v>
      </c>
      <c r="T203" s="75">
        <v>9600000</v>
      </c>
      <c r="U203" s="82">
        <f t="shared" ref="U203:U208" si="15">S203</f>
        <v>9600000</v>
      </c>
      <c r="V203" s="87" t="s">
        <v>153</v>
      </c>
      <c r="W203" s="60">
        <f t="shared" si="13"/>
        <v>1</v>
      </c>
      <c r="X203" s="179"/>
      <c r="Y203" s="180"/>
      <c r="Z203" s="179"/>
      <c r="AD203" s="179"/>
      <c r="AE203" s="179"/>
    </row>
    <row r="204" spans="1:31" s="59" customFormat="1" ht="17.25" customHeight="1">
      <c r="A204" s="59" t="s">
        <v>257</v>
      </c>
      <c r="B204" s="72" t="s">
        <v>531</v>
      </c>
      <c r="C204" s="155" t="s">
        <v>152</v>
      </c>
      <c r="D204" s="58" t="str">
        <f>VLOOKUP(C204,코드!$E$3:$F$30,2,FALSE)</f>
        <v>8701</v>
      </c>
      <c r="E204" s="58" t="str">
        <f t="shared" si="14"/>
        <v>[C-2]</v>
      </c>
      <c r="F204" s="65" t="s">
        <v>577</v>
      </c>
      <c r="G204" s="65" t="s">
        <v>628</v>
      </c>
      <c r="H204" s="66" t="s">
        <v>649</v>
      </c>
      <c r="I204" s="65" t="s">
        <v>655</v>
      </c>
      <c r="J204" s="65" t="s">
        <v>587</v>
      </c>
      <c r="K204" s="72" t="s">
        <v>130</v>
      </c>
      <c r="L204" s="72" t="s">
        <v>17</v>
      </c>
      <c r="M204" s="58">
        <f>VLOOKUP(L204,코드!$B$3:$C$29,2,FALSE)</f>
        <v>4241130</v>
      </c>
      <c r="N204" s="72" t="s">
        <v>587</v>
      </c>
      <c r="O204" s="79" t="s">
        <v>578</v>
      </c>
      <c r="P204" s="75">
        <v>100000</v>
      </c>
      <c r="Q204" s="75">
        <v>1</v>
      </c>
      <c r="R204" s="75">
        <v>42</v>
      </c>
      <c r="S204" s="76">
        <v>4200000</v>
      </c>
      <c r="T204" s="75">
        <v>4200000</v>
      </c>
      <c r="U204" s="82">
        <f t="shared" si="15"/>
        <v>4200000</v>
      </c>
      <c r="V204" s="87" t="s">
        <v>153</v>
      </c>
      <c r="W204" s="60">
        <f t="shared" si="13"/>
        <v>1</v>
      </c>
      <c r="X204" s="46"/>
      <c r="Y204" s="74"/>
      <c r="Z204" s="46"/>
      <c r="AD204" s="46"/>
      <c r="AE204" s="46"/>
    </row>
    <row r="205" spans="1:31" s="59" customFormat="1" ht="17.25" customHeight="1">
      <c r="A205" s="59" t="s">
        <v>257</v>
      </c>
      <c r="B205" s="72" t="s">
        <v>531</v>
      </c>
      <c r="C205" s="155" t="s">
        <v>152</v>
      </c>
      <c r="D205" s="58" t="str">
        <f>VLOOKUP(C205,코드!$E$3:$F$30,2,FALSE)</f>
        <v>8701</v>
      </c>
      <c r="E205" s="58" t="str">
        <f t="shared" si="14"/>
        <v>[C-2]</v>
      </c>
      <c r="F205" s="65" t="s">
        <v>577</v>
      </c>
      <c r="G205" s="65" t="s">
        <v>628</v>
      </c>
      <c r="H205" s="66" t="s">
        <v>649</v>
      </c>
      <c r="I205" s="65" t="s">
        <v>654</v>
      </c>
      <c r="J205" s="65" t="s">
        <v>587</v>
      </c>
      <c r="K205" s="72" t="s">
        <v>130</v>
      </c>
      <c r="L205" s="72" t="s">
        <v>17</v>
      </c>
      <c r="M205" s="58">
        <f>VLOOKUP(L205,코드!$B$3:$C$29,2,FALSE)</f>
        <v>4241130</v>
      </c>
      <c r="N205" s="72" t="s">
        <v>587</v>
      </c>
      <c r="O205" s="79" t="s">
        <v>578</v>
      </c>
      <c r="P205" s="75">
        <v>250000</v>
      </c>
      <c r="Q205" s="75">
        <v>1</v>
      </c>
      <c r="R205" s="75">
        <v>42</v>
      </c>
      <c r="S205" s="76">
        <v>10500000</v>
      </c>
      <c r="T205" s="75">
        <v>10500000</v>
      </c>
      <c r="U205" s="82">
        <f t="shared" si="15"/>
        <v>10500000</v>
      </c>
      <c r="V205" s="87" t="s">
        <v>153</v>
      </c>
      <c r="W205" s="60">
        <f t="shared" si="13"/>
        <v>1</v>
      </c>
      <c r="X205" s="46"/>
      <c r="Y205" s="74"/>
      <c r="Z205" s="46"/>
      <c r="AD205" s="46"/>
      <c r="AE205" s="46"/>
    </row>
    <row r="206" spans="1:31" s="59" customFormat="1" ht="17.25" customHeight="1">
      <c r="A206" s="59" t="s">
        <v>257</v>
      </c>
      <c r="B206" s="72" t="s">
        <v>531</v>
      </c>
      <c r="C206" s="155" t="s">
        <v>152</v>
      </c>
      <c r="D206" s="58" t="str">
        <f>VLOOKUP(C206,코드!$E$3:$F$30,2,FALSE)</f>
        <v>8701</v>
      </c>
      <c r="E206" s="58" t="str">
        <f t="shared" si="14"/>
        <v>[C-2]</v>
      </c>
      <c r="F206" s="65" t="s">
        <v>577</v>
      </c>
      <c r="G206" s="65" t="s">
        <v>628</v>
      </c>
      <c r="H206" s="66" t="s">
        <v>649</v>
      </c>
      <c r="I206" s="65" t="s">
        <v>653</v>
      </c>
      <c r="J206" s="65" t="s">
        <v>587</v>
      </c>
      <c r="K206" s="72" t="s">
        <v>130</v>
      </c>
      <c r="L206" s="72" t="s">
        <v>17</v>
      </c>
      <c r="M206" s="58">
        <f>VLOOKUP(L206,코드!$B$3:$C$29,2,FALSE)</f>
        <v>4241130</v>
      </c>
      <c r="N206" s="72" t="s">
        <v>587</v>
      </c>
      <c r="O206" s="79" t="s">
        <v>578</v>
      </c>
      <c r="P206" s="75">
        <v>200000</v>
      </c>
      <c r="Q206" s="75">
        <v>1</v>
      </c>
      <c r="R206" s="75">
        <v>42</v>
      </c>
      <c r="S206" s="76">
        <v>8400000</v>
      </c>
      <c r="T206" s="75">
        <v>8400000</v>
      </c>
      <c r="U206" s="82">
        <f t="shared" si="15"/>
        <v>8400000</v>
      </c>
      <c r="V206" s="87" t="s">
        <v>153</v>
      </c>
      <c r="W206" s="60">
        <f t="shared" si="13"/>
        <v>1</v>
      </c>
      <c r="X206" s="46"/>
      <c r="Y206" s="74"/>
      <c r="Z206" s="46"/>
      <c r="AD206" s="46"/>
      <c r="AE206" s="46"/>
    </row>
    <row r="207" spans="1:31" s="59" customFormat="1" ht="17.25" customHeight="1">
      <c r="A207" s="59" t="s">
        <v>257</v>
      </c>
      <c r="B207" s="72" t="s">
        <v>531</v>
      </c>
      <c r="C207" s="155" t="s">
        <v>152</v>
      </c>
      <c r="D207" s="58" t="str">
        <f>VLOOKUP(C207,코드!$E$3:$F$30,2,FALSE)</f>
        <v>8701</v>
      </c>
      <c r="E207" s="58" t="str">
        <f t="shared" si="14"/>
        <v>[C-2]</v>
      </c>
      <c r="F207" s="65" t="s">
        <v>577</v>
      </c>
      <c r="G207" s="65" t="s">
        <v>628</v>
      </c>
      <c r="H207" s="66" t="s">
        <v>649</v>
      </c>
      <c r="I207" s="65" t="s">
        <v>652</v>
      </c>
      <c r="J207" s="65" t="s">
        <v>587</v>
      </c>
      <c r="K207" s="72" t="s">
        <v>130</v>
      </c>
      <c r="L207" s="72" t="s">
        <v>568</v>
      </c>
      <c r="M207" s="58">
        <f>VLOOKUP(L207,코드!$B$3:$C$29,2,FALSE)</f>
        <v>4241130</v>
      </c>
      <c r="N207" s="72" t="s">
        <v>587</v>
      </c>
      <c r="O207" s="79" t="s">
        <v>578</v>
      </c>
      <c r="P207" s="75">
        <v>100000</v>
      </c>
      <c r="Q207" s="75">
        <v>1</v>
      </c>
      <c r="R207" s="75">
        <v>14</v>
      </c>
      <c r="S207" s="76">
        <v>1400000</v>
      </c>
      <c r="T207" s="75">
        <v>1400000</v>
      </c>
      <c r="U207" s="82">
        <f t="shared" si="15"/>
        <v>1400000</v>
      </c>
      <c r="V207" s="87" t="s">
        <v>153</v>
      </c>
      <c r="W207" s="60">
        <f t="shared" si="13"/>
        <v>1</v>
      </c>
      <c r="X207" s="46"/>
      <c r="Y207" s="74"/>
      <c r="Z207" s="46"/>
      <c r="AD207" s="46"/>
      <c r="AE207" s="46"/>
    </row>
    <row r="208" spans="1:31" s="59" customFormat="1" ht="17.25" customHeight="1">
      <c r="A208" s="59" t="s">
        <v>257</v>
      </c>
      <c r="B208" s="72" t="s">
        <v>531</v>
      </c>
      <c r="C208" s="155" t="s">
        <v>152</v>
      </c>
      <c r="D208" s="58" t="str">
        <f>VLOOKUP(C208,코드!$E$3:$F$30,2,FALSE)</f>
        <v>8701</v>
      </c>
      <c r="E208" s="58" t="str">
        <f t="shared" si="14"/>
        <v>[C-2]</v>
      </c>
      <c r="F208" s="65" t="s">
        <v>577</v>
      </c>
      <c r="G208" s="65" t="s">
        <v>628</v>
      </c>
      <c r="H208" s="66" t="s">
        <v>649</v>
      </c>
      <c r="I208" s="65" t="s">
        <v>651</v>
      </c>
      <c r="J208" s="65" t="s">
        <v>650</v>
      </c>
      <c r="K208" s="72" t="s">
        <v>42</v>
      </c>
      <c r="L208" s="72" t="s">
        <v>9</v>
      </c>
      <c r="M208" s="58">
        <f>VLOOKUP(L208,코드!$B$3:$C$29,2,FALSE)</f>
        <v>4321701</v>
      </c>
      <c r="N208" s="72" t="s">
        <v>587</v>
      </c>
      <c r="O208" s="79" t="s">
        <v>578</v>
      </c>
      <c r="P208" s="75">
        <v>1000000</v>
      </c>
      <c r="Q208" s="75">
        <v>1</v>
      </c>
      <c r="R208" s="75">
        <v>1</v>
      </c>
      <c r="S208" s="76">
        <v>1000000</v>
      </c>
      <c r="T208" s="75">
        <v>1000000</v>
      </c>
      <c r="U208" s="82">
        <f t="shared" si="15"/>
        <v>1000000</v>
      </c>
      <c r="V208" s="87" t="s">
        <v>153</v>
      </c>
      <c r="W208" s="145">
        <f t="shared" si="13"/>
        <v>1</v>
      </c>
      <c r="X208" s="73"/>
      <c r="Y208" s="74"/>
      <c r="Z208" s="73"/>
      <c r="AD208" s="73"/>
      <c r="AE208" s="46"/>
    </row>
    <row r="209" spans="1:31" s="59" customFormat="1" ht="17.25" customHeight="1">
      <c r="A209" s="59" t="s">
        <v>257</v>
      </c>
      <c r="B209" s="72" t="s">
        <v>531</v>
      </c>
      <c r="C209" s="155" t="s">
        <v>152</v>
      </c>
      <c r="D209" s="58" t="str">
        <f>VLOOKUP(C209,코드!$E$3:$F$30,2,FALSE)</f>
        <v>8701</v>
      </c>
      <c r="E209" s="58" t="str">
        <f t="shared" si="14"/>
        <v>[C-2]</v>
      </c>
      <c r="F209" s="65" t="s">
        <v>577</v>
      </c>
      <c r="G209" s="65" t="s">
        <v>628</v>
      </c>
      <c r="H209" s="66" t="s">
        <v>649</v>
      </c>
      <c r="I209" s="65" t="s">
        <v>648</v>
      </c>
      <c r="J209" s="65" t="s">
        <v>129</v>
      </c>
      <c r="K209" s="72" t="s">
        <v>130</v>
      </c>
      <c r="L209" s="72" t="s">
        <v>17</v>
      </c>
      <c r="M209" s="58">
        <f>VLOOKUP(L209,코드!$B$3:$C$29,2,FALSE)</f>
        <v>4241130</v>
      </c>
      <c r="N209" s="72" t="s">
        <v>129</v>
      </c>
      <c r="O209" s="79" t="s">
        <v>578</v>
      </c>
      <c r="P209" s="75">
        <v>800000</v>
      </c>
      <c r="Q209" s="75">
        <v>1</v>
      </c>
      <c r="R209" s="75">
        <v>1</v>
      </c>
      <c r="S209" s="76">
        <v>800000</v>
      </c>
      <c r="T209" s="75">
        <v>800000</v>
      </c>
      <c r="U209" s="78">
        <v>800000</v>
      </c>
      <c r="V209" s="71"/>
      <c r="W209" s="60">
        <f t="shared" si="13"/>
        <v>1</v>
      </c>
      <c r="X209" s="46"/>
      <c r="Y209" s="74"/>
      <c r="Z209" s="46"/>
      <c r="AD209" s="46"/>
      <c r="AE209" s="46"/>
    </row>
    <row r="210" spans="1:31" s="59" customFormat="1" ht="17.25" customHeight="1">
      <c r="A210" s="59" t="s">
        <v>257</v>
      </c>
      <c r="B210" s="72" t="s">
        <v>531</v>
      </c>
      <c r="C210" s="155" t="s">
        <v>605</v>
      </c>
      <c r="D210" s="58" t="str">
        <f>VLOOKUP(C210,코드!$E$3:$F$30,2,FALSE)</f>
        <v>8701</v>
      </c>
      <c r="E210" s="58" t="str">
        <f t="shared" si="14"/>
        <v>[C-2]</v>
      </c>
      <c r="F210" s="65" t="s">
        <v>577</v>
      </c>
      <c r="G210" s="65" t="s">
        <v>647</v>
      </c>
      <c r="H210" s="66" t="s">
        <v>638</v>
      </c>
      <c r="I210" s="65" t="s">
        <v>646</v>
      </c>
      <c r="J210" s="65" t="s">
        <v>645</v>
      </c>
      <c r="K210" s="72" t="s">
        <v>130</v>
      </c>
      <c r="L210" s="72" t="s">
        <v>17</v>
      </c>
      <c r="M210" s="58">
        <f>VLOOKUP(L210,코드!$B$3:$C$29,2,FALSE)</f>
        <v>4241130</v>
      </c>
      <c r="N210" s="72" t="s">
        <v>262</v>
      </c>
      <c r="O210" s="79" t="s">
        <v>578</v>
      </c>
      <c r="P210" s="193">
        <v>30000</v>
      </c>
      <c r="Q210" s="193">
        <v>20</v>
      </c>
      <c r="R210" s="193">
        <v>5</v>
      </c>
      <c r="S210" s="76">
        <v>3000000</v>
      </c>
      <c r="T210" s="75">
        <v>3000000</v>
      </c>
      <c r="U210" s="187">
        <v>3000000</v>
      </c>
      <c r="V210" s="185" t="s">
        <v>542</v>
      </c>
      <c r="W210" s="60">
        <f t="shared" si="13"/>
        <v>1</v>
      </c>
      <c r="X210" s="46"/>
      <c r="Y210" s="74"/>
      <c r="Z210" s="46"/>
      <c r="AD210" s="46"/>
      <c r="AE210" s="46"/>
    </row>
    <row r="211" spans="1:31" s="59" customFormat="1" ht="17.25" customHeight="1">
      <c r="A211" s="59" t="s">
        <v>257</v>
      </c>
      <c r="B211" s="72" t="s">
        <v>531</v>
      </c>
      <c r="C211" s="155" t="s">
        <v>605</v>
      </c>
      <c r="D211" s="58" t="str">
        <f>VLOOKUP(C211,코드!$E$3:$F$30,2,FALSE)</f>
        <v>8701</v>
      </c>
      <c r="E211" s="58" t="str">
        <f t="shared" si="14"/>
        <v>[C-2]</v>
      </c>
      <c r="F211" s="65" t="s">
        <v>577</v>
      </c>
      <c r="G211" s="65" t="s">
        <v>628</v>
      </c>
      <c r="H211" s="66" t="s">
        <v>638</v>
      </c>
      <c r="I211" s="65" t="s">
        <v>637</v>
      </c>
      <c r="J211" s="65" t="s">
        <v>644</v>
      </c>
      <c r="K211" s="72" t="s">
        <v>130</v>
      </c>
      <c r="L211" s="72" t="s">
        <v>29</v>
      </c>
      <c r="M211" s="58">
        <f>VLOOKUP(L211,코드!$B$3:$C$29,2,FALSE)</f>
        <v>4113401</v>
      </c>
      <c r="N211" s="72" t="s">
        <v>356</v>
      </c>
      <c r="O211" s="79" t="s">
        <v>578</v>
      </c>
      <c r="P211" s="193">
        <v>200000</v>
      </c>
      <c r="Q211" s="193">
        <v>1</v>
      </c>
      <c r="R211" s="193">
        <v>3</v>
      </c>
      <c r="S211" s="76">
        <v>600000</v>
      </c>
      <c r="T211" s="75">
        <v>600000</v>
      </c>
      <c r="U211" s="82">
        <f>S211</f>
        <v>600000</v>
      </c>
      <c r="V211" s="87" t="s">
        <v>153</v>
      </c>
      <c r="W211" s="60">
        <f t="shared" si="13"/>
        <v>1</v>
      </c>
      <c r="X211" s="46"/>
      <c r="Y211" s="74"/>
      <c r="Z211" s="46"/>
      <c r="AD211" s="46"/>
      <c r="AE211" s="46"/>
    </row>
    <row r="212" spans="1:31" s="59" customFormat="1" ht="17.25" customHeight="1">
      <c r="A212" s="59" t="s">
        <v>257</v>
      </c>
      <c r="B212" s="72" t="s">
        <v>531</v>
      </c>
      <c r="C212" s="155" t="s">
        <v>605</v>
      </c>
      <c r="D212" s="58" t="str">
        <f>VLOOKUP(C212,코드!$E$3:$F$30,2,FALSE)</f>
        <v>8701</v>
      </c>
      <c r="E212" s="58" t="str">
        <f t="shared" si="14"/>
        <v>[C-2]</v>
      </c>
      <c r="F212" s="65" t="s">
        <v>577</v>
      </c>
      <c r="G212" s="65" t="s">
        <v>628</v>
      </c>
      <c r="H212" s="66" t="s">
        <v>638</v>
      </c>
      <c r="I212" s="65" t="s">
        <v>637</v>
      </c>
      <c r="J212" s="65" t="s">
        <v>643</v>
      </c>
      <c r="K212" s="72" t="s">
        <v>130</v>
      </c>
      <c r="L212" s="72" t="s">
        <v>28</v>
      </c>
      <c r="M212" s="58">
        <f>VLOOKUP(L212,코드!$B$3:$C$29,2,FALSE)</f>
        <v>4116101</v>
      </c>
      <c r="N212" s="72" t="s">
        <v>356</v>
      </c>
      <c r="O212" s="79" t="s">
        <v>578</v>
      </c>
      <c r="P212" s="193">
        <v>500000</v>
      </c>
      <c r="Q212" s="193">
        <v>1</v>
      </c>
      <c r="R212" s="193">
        <v>6</v>
      </c>
      <c r="S212" s="76">
        <v>3000000</v>
      </c>
      <c r="T212" s="75">
        <v>3000000</v>
      </c>
      <c r="U212" s="82">
        <f>S212</f>
        <v>3000000</v>
      </c>
      <c r="V212" s="87" t="s">
        <v>153</v>
      </c>
      <c r="W212" s="60">
        <f t="shared" si="13"/>
        <v>1</v>
      </c>
      <c r="X212" s="46"/>
      <c r="Y212" s="74"/>
      <c r="Z212" s="46"/>
      <c r="AD212" s="46"/>
      <c r="AE212" s="46"/>
    </row>
    <row r="213" spans="1:31" s="178" customFormat="1" ht="17.25" customHeight="1">
      <c r="A213" s="59" t="s">
        <v>257</v>
      </c>
      <c r="B213" s="72" t="s">
        <v>531</v>
      </c>
      <c r="C213" s="155" t="s">
        <v>605</v>
      </c>
      <c r="D213" s="58" t="str">
        <f>VLOOKUP(C213,코드!$E$3:$F$30,2,FALSE)</f>
        <v>8701</v>
      </c>
      <c r="E213" s="58" t="str">
        <f t="shared" si="14"/>
        <v>[C-2]</v>
      </c>
      <c r="F213" s="65" t="s">
        <v>577</v>
      </c>
      <c r="G213" s="65" t="s">
        <v>628</v>
      </c>
      <c r="H213" s="66" t="s">
        <v>638</v>
      </c>
      <c r="I213" s="65" t="s">
        <v>637</v>
      </c>
      <c r="J213" s="65" t="s">
        <v>642</v>
      </c>
      <c r="K213" s="72" t="s">
        <v>130</v>
      </c>
      <c r="L213" s="72" t="s">
        <v>17</v>
      </c>
      <c r="M213" s="58">
        <f>VLOOKUP(L213,코드!$B$3:$C$29,2,FALSE)</f>
        <v>4241130</v>
      </c>
      <c r="N213" s="72" t="s">
        <v>262</v>
      </c>
      <c r="O213" s="79" t="s">
        <v>578</v>
      </c>
      <c r="P213" s="193">
        <v>400000</v>
      </c>
      <c r="Q213" s="193">
        <v>1</v>
      </c>
      <c r="R213" s="193">
        <v>3</v>
      </c>
      <c r="S213" s="76">
        <v>1200000</v>
      </c>
      <c r="T213" s="75">
        <v>1200000</v>
      </c>
      <c r="U213" s="82">
        <f>S213</f>
        <v>1200000</v>
      </c>
      <c r="V213" s="87" t="s">
        <v>153</v>
      </c>
      <c r="W213" s="60">
        <f t="shared" si="13"/>
        <v>1</v>
      </c>
      <c r="X213" s="179"/>
      <c r="Y213" s="180"/>
      <c r="Z213" s="179"/>
      <c r="AD213" s="179"/>
      <c r="AE213" s="179"/>
    </row>
    <row r="214" spans="1:31" s="59" customFormat="1" ht="17.25" customHeight="1">
      <c r="A214" s="59" t="s">
        <v>257</v>
      </c>
      <c r="B214" s="72" t="s">
        <v>531</v>
      </c>
      <c r="C214" s="155" t="s">
        <v>605</v>
      </c>
      <c r="D214" s="58" t="str">
        <f>VLOOKUP(C214,코드!$E$3:$F$30,2,FALSE)</f>
        <v>8701</v>
      </c>
      <c r="E214" s="58" t="str">
        <f t="shared" si="14"/>
        <v>[C-2]</v>
      </c>
      <c r="F214" s="65" t="s">
        <v>577</v>
      </c>
      <c r="G214" s="65" t="s">
        <v>628</v>
      </c>
      <c r="H214" s="66" t="s">
        <v>638</v>
      </c>
      <c r="I214" s="65" t="s">
        <v>637</v>
      </c>
      <c r="J214" s="65" t="s">
        <v>641</v>
      </c>
      <c r="K214" s="72" t="s">
        <v>130</v>
      </c>
      <c r="L214" s="72" t="s">
        <v>179</v>
      </c>
      <c r="M214" s="58">
        <f>VLOOKUP(L214,코드!$B$3:$C$29,2,FALSE)</f>
        <v>4233201</v>
      </c>
      <c r="N214" s="72" t="s">
        <v>266</v>
      </c>
      <c r="O214" s="79" t="s">
        <v>578</v>
      </c>
      <c r="P214" s="193">
        <v>5500000</v>
      </c>
      <c r="Q214" s="193">
        <v>1</v>
      </c>
      <c r="R214" s="193">
        <v>1</v>
      </c>
      <c r="S214" s="161">
        <v>9500000</v>
      </c>
      <c r="T214" s="75">
        <v>9500000</v>
      </c>
      <c r="U214" s="82">
        <f>S214</f>
        <v>9500000</v>
      </c>
      <c r="V214" s="87" t="s">
        <v>153</v>
      </c>
      <c r="W214" s="60">
        <f t="shared" si="13"/>
        <v>1</v>
      </c>
      <c r="X214" s="46"/>
      <c r="Y214" s="74"/>
      <c r="Z214" s="46"/>
      <c r="AD214" s="46"/>
      <c r="AE214" s="46"/>
    </row>
    <row r="215" spans="1:31" s="59" customFormat="1" ht="17.25" customHeight="1">
      <c r="A215" s="59" t="s">
        <v>257</v>
      </c>
      <c r="B215" s="72" t="s">
        <v>531</v>
      </c>
      <c r="C215" s="155" t="s">
        <v>605</v>
      </c>
      <c r="D215" s="58" t="str">
        <f>VLOOKUP(C215,코드!$E$3:$F$30,2,FALSE)</f>
        <v>8701</v>
      </c>
      <c r="E215" s="58" t="str">
        <f t="shared" si="14"/>
        <v>[C-2]</v>
      </c>
      <c r="F215" s="65" t="s">
        <v>577</v>
      </c>
      <c r="G215" s="65" t="s">
        <v>628</v>
      </c>
      <c r="H215" s="66" t="s">
        <v>638</v>
      </c>
      <c r="I215" s="65" t="s">
        <v>637</v>
      </c>
      <c r="J215" s="65" t="s">
        <v>640</v>
      </c>
      <c r="K215" s="72" t="s">
        <v>130</v>
      </c>
      <c r="L215" s="72" t="s">
        <v>29</v>
      </c>
      <c r="M215" s="58">
        <f>VLOOKUP(L215,코드!$B$3:$C$29,2,FALSE)</f>
        <v>4113401</v>
      </c>
      <c r="N215" s="72" t="s">
        <v>420</v>
      </c>
      <c r="O215" s="79" t="s">
        <v>578</v>
      </c>
      <c r="P215" s="193">
        <v>100000</v>
      </c>
      <c r="Q215" s="193">
        <v>12</v>
      </c>
      <c r="R215" s="193">
        <v>3</v>
      </c>
      <c r="S215" s="76">
        <v>3600000</v>
      </c>
      <c r="T215" s="75">
        <v>3600000</v>
      </c>
      <c r="U215" s="187">
        <v>3600000</v>
      </c>
      <c r="V215" s="185" t="s">
        <v>542</v>
      </c>
      <c r="W215" s="60">
        <f t="shared" si="13"/>
        <v>1</v>
      </c>
      <c r="X215" s="46"/>
      <c r="Y215" s="74"/>
      <c r="Z215" s="46"/>
      <c r="AD215" s="46"/>
      <c r="AE215" s="46"/>
    </row>
    <row r="216" spans="1:31" s="59" customFormat="1" ht="17.25" customHeight="1">
      <c r="A216" s="59" t="s">
        <v>257</v>
      </c>
      <c r="B216" s="72" t="s">
        <v>531</v>
      </c>
      <c r="C216" s="155" t="s">
        <v>605</v>
      </c>
      <c r="D216" s="58" t="str">
        <f>VLOOKUP(C216,코드!$E$3:$F$30,2,FALSE)</f>
        <v>8701</v>
      </c>
      <c r="E216" s="58" t="str">
        <f t="shared" si="14"/>
        <v>[C-2]</v>
      </c>
      <c r="F216" s="65" t="s">
        <v>577</v>
      </c>
      <c r="G216" s="65" t="s">
        <v>628</v>
      </c>
      <c r="H216" s="66" t="s">
        <v>638</v>
      </c>
      <c r="I216" s="65" t="s">
        <v>637</v>
      </c>
      <c r="J216" s="65" t="s">
        <v>639</v>
      </c>
      <c r="K216" s="72" t="s">
        <v>130</v>
      </c>
      <c r="L216" s="72" t="s">
        <v>17</v>
      </c>
      <c r="M216" s="58">
        <f>VLOOKUP(L216,코드!$B$3:$C$29,2,FALSE)</f>
        <v>4241130</v>
      </c>
      <c r="N216" s="72" t="s">
        <v>262</v>
      </c>
      <c r="O216" s="79" t="s">
        <v>578</v>
      </c>
      <c r="P216" s="193">
        <v>30000</v>
      </c>
      <c r="Q216" s="193">
        <v>10</v>
      </c>
      <c r="R216" s="193">
        <v>20</v>
      </c>
      <c r="S216" s="161">
        <v>3000000</v>
      </c>
      <c r="T216" s="75">
        <v>3000000</v>
      </c>
      <c r="U216" s="187">
        <v>3000000</v>
      </c>
      <c r="V216" s="185" t="s">
        <v>542</v>
      </c>
      <c r="W216" s="60">
        <f t="shared" si="13"/>
        <v>1</v>
      </c>
      <c r="X216" s="46"/>
      <c r="Y216" s="74"/>
      <c r="Z216" s="46"/>
      <c r="AD216" s="46"/>
      <c r="AE216" s="46"/>
    </row>
    <row r="217" spans="1:31" s="178" customFormat="1" ht="17.25" customHeight="1">
      <c r="A217" s="59" t="s">
        <v>257</v>
      </c>
      <c r="B217" s="72" t="s">
        <v>531</v>
      </c>
      <c r="C217" s="155" t="s">
        <v>605</v>
      </c>
      <c r="D217" s="58" t="str">
        <f>VLOOKUP(C217,코드!$E$3:$F$30,2,FALSE)</f>
        <v>8701</v>
      </c>
      <c r="E217" s="58" t="str">
        <f t="shared" si="14"/>
        <v>[C-2]</v>
      </c>
      <c r="F217" s="65" t="s">
        <v>577</v>
      </c>
      <c r="G217" s="65" t="s">
        <v>628</v>
      </c>
      <c r="H217" s="66" t="s">
        <v>638</v>
      </c>
      <c r="I217" s="65" t="s">
        <v>637</v>
      </c>
      <c r="J217" s="65" t="s">
        <v>636</v>
      </c>
      <c r="K217" s="72" t="s">
        <v>130</v>
      </c>
      <c r="L217" s="72" t="s">
        <v>17</v>
      </c>
      <c r="M217" s="58">
        <f>VLOOKUP(L217,코드!$B$3:$C$29,2,FALSE)</f>
        <v>4241130</v>
      </c>
      <c r="N217" s="72" t="s">
        <v>262</v>
      </c>
      <c r="O217" s="79" t="s">
        <v>578</v>
      </c>
      <c r="P217" s="193">
        <v>30000</v>
      </c>
      <c r="Q217" s="193">
        <v>20</v>
      </c>
      <c r="R217" s="193">
        <v>4</v>
      </c>
      <c r="S217" s="76">
        <v>2400000</v>
      </c>
      <c r="T217" s="75">
        <v>2400000</v>
      </c>
      <c r="U217" s="82">
        <f>S217</f>
        <v>2400000</v>
      </c>
      <c r="V217" s="87" t="s">
        <v>153</v>
      </c>
      <c r="W217" s="60">
        <f t="shared" si="13"/>
        <v>1</v>
      </c>
      <c r="X217" s="179"/>
      <c r="Y217" s="180"/>
      <c r="Z217" s="179"/>
      <c r="AD217" s="179"/>
      <c r="AE217" s="179"/>
    </row>
    <row r="218" spans="1:31" s="178" customFormat="1" ht="17.25" customHeight="1">
      <c r="A218" s="59" t="s">
        <v>257</v>
      </c>
      <c r="B218" s="72" t="s">
        <v>531</v>
      </c>
      <c r="C218" s="155" t="s">
        <v>605</v>
      </c>
      <c r="D218" s="58" t="str">
        <f>VLOOKUP(C218,코드!$E$3:$F$30,2,FALSE)</f>
        <v>8701</v>
      </c>
      <c r="E218" s="58" t="str">
        <f t="shared" si="14"/>
        <v>[C-2]</v>
      </c>
      <c r="F218" s="65" t="s">
        <v>577</v>
      </c>
      <c r="G218" s="65" t="s">
        <v>628</v>
      </c>
      <c r="H218" s="66" t="s">
        <v>627</v>
      </c>
      <c r="I218" s="65" t="s">
        <v>635</v>
      </c>
      <c r="J218" s="65" t="s">
        <v>634</v>
      </c>
      <c r="K218" s="72" t="s">
        <v>130</v>
      </c>
      <c r="L218" s="72" t="s">
        <v>17</v>
      </c>
      <c r="M218" s="58">
        <f>VLOOKUP(L218,코드!$B$3:$C$29,2,FALSE)</f>
        <v>4241130</v>
      </c>
      <c r="N218" s="72" t="s">
        <v>262</v>
      </c>
      <c r="O218" s="79" t="s">
        <v>578</v>
      </c>
      <c r="P218" s="193"/>
      <c r="Q218" s="193"/>
      <c r="R218" s="193"/>
      <c r="S218" s="76">
        <v>0</v>
      </c>
      <c r="T218" s="75">
        <v>0</v>
      </c>
      <c r="U218" s="194">
        <v>0</v>
      </c>
      <c r="V218" s="87"/>
      <c r="W218" s="60" t="e">
        <f t="shared" si="13"/>
        <v>#DIV/0!</v>
      </c>
      <c r="X218" s="179"/>
      <c r="Y218" s="180"/>
      <c r="Z218" s="179"/>
      <c r="AD218" s="179"/>
      <c r="AE218" s="179"/>
    </row>
    <row r="219" spans="1:31" s="59" customFormat="1" ht="17.25" customHeight="1">
      <c r="A219" s="59" t="s">
        <v>257</v>
      </c>
      <c r="B219" s="72" t="s">
        <v>531</v>
      </c>
      <c r="C219" s="155" t="s">
        <v>605</v>
      </c>
      <c r="D219" s="58" t="str">
        <f>VLOOKUP(C219,코드!$E$3:$F$30,2,FALSE)</f>
        <v>8701</v>
      </c>
      <c r="E219" s="58" t="str">
        <f t="shared" si="14"/>
        <v>[C-2]</v>
      </c>
      <c r="F219" s="65" t="s">
        <v>577</v>
      </c>
      <c r="G219" s="65" t="s">
        <v>628</v>
      </c>
      <c r="H219" s="66" t="s">
        <v>627</v>
      </c>
      <c r="I219" s="65" t="s">
        <v>632</v>
      </c>
      <c r="J219" s="65" t="s">
        <v>633</v>
      </c>
      <c r="K219" s="72" t="s">
        <v>130</v>
      </c>
      <c r="L219" s="72" t="s">
        <v>28</v>
      </c>
      <c r="M219" s="141">
        <f>VLOOKUP(L219,코드!$B$3:$C$29,2,FALSE)</f>
        <v>4116101</v>
      </c>
      <c r="N219" s="72" t="s">
        <v>356</v>
      </c>
      <c r="O219" s="79" t="s">
        <v>578</v>
      </c>
      <c r="P219" s="193">
        <v>600000</v>
      </c>
      <c r="Q219" s="193">
        <v>1</v>
      </c>
      <c r="R219" s="193">
        <v>3</v>
      </c>
      <c r="S219" s="76">
        <v>1200000</v>
      </c>
      <c r="T219" s="75">
        <v>1200000</v>
      </c>
      <c r="U219" s="162">
        <v>1200000</v>
      </c>
      <c r="V219" s="185" t="s">
        <v>542</v>
      </c>
      <c r="W219" s="60">
        <f t="shared" si="13"/>
        <v>1</v>
      </c>
      <c r="X219" s="46"/>
      <c r="Y219" s="74"/>
      <c r="Z219" s="46"/>
      <c r="AD219" s="46"/>
      <c r="AE219" s="46"/>
    </row>
    <row r="220" spans="1:31" s="59" customFormat="1" ht="17.25" customHeight="1">
      <c r="A220" s="59" t="s">
        <v>257</v>
      </c>
      <c r="B220" s="72" t="s">
        <v>531</v>
      </c>
      <c r="C220" s="155" t="s">
        <v>605</v>
      </c>
      <c r="D220" s="58" t="str">
        <f>VLOOKUP(C220,코드!$E$3:$F$30,2,FALSE)</f>
        <v>8701</v>
      </c>
      <c r="E220" s="58" t="str">
        <f t="shared" si="14"/>
        <v>[C-2]</v>
      </c>
      <c r="F220" s="65" t="s">
        <v>577</v>
      </c>
      <c r="G220" s="65" t="s">
        <v>628</v>
      </c>
      <c r="H220" s="66" t="s">
        <v>627</v>
      </c>
      <c r="I220" s="65" t="s">
        <v>632</v>
      </c>
      <c r="J220" s="65" t="s">
        <v>631</v>
      </c>
      <c r="K220" s="72" t="s">
        <v>130</v>
      </c>
      <c r="L220" s="72" t="s">
        <v>17</v>
      </c>
      <c r="M220" s="58">
        <f>VLOOKUP(L220,코드!$B$3:$C$29,2,FALSE)</f>
        <v>4241130</v>
      </c>
      <c r="N220" s="72" t="s">
        <v>262</v>
      </c>
      <c r="O220" s="79" t="s">
        <v>578</v>
      </c>
      <c r="P220" s="193">
        <v>30000</v>
      </c>
      <c r="Q220" s="193">
        <v>10</v>
      </c>
      <c r="R220" s="193">
        <v>3</v>
      </c>
      <c r="S220" s="161">
        <v>449300</v>
      </c>
      <c r="T220" s="75">
        <v>449300</v>
      </c>
      <c r="U220" s="162">
        <v>449300</v>
      </c>
      <c r="V220" s="185" t="s">
        <v>542</v>
      </c>
      <c r="W220" s="60">
        <f t="shared" si="13"/>
        <v>1</v>
      </c>
      <c r="X220" s="46"/>
      <c r="Y220" s="74"/>
      <c r="Z220" s="46"/>
      <c r="AD220" s="46"/>
      <c r="AE220" s="46"/>
    </row>
    <row r="221" spans="1:31" s="59" customFormat="1" ht="17.25" customHeight="1">
      <c r="A221" s="59" t="s">
        <v>257</v>
      </c>
      <c r="B221" s="72" t="s">
        <v>531</v>
      </c>
      <c r="C221" s="155" t="s">
        <v>605</v>
      </c>
      <c r="D221" s="58" t="str">
        <f>VLOOKUP(C221,코드!$E$3:$F$30,2,FALSE)</f>
        <v>8701</v>
      </c>
      <c r="E221" s="58" t="str">
        <f t="shared" si="14"/>
        <v>[C-2]</v>
      </c>
      <c r="F221" s="65" t="s">
        <v>577</v>
      </c>
      <c r="G221" s="65" t="s">
        <v>628</v>
      </c>
      <c r="H221" s="66" t="s">
        <v>627</v>
      </c>
      <c r="I221" s="65" t="s">
        <v>630</v>
      </c>
      <c r="J221" s="65" t="s">
        <v>629</v>
      </c>
      <c r="K221" s="72" t="s">
        <v>130</v>
      </c>
      <c r="L221" s="72" t="s">
        <v>17</v>
      </c>
      <c r="M221" s="58">
        <f>VLOOKUP(L221,코드!$B$3:$C$29,2,FALSE)</f>
        <v>4241130</v>
      </c>
      <c r="N221" s="72" t="s">
        <v>356</v>
      </c>
      <c r="O221" s="79" t="s">
        <v>578</v>
      </c>
      <c r="P221" s="193">
        <v>200000</v>
      </c>
      <c r="Q221" s="193">
        <v>1</v>
      </c>
      <c r="R221" s="193">
        <v>5</v>
      </c>
      <c r="S221" s="76">
        <v>1000000</v>
      </c>
      <c r="T221" s="75">
        <v>1000000</v>
      </c>
      <c r="U221" s="78">
        <v>1000000</v>
      </c>
      <c r="V221" s="185" t="s">
        <v>542</v>
      </c>
      <c r="W221" s="60">
        <f t="shared" si="13"/>
        <v>1</v>
      </c>
      <c r="X221" s="46"/>
      <c r="Y221" s="74"/>
      <c r="Z221" s="46"/>
      <c r="AD221" s="46"/>
      <c r="AE221" s="46"/>
    </row>
    <row r="222" spans="1:31" s="59" customFormat="1" ht="17.25" customHeight="1">
      <c r="A222" s="59" t="s">
        <v>257</v>
      </c>
      <c r="B222" s="72" t="s">
        <v>531</v>
      </c>
      <c r="C222" s="155" t="s">
        <v>605</v>
      </c>
      <c r="D222" s="58" t="str">
        <f>VLOOKUP(C222,코드!$E$3:$F$30,2,FALSE)</f>
        <v>8701</v>
      </c>
      <c r="E222" s="58" t="str">
        <f t="shared" si="14"/>
        <v>[C-2]</v>
      </c>
      <c r="F222" s="65" t="s">
        <v>577</v>
      </c>
      <c r="G222" s="65" t="s">
        <v>628</v>
      </c>
      <c r="H222" s="66" t="s">
        <v>627</v>
      </c>
      <c r="I222" s="65" t="s">
        <v>626</v>
      </c>
      <c r="J222" s="65" t="s">
        <v>625</v>
      </c>
      <c r="K222" s="72" t="s">
        <v>130</v>
      </c>
      <c r="L222" s="72" t="s">
        <v>17</v>
      </c>
      <c r="M222" s="58">
        <f>VLOOKUP(L222,코드!$B$3:$C$29,2,FALSE)</f>
        <v>4241130</v>
      </c>
      <c r="N222" s="72" t="s">
        <v>262</v>
      </c>
      <c r="O222" s="79" t="s">
        <v>578</v>
      </c>
      <c r="P222" s="193">
        <v>200000</v>
      </c>
      <c r="Q222" s="193">
        <v>1</v>
      </c>
      <c r="R222" s="193">
        <v>2</v>
      </c>
      <c r="S222" s="76">
        <v>400000</v>
      </c>
      <c r="T222" s="75">
        <v>400000</v>
      </c>
      <c r="U222" s="78">
        <v>400000</v>
      </c>
      <c r="V222" s="185" t="s">
        <v>542</v>
      </c>
      <c r="W222" s="60">
        <f t="shared" si="13"/>
        <v>1</v>
      </c>
      <c r="X222" s="46"/>
      <c r="Y222" s="74"/>
      <c r="Z222" s="46"/>
      <c r="AD222" s="46"/>
      <c r="AE222" s="46"/>
    </row>
    <row r="223" spans="1:31" s="59" customFormat="1" ht="17.25" customHeight="1">
      <c r="A223" s="59" t="s">
        <v>257</v>
      </c>
      <c r="B223" s="72" t="s">
        <v>531</v>
      </c>
      <c r="C223" s="155" t="s">
        <v>605</v>
      </c>
      <c r="D223" s="58" t="str">
        <f>VLOOKUP(C223,코드!$E$3:$F$30,2,FALSE)</f>
        <v>8701</v>
      </c>
      <c r="E223" s="58" t="str">
        <f t="shared" si="14"/>
        <v>[C-2]</v>
      </c>
      <c r="F223" s="65" t="s">
        <v>577</v>
      </c>
      <c r="G223" s="65" t="s">
        <v>601</v>
      </c>
      <c r="H223" s="66" t="s">
        <v>604</v>
      </c>
      <c r="I223" s="65" t="s">
        <v>624</v>
      </c>
      <c r="J223" s="65" t="s">
        <v>623</v>
      </c>
      <c r="K223" s="72" t="s">
        <v>60</v>
      </c>
      <c r="L223" s="72" t="s">
        <v>17</v>
      </c>
      <c r="M223" s="58">
        <f>VLOOKUP(L223,코드!$B$3:$C$29,2,FALSE)</f>
        <v>4241130</v>
      </c>
      <c r="N223" s="176" t="s">
        <v>107</v>
      </c>
      <c r="O223" s="79" t="s">
        <v>578</v>
      </c>
      <c r="P223" s="75">
        <v>35000</v>
      </c>
      <c r="Q223" s="75">
        <v>200</v>
      </c>
      <c r="R223" s="75">
        <v>2</v>
      </c>
      <c r="S223" s="161">
        <v>24000000</v>
      </c>
      <c r="T223" s="75">
        <v>24000000</v>
      </c>
      <c r="U223" s="82">
        <f>S223</f>
        <v>24000000</v>
      </c>
      <c r="V223" s="87" t="s">
        <v>153</v>
      </c>
      <c r="W223" s="60">
        <f t="shared" ref="W223:W254" si="16">U223/S223</f>
        <v>1</v>
      </c>
      <c r="X223" s="46"/>
      <c r="Y223" s="16"/>
      <c r="Z223" s="46"/>
      <c r="AD223" s="46"/>
      <c r="AE223" s="46"/>
    </row>
    <row r="224" spans="1:31" s="59" customFormat="1" ht="17.25" customHeight="1">
      <c r="A224" s="59" t="s">
        <v>257</v>
      </c>
      <c r="B224" s="72" t="s">
        <v>531</v>
      </c>
      <c r="C224" s="155" t="s">
        <v>605</v>
      </c>
      <c r="D224" s="58" t="str">
        <f>VLOOKUP(C224,코드!$E$3:$F$30,2,FALSE)</f>
        <v>8701</v>
      </c>
      <c r="E224" s="58" t="str">
        <f t="shared" si="14"/>
        <v>[C-2]</v>
      </c>
      <c r="F224" s="65" t="s">
        <v>577</v>
      </c>
      <c r="G224" s="65" t="s">
        <v>601</v>
      </c>
      <c r="H224" s="66" t="s">
        <v>604</v>
      </c>
      <c r="I224" s="65" t="s">
        <v>620</v>
      </c>
      <c r="J224" s="65" t="s">
        <v>622</v>
      </c>
      <c r="K224" s="72" t="s">
        <v>60</v>
      </c>
      <c r="L224" s="72" t="s">
        <v>28</v>
      </c>
      <c r="M224" s="58">
        <f>VLOOKUP(L224,코드!$B$3:$C$29,2,FALSE)</f>
        <v>4116101</v>
      </c>
      <c r="N224" s="176" t="s">
        <v>356</v>
      </c>
      <c r="O224" s="177" t="s">
        <v>578</v>
      </c>
      <c r="P224" s="75">
        <v>300000</v>
      </c>
      <c r="Q224" s="75">
        <v>1</v>
      </c>
      <c r="R224" s="75">
        <v>2</v>
      </c>
      <c r="S224" s="181">
        <v>500000</v>
      </c>
      <c r="T224" s="75">
        <v>600000</v>
      </c>
      <c r="U224" s="82">
        <f>S224</f>
        <v>500000</v>
      </c>
      <c r="V224" s="87" t="s">
        <v>153</v>
      </c>
      <c r="W224" s="60">
        <f t="shared" si="16"/>
        <v>1</v>
      </c>
      <c r="X224" s="46"/>
      <c r="Y224" s="74"/>
      <c r="Z224" s="46"/>
      <c r="AD224" s="46"/>
      <c r="AE224" s="46"/>
    </row>
    <row r="225" spans="1:31" s="59" customFormat="1" ht="17.25" customHeight="1">
      <c r="A225" s="59" t="s">
        <v>257</v>
      </c>
      <c r="B225" s="72" t="s">
        <v>531</v>
      </c>
      <c r="C225" s="155" t="s">
        <v>605</v>
      </c>
      <c r="D225" s="58" t="str">
        <f>VLOOKUP(C225,코드!$E$3:$F$30,2,FALSE)</f>
        <v>8701</v>
      </c>
      <c r="E225" s="58" t="str">
        <f t="shared" si="14"/>
        <v>[C-2]</v>
      </c>
      <c r="F225" s="65" t="s">
        <v>577</v>
      </c>
      <c r="G225" s="65" t="s">
        <v>601</v>
      </c>
      <c r="H225" s="66" t="s">
        <v>604</v>
      </c>
      <c r="I225" s="65" t="s">
        <v>620</v>
      </c>
      <c r="J225" s="65" t="s">
        <v>621</v>
      </c>
      <c r="K225" s="72" t="s">
        <v>60</v>
      </c>
      <c r="L225" s="72" t="s">
        <v>17</v>
      </c>
      <c r="M225" s="58">
        <f>VLOOKUP(L225,코드!$B$3:$C$29,2,FALSE)</f>
        <v>4241130</v>
      </c>
      <c r="N225" s="72" t="s">
        <v>262</v>
      </c>
      <c r="O225" s="79" t="s">
        <v>578</v>
      </c>
      <c r="P225" s="75">
        <v>500000</v>
      </c>
      <c r="Q225" s="75">
        <v>1</v>
      </c>
      <c r="R225" s="75">
        <v>2</v>
      </c>
      <c r="S225" s="181">
        <v>500000</v>
      </c>
      <c r="T225" s="75">
        <v>1000000</v>
      </c>
      <c r="U225" s="82">
        <f>S225</f>
        <v>500000</v>
      </c>
      <c r="V225" s="87" t="s">
        <v>153</v>
      </c>
      <c r="W225" s="60">
        <f t="shared" si="16"/>
        <v>1</v>
      </c>
      <c r="X225" s="46"/>
      <c r="Y225" s="74"/>
      <c r="Z225" s="46"/>
      <c r="AD225" s="46"/>
      <c r="AE225" s="46"/>
    </row>
    <row r="226" spans="1:31" s="59" customFormat="1" ht="17.25" customHeight="1">
      <c r="A226" s="59" t="s">
        <v>257</v>
      </c>
      <c r="B226" s="72" t="s">
        <v>531</v>
      </c>
      <c r="C226" s="155" t="s">
        <v>605</v>
      </c>
      <c r="D226" s="58" t="str">
        <f>VLOOKUP(C226,코드!$E$3:$F$30,2,FALSE)</f>
        <v>8701</v>
      </c>
      <c r="E226" s="58" t="str">
        <f t="shared" si="14"/>
        <v>[C-2]</v>
      </c>
      <c r="F226" s="65" t="s">
        <v>577</v>
      </c>
      <c r="G226" s="65" t="s">
        <v>601</v>
      </c>
      <c r="H226" s="66" t="s">
        <v>604</v>
      </c>
      <c r="I226" s="65" t="s">
        <v>620</v>
      </c>
      <c r="J226" s="192" t="s">
        <v>619</v>
      </c>
      <c r="K226" s="72" t="s">
        <v>60</v>
      </c>
      <c r="L226" s="72" t="s">
        <v>179</v>
      </c>
      <c r="M226" s="58">
        <f>VLOOKUP(L226,코드!$B$3:$C$29,2,FALSE)</f>
        <v>4233201</v>
      </c>
      <c r="N226" s="176" t="s">
        <v>266</v>
      </c>
      <c r="O226" s="177" t="s">
        <v>578</v>
      </c>
      <c r="P226" s="75">
        <v>600000</v>
      </c>
      <c r="Q226" s="75">
        <v>1</v>
      </c>
      <c r="R226" s="75">
        <v>1</v>
      </c>
      <c r="S226" s="161">
        <v>600000</v>
      </c>
      <c r="T226" s="75">
        <v>600000</v>
      </c>
      <c r="U226" s="162">
        <v>600000</v>
      </c>
      <c r="V226" s="185" t="s">
        <v>542</v>
      </c>
      <c r="W226" s="60">
        <f t="shared" si="16"/>
        <v>1</v>
      </c>
      <c r="X226" s="46"/>
      <c r="Y226" s="74"/>
      <c r="Z226" s="46"/>
      <c r="AD226" s="46"/>
      <c r="AE226" s="46"/>
    </row>
    <row r="227" spans="1:31" s="59" customFormat="1" ht="17.25" customHeight="1">
      <c r="A227" s="59" t="s">
        <v>257</v>
      </c>
      <c r="B227" s="72" t="s">
        <v>531</v>
      </c>
      <c r="C227" s="155" t="s">
        <v>605</v>
      </c>
      <c r="D227" s="58" t="str">
        <f>VLOOKUP(C227,코드!$E$3:$F$30,2,FALSE)</f>
        <v>8701</v>
      </c>
      <c r="E227" s="58" t="str">
        <f t="shared" si="14"/>
        <v>[C-2]</v>
      </c>
      <c r="F227" s="65" t="s">
        <v>577</v>
      </c>
      <c r="G227" s="65" t="s">
        <v>601</v>
      </c>
      <c r="H227" s="66" t="s">
        <v>604</v>
      </c>
      <c r="I227" s="65" t="s">
        <v>617</v>
      </c>
      <c r="J227" s="65" t="s">
        <v>618</v>
      </c>
      <c r="K227" s="72" t="s">
        <v>60</v>
      </c>
      <c r="L227" s="72" t="s">
        <v>17</v>
      </c>
      <c r="M227" s="58">
        <f>VLOOKUP(L227,코드!$B$3:$C$29,2,FALSE)</f>
        <v>4241130</v>
      </c>
      <c r="N227" s="72" t="s">
        <v>262</v>
      </c>
      <c r="O227" s="79" t="s">
        <v>578</v>
      </c>
      <c r="P227" s="75">
        <v>40000</v>
      </c>
      <c r="Q227" s="75">
        <v>50</v>
      </c>
      <c r="R227" s="75">
        <v>2</v>
      </c>
      <c r="S227" s="76">
        <v>4000000</v>
      </c>
      <c r="T227" s="75">
        <v>4000000</v>
      </c>
      <c r="U227" s="82">
        <f>S227</f>
        <v>4000000</v>
      </c>
      <c r="V227" s="87" t="s">
        <v>153</v>
      </c>
      <c r="W227" s="60">
        <f t="shared" si="16"/>
        <v>1</v>
      </c>
      <c r="X227" s="46"/>
      <c r="Y227" s="74"/>
      <c r="Z227" s="46"/>
      <c r="AD227" s="46"/>
      <c r="AE227" s="46"/>
    </row>
    <row r="228" spans="1:31" s="59" customFormat="1" ht="17.25" customHeight="1">
      <c r="A228" s="59" t="s">
        <v>257</v>
      </c>
      <c r="B228" s="72" t="s">
        <v>531</v>
      </c>
      <c r="C228" s="155" t="s">
        <v>605</v>
      </c>
      <c r="D228" s="58" t="str">
        <f>VLOOKUP(C228,코드!$E$3:$F$30,2,FALSE)</f>
        <v>8701</v>
      </c>
      <c r="E228" s="58" t="str">
        <f t="shared" si="14"/>
        <v>[C-2]</v>
      </c>
      <c r="F228" s="65" t="s">
        <v>577</v>
      </c>
      <c r="G228" s="65" t="s">
        <v>601</v>
      </c>
      <c r="H228" s="66" t="s">
        <v>604</v>
      </c>
      <c r="I228" s="65" t="s">
        <v>617</v>
      </c>
      <c r="J228" s="65" t="s">
        <v>616</v>
      </c>
      <c r="K228" s="72" t="s">
        <v>60</v>
      </c>
      <c r="L228" s="72" t="s">
        <v>17</v>
      </c>
      <c r="M228" s="58">
        <f>VLOOKUP(L228,코드!$B$3:$C$29,2,FALSE)</f>
        <v>4241130</v>
      </c>
      <c r="N228" s="72" t="s">
        <v>262</v>
      </c>
      <c r="O228" s="79" t="s">
        <v>578</v>
      </c>
      <c r="P228" s="75">
        <v>4500</v>
      </c>
      <c r="Q228" s="75">
        <v>300</v>
      </c>
      <c r="R228" s="75">
        <v>2</v>
      </c>
      <c r="S228" s="76">
        <v>2700000</v>
      </c>
      <c r="T228" s="75">
        <v>2700000</v>
      </c>
      <c r="U228" s="82">
        <f>S228</f>
        <v>2700000</v>
      </c>
      <c r="V228" s="87" t="s">
        <v>153</v>
      </c>
      <c r="W228" s="60">
        <f t="shared" si="16"/>
        <v>1</v>
      </c>
      <c r="X228" s="46"/>
      <c r="Y228" s="74"/>
      <c r="Z228" s="46"/>
      <c r="AD228" s="46"/>
      <c r="AE228" s="46"/>
    </row>
    <row r="229" spans="1:31" s="59" customFormat="1" ht="17.25" customHeight="1">
      <c r="A229" s="59" t="s">
        <v>257</v>
      </c>
      <c r="B229" s="72" t="s">
        <v>531</v>
      </c>
      <c r="C229" s="155" t="s">
        <v>605</v>
      </c>
      <c r="D229" s="58" t="str">
        <f>VLOOKUP(C229,코드!$E$3:$F$30,2,FALSE)</f>
        <v>8701</v>
      </c>
      <c r="E229" s="58" t="str">
        <f t="shared" si="14"/>
        <v>[C-2]</v>
      </c>
      <c r="F229" s="65" t="s">
        <v>577</v>
      </c>
      <c r="G229" s="65" t="s">
        <v>601</v>
      </c>
      <c r="H229" s="66" t="s">
        <v>604</v>
      </c>
      <c r="I229" s="65" t="s">
        <v>615</v>
      </c>
      <c r="J229" s="96" t="s">
        <v>614</v>
      </c>
      <c r="K229" s="72" t="s">
        <v>42</v>
      </c>
      <c r="L229" s="72" t="s">
        <v>9</v>
      </c>
      <c r="M229" s="58">
        <f>VLOOKUP(L229,코드!$B$3:$C$29,2,FALSE)</f>
        <v>4321701</v>
      </c>
      <c r="N229" s="72" t="s">
        <v>42</v>
      </c>
      <c r="O229" s="79" t="s">
        <v>607</v>
      </c>
      <c r="P229" s="75">
        <v>200000</v>
      </c>
      <c r="Q229" s="75">
        <v>36</v>
      </c>
      <c r="R229" s="75">
        <v>1</v>
      </c>
      <c r="S229" s="161">
        <v>6600000</v>
      </c>
      <c r="T229" s="75">
        <v>6600000</v>
      </c>
      <c r="U229" s="82">
        <f>S229</f>
        <v>6600000</v>
      </c>
      <c r="V229" s="87" t="s">
        <v>153</v>
      </c>
      <c r="W229" s="60">
        <f t="shared" si="16"/>
        <v>1</v>
      </c>
      <c r="X229" s="46"/>
      <c r="Y229" s="74"/>
      <c r="Z229" s="46"/>
      <c r="AD229" s="46"/>
      <c r="AE229" s="46"/>
    </row>
    <row r="230" spans="1:31" s="59" customFormat="1" ht="17.25" customHeight="1">
      <c r="A230" s="59" t="s">
        <v>257</v>
      </c>
      <c r="B230" s="72" t="s">
        <v>531</v>
      </c>
      <c r="C230" s="155" t="s">
        <v>605</v>
      </c>
      <c r="D230" s="58" t="str">
        <f>VLOOKUP(C230,코드!$E$3:$F$30,2,FALSE)</f>
        <v>8701</v>
      </c>
      <c r="E230" s="58" t="str">
        <f t="shared" si="14"/>
        <v>[C-2]</v>
      </c>
      <c r="F230" s="65" t="s">
        <v>577</v>
      </c>
      <c r="G230" s="65" t="s">
        <v>601</v>
      </c>
      <c r="H230" s="66" t="s">
        <v>604</v>
      </c>
      <c r="I230" s="65" t="s">
        <v>615</v>
      </c>
      <c r="J230" s="65" t="s">
        <v>613</v>
      </c>
      <c r="K230" s="72" t="s">
        <v>42</v>
      </c>
      <c r="L230" s="72" t="s">
        <v>9</v>
      </c>
      <c r="M230" s="58">
        <f>VLOOKUP(L230,코드!$B$3:$C$29,2,FALSE)</f>
        <v>4321701</v>
      </c>
      <c r="N230" s="72" t="s">
        <v>42</v>
      </c>
      <c r="O230" s="79" t="s">
        <v>607</v>
      </c>
      <c r="P230" s="75">
        <v>600000</v>
      </c>
      <c r="Q230" s="75">
        <v>1</v>
      </c>
      <c r="R230" s="75">
        <v>2</v>
      </c>
      <c r="S230" s="76">
        <v>1200000</v>
      </c>
      <c r="T230" s="75">
        <v>1200000</v>
      </c>
      <c r="U230" s="82">
        <f>S230</f>
        <v>1200000</v>
      </c>
      <c r="V230" s="87" t="s">
        <v>153</v>
      </c>
      <c r="W230" s="60">
        <f t="shared" si="16"/>
        <v>1</v>
      </c>
      <c r="X230" s="46"/>
      <c r="Y230" s="74"/>
      <c r="Z230" s="46"/>
      <c r="AD230" s="46"/>
      <c r="AE230" s="46"/>
    </row>
    <row r="231" spans="1:31" s="59" customFormat="1" ht="17.25" customHeight="1">
      <c r="A231" s="59" t="s">
        <v>257</v>
      </c>
      <c r="B231" s="72" t="s">
        <v>531</v>
      </c>
      <c r="C231" s="155" t="s">
        <v>605</v>
      </c>
      <c r="D231" s="58" t="str">
        <f>VLOOKUP(C231,코드!$E$3:$F$30,2,FALSE)</f>
        <v>8701</v>
      </c>
      <c r="E231" s="58" t="str">
        <f t="shared" si="14"/>
        <v>[C-2]</v>
      </c>
      <c r="F231" s="65" t="s">
        <v>577</v>
      </c>
      <c r="G231" s="65" t="s">
        <v>601</v>
      </c>
      <c r="H231" s="66" t="s">
        <v>604</v>
      </c>
      <c r="I231" s="65" t="s">
        <v>615</v>
      </c>
      <c r="J231" s="65" t="s">
        <v>611</v>
      </c>
      <c r="K231" s="72" t="s">
        <v>60</v>
      </c>
      <c r="L231" s="72" t="s">
        <v>17</v>
      </c>
      <c r="M231" s="58">
        <f>VLOOKUP(L231,코드!$B$3:$C$29,2,FALSE)</f>
        <v>4241130</v>
      </c>
      <c r="N231" s="72" t="s">
        <v>262</v>
      </c>
      <c r="O231" s="79" t="s">
        <v>578</v>
      </c>
      <c r="P231" s="75">
        <v>550000</v>
      </c>
      <c r="Q231" s="75">
        <v>1</v>
      </c>
      <c r="R231" s="75">
        <v>2</v>
      </c>
      <c r="S231" s="161">
        <v>500000</v>
      </c>
      <c r="T231" s="75">
        <v>500000</v>
      </c>
      <c r="U231" s="162">
        <v>500000</v>
      </c>
      <c r="V231" s="185" t="s">
        <v>542</v>
      </c>
      <c r="W231" s="60">
        <f t="shared" si="16"/>
        <v>1</v>
      </c>
      <c r="X231" s="46"/>
      <c r="Y231" s="74"/>
      <c r="Z231" s="46"/>
      <c r="AD231" s="46"/>
      <c r="AE231" s="46"/>
    </row>
    <row r="232" spans="1:31" s="59" customFormat="1" ht="17.25" customHeight="1">
      <c r="A232" s="59" t="s">
        <v>257</v>
      </c>
      <c r="B232" s="72" t="s">
        <v>531</v>
      </c>
      <c r="C232" s="155" t="s">
        <v>605</v>
      </c>
      <c r="D232" s="58" t="str">
        <f>VLOOKUP(C232,코드!$E$3:$F$30,2,FALSE)</f>
        <v>8701</v>
      </c>
      <c r="E232" s="58" t="str">
        <f t="shared" si="14"/>
        <v>[C-2]</v>
      </c>
      <c r="F232" s="65" t="s">
        <v>577</v>
      </c>
      <c r="G232" s="65" t="s">
        <v>601</v>
      </c>
      <c r="H232" s="66" t="s">
        <v>604</v>
      </c>
      <c r="I232" s="65" t="s">
        <v>612</v>
      </c>
      <c r="J232" s="65" t="s">
        <v>614</v>
      </c>
      <c r="K232" s="72" t="s">
        <v>42</v>
      </c>
      <c r="L232" s="72" t="s">
        <v>9</v>
      </c>
      <c r="M232" s="58">
        <f>VLOOKUP(L232,코드!$B$3:$C$29,2,FALSE)</f>
        <v>4321701</v>
      </c>
      <c r="N232" s="72" t="s">
        <v>42</v>
      </c>
      <c r="O232" s="79" t="s">
        <v>607</v>
      </c>
      <c r="P232" s="75">
        <v>500000</v>
      </c>
      <c r="Q232" s="75">
        <v>40</v>
      </c>
      <c r="R232" s="75">
        <v>2</v>
      </c>
      <c r="S232" s="76">
        <v>45000000</v>
      </c>
      <c r="T232" s="75">
        <v>40000000</v>
      </c>
      <c r="U232" s="82">
        <f>S232</f>
        <v>45000000</v>
      </c>
      <c r="V232" s="87" t="s">
        <v>153</v>
      </c>
      <c r="W232" s="60">
        <f t="shared" si="16"/>
        <v>1</v>
      </c>
      <c r="X232" s="46"/>
      <c r="Y232" s="74"/>
      <c r="Z232" s="46"/>
      <c r="AD232" s="46"/>
      <c r="AE232" s="46"/>
    </row>
    <row r="233" spans="1:31" s="59" customFormat="1" ht="17.25" customHeight="1">
      <c r="A233" s="59" t="s">
        <v>257</v>
      </c>
      <c r="B233" s="72" t="s">
        <v>531</v>
      </c>
      <c r="C233" s="155" t="s">
        <v>605</v>
      </c>
      <c r="D233" s="58" t="str">
        <f>VLOOKUP(C233,코드!$E$3:$F$30,2,FALSE)</f>
        <v>8701</v>
      </c>
      <c r="E233" s="58" t="str">
        <f t="shared" si="14"/>
        <v>[C-2]</v>
      </c>
      <c r="F233" s="65" t="s">
        <v>577</v>
      </c>
      <c r="G233" s="65" t="s">
        <v>601</v>
      </c>
      <c r="H233" s="66" t="s">
        <v>604</v>
      </c>
      <c r="I233" s="65" t="s">
        <v>612</v>
      </c>
      <c r="J233" s="65" t="s">
        <v>613</v>
      </c>
      <c r="K233" s="72" t="s">
        <v>42</v>
      </c>
      <c r="L233" s="72" t="s">
        <v>9</v>
      </c>
      <c r="M233" s="58">
        <f>VLOOKUP(L233,코드!$B$3:$C$29,2,FALSE)</f>
        <v>4321701</v>
      </c>
      <c r="N233" s="72" t="s">
        <v>42</v>
      </c>
      <c r="O233" s="79" t="s">
        <v>607</v>
      </c>
      <c r="P233" s="75">
        <v>1500000</v>
      </c>
      <c r="Q233" s="75">
        <v>1</v>
      </c>
      <c r="R233" s="75">
        <v>2</v>
      </c>
      <c r="S233" s="76">
        <v>1900000</v>
      </c>
      <c r="T233" s="75">
        <v>1400000</v>
      </c>
      <c r="U233" s="82">
        <f>S233</f>
        <v>1900000</v>
      </c>
      <c r="V233" s="87" t="s">
        <v>153</v>
      </c>
      <c r="W233" s="60">
        <f t="shared" si="16"/>
        <v>1</v>
      </c>
      <c r="X233" s="46"/>
      <c r="Y233" s="74"/>
      <c r="Z233" s="46"/>
      <c r="AD233" s="46"/>
      <c r="AE233" s="46"/>
    </row>
    <row r="234" spans="1:31" s="59" customFormat="1" ht="17.25" customHeight="1">
      <c r="A234" s="59" t="s">
        <v>257</v>
      </c>
      <c r="B234" s="72" t="s">
        <v>531</v>
      </c>
      <c r="C234" s="155" t="s">
        <v>605</v>
      </c>
      <c r="D234" s="58" t="str">
        <f>VLOOKUP(C234,코드!$E$3:$F$30,2,FALSE)</f>
        <v>8701</v>
      </c>
      <c r="E234" s="58" t="str">
        <f t="shared" si="14"/>
        <v>[C-2]</v>
      </c>
      <c r="F234" s="65" t="s">
        <v>577</v>
      </c>
      <c r="G234" s="65" t="s">
        <v>601</v>
      </c>
      <c r="H234" s="66" t="s">
        <v>604</v>
      </c>
      <c r="I234" s="65" t="s">
        <v>612</v>
      </c>
      <c r="J234" s="65" t="s">
        <v>611</v>
      </c>
      <c r="K234" s="72" t="s">
        <v>60</v>
      </c>
      <c r="L234" s="72" t="s">
        <v>17</v>
      </c>
      <c r="M234" s="58">
        <f>VLOOKUP(L234,코드!$B$3:$C$29,2,FALSE)</f>
        <v>4241130</v>
      </c>
      <c r="N234" s="72" t="s">
        <v>262</v>
      </c>
      <c r="O234" s="79" t="s">
        <v>578</v>
      </c>
      <c r="P234" s="75">
        <v>1000000</v>
      </c>
      <c r="Q234" s="75">
        <v>1</v>
      </c>
      <c r="R234" s="75">
        <v>2</v>
      </c>
      <c r="S234" s="76">
        <v>1000000</v>
      </c>
      <c r="T234" s="75">
        <v>700000</v>
      </c>
      <c r="U234" s="82">
        <f>S234</f>
        <v>1000000</v>
      </c>
      <c r="V234" s="87" t="s">
        <v>153</v>
      </c>
      <c r="W234" s="60">
        <f t="shared" si="16"/>
        <v>1</v>
      </c>
      <c r="X234" s="46"/>
      <c r="Y234" s="74"/>
      <c r="Z234" s="46"/>
      <c r="AD234" s="46"/>
      <c r="AE234" s="46"/>
    </row>
    <row r="235" spans="1:31" s="59" customFormat="1" ht="17.25" customHeight="1">
      <c r="A235" s="59" t="s">
        <v>257</v>
      </c>
      <c r="B235" s="72" t="s">
        <v>531</v>
      </c>
      <c r="C235" s="155" t="s">
        <v>605</v>
      </c>
      <c r="D235" s="58" t="str">
        <f>VLOOKUP(C235,코드!$E$3:$F$30,2,FALSE)</f>
        <v>8701</v>
      </c>
      <c r="E235" s="58" t="str">
        <f t="shared" si="14"/>
        <v>[C-2]</v>
      </c>
      <c r="F235" s="65" t="s">
        <v>577</v>
      </c>
      <c r="G235" s="65" t="s">
        <v>610</v>
      </c>
      <c r="H235" s="66" t="s">
        <v>604</v>
      </c>
      <c r="I235" s="65" t="s">
        <v>609</v>
      </c>
      <c r="J235" s="65" t="s">
        <v>583</v>
      </c>
      <c r="K235" s="72" t="s">
        <v>60</v>
      </c>
      <c r="L235" s="72" t="s">
        <v>28</v>
      </c>
      <c r="M235" s="58">
        <f>VLOOKUP(L235,코드!$B$3:$C$29,2,FALSE)</f>
        <v>4116101</v>
      </c>
      <c r="N235" s="72" t="s">
        <v>356</v>
      </c>
      <c r="O235" s="79" t="s">
        <v>578</v>
      </c>
      <c r="P235" s="75">
        <v>450000</v>
      </c>
      <c r="Q235" s="75">
        <v>1</v>
      </c>
      <c r="R235" s="75">
        <v>2</v>
      </c>
      <c r="S235" s="76">
        <v>800000</v>
      </c>
      <c r="T235" s="75">
        <v>800000</v>
      </c>
      <c r="U235" s="82">
        <f>S235</f>
        <v>800000</v>
      </c>
      <c r="V235" s="87" t="s">
        <v>153</v>
      </c>
      <c r="W235" s="60">
        <f t="shared" si="16"/>
        <v>1</v>
      </c>
      <c r="X235" s="46"/>
      <c r="Y235" s="74"/>
      <c r="Z235" s="46"/>
      <c r="AD235" s="46"/>
      <c r="AE235" s="46"/>
    </row>
    <row r="236" spans="1:31" s="59" customFormat="1" ht="17.25" customHeight="1">
      <c r="A236" s="59" t="s">
        <v>257</v>
      </c>
      <c r="B236" s="72" t="s">
        <v>531</v>
      </c>
      <c r="C236" s="155" t="s">
        <v>605</v>
      </c>
      <c r="D236" s="58" t="str">
        <f>VLOOKUP(C236,코드!$E$3:$F$30,2,FALSE)</f>
        <v>8701</v>
      </c>
      <c r="E236" s="58" t="str">
        <f t="shared" si="14"/>
        <v>[C-2]</v>
      </c>
      <c r="F236" s="65" t="s">
        <v>577</v>
      </c>
      <c r="G236" s="65" t="s">
        <v>601</v>
      </c>
      <c r="H236" s="66" t="s">
        <v>604</v>
      </c>
      <c r="I236" s="65" t="s">
        <v>609</v>
      </c>
      <c r="J236" s="65" t="s">
        <v>608</v>
      </c>
      <c r="K236" s="72" t="s">
        <v>60</v>
      </c>
      <c r="L236" s="72" t="s">
        <v>17</v>
      </c>
      <c r="M236" s="58">
        <f>VLOOKUP(L236,코드!$B$3:$C$29,2,FALSE)</f>
        <v>4241130</v>
      </c>
      <c r="N236" s="72" t="s">
        <v>262</v>
      </c>
      <c r="O236" s="79" t="s">
        <v>578</v>
      </c>
      <c r="P236" s="75">
        <v>550000</v>
      </c>
      <c r="Q236" s="75">
        <v>2</v>
      </c>
      <c r="R236" s="75">
        <v>2</v>
      </c>
      <c r="S236" s="76">
        <v>935000</v>
      </c>
      <c r="T236" s="75">
        <v>935000</v>
      </c>
      <c r="U236" s="165">
        <v>935000</v>
      </c>
      <c r="V236" s="185" t="s">
        <v>542</v>
      </c>
      <c r="W236" s="60">
        <f t="shared" si="16"/>
        <v>1</v>
      </c>
      <c r="X236" s="73"/>
      <c r="Y236" s="74"/>
      <c r="Z236" s="46"/>
      <c r="AD236" s="46"/>
      <c r="AE236" s="46"/>
    </row>
    <row r="237" spans="1:31" s="59" customFormat="1" ht="17.25" customHeight="1">
      <c r="A237" s="59" t="s">
        <v>257</v>
      </c>
      <c r="B237" s="72" t="s">
        <v>531</v>
      </c>
      <c r="C237" s="155" t="s">
        <v>605</v>
      </c>
      <c r="D237" s="58" t="str">
        <f>VLOOKUP(C237,코드!$E$3:$F$30,2,FALSE)</f>
        <v>8701</v>
      </c>
      <c r="E237" s="58" t="str">
        <f t="shared" si="14"/>
        <v>[C-2]</v>
      </c>
      <c r="F237" s="65" t="s">
        <v>577</v>
      </c>
      <c r="G237" s="65" t="s">
        <v>601</v>
      </c>
      <c r="H237" s="66" t="s">
        <v>604</v>
      </c>
      <c r="I237" s="65" t="s">
        <v>606</v>
      </c>
      <c r="J237" s="65" t="s">
        <v>42</v>
      </c>
      <c r="K237" s="72" t="s">
        <v>42</v>
      </c>
      <c r="L237" s="72" t="s">
        <v>9</v>
      </c>
      <c r="M237" s="58">
        <f>VLOOKUP(L237,코드!$B$3:$C$29,2,FALSE)</f>
        <v>4321701</v>
      </c>
      <c r="N237" s="72" t="s">
        <v>42</v>
      </c>
      <c r="O237" s="79" t="s">
        <v>607</v>
      </c>
      <c r="P237" s="75">
        <v>1200000</v>
      </c>
      <c r="Q237" s="75">
        <v>5</v>
      </c>
      <c r="R237" s="75">
        <v>2</v>
      </c>
      <c r="S237" s="76">
        <v>12000000</v>
      </c>
      <c r="T237" s="75">
        <v>12000000</v>
      </c>
      <c r="U237" s="82">
        <f>S237</f>
        <v>12000000</v>
      </c>
      <c r="V237" s="87" t="s">
        <v>153</v>
      </c>
      <c r="W237" s="60">
        <f t="shared" si="16"/>
        <v>1</v>
      </c>
      <c r="X237" s="73"/>
      <c r="Y237" s="74"/>
      <c r="Z237" s="46"/>
      <c r="AD237" s="46"/>
      <c r="AE237" s="46"/>
    </row>
    <row r="238" spans="1:31" s="59" customFormat="1" ht="17.25" customHeight="1">
      <c r="A238" s="59" t="s">
        <v>257</v>
      </c>
      <c r="B238" s="72" t="s">
        <v>531</v>
      </c>
      <c r="C238" s="155" t="s">
        <v>605</v>
      </c>
      <c r="D238" s="58" t="str">
        <f>VLOOKUP(C238,코드!$E$3:$F$30,2,FALSE)</f>
        <v>8701</v>
      </c>
      <c r="E238" s="58" t="str">
        <f t="shared" si="14"/>
        <v>[C-2]</v>
      </c>
      <c r="F238" s="65" t="s">
        <v>577</v>
      </c>
      <c r="G238" s="65" t="s">
        <v>601</v>
      </c>
      <c r="H238" s="66" t="s">
        <v>604</v>
      </c>
      <c r="I238" s="65" t="s">
        <v>606</v>
      </c>
      <c r="J238" s="65" t="s">
        <v>129</v>
      </c>
      <c r="K238" s="72" t="s">
        <v>60</v>
      </c>
      <c r="L238" s="72" t="s">
        <v>17</v>
      </c>
      <c r="M238" s="58">
        <f>VLOOKUP(L238,코드!$B$3:$C$29,2,FALSE)</f>
        <v>4241130</v>
      </c>
      <c r="N238" s="72" t="s">
        <v>262</v>
      </c>
      <c r="O238" s="79" t="s">
        <v>578</v>
      </c>
      <c r="P238" s="75">
        <v>11300000</v>
      </c>
      <c r="Q238" s="75">
        <v>1</v>
      </c>
      <c r="R238" s="75">
        <v>2</v>
      </c>
      <c r="S238" s="76">
        <v>16363860</v>
      </c>
      <c r="T238" s="75">
        <v>16363860</v>
      </c>
      <c r="U238" s="82">
        <f>S238</f>
        <v>16363860</v>
      </c>
      <c r="V238" s="87" t="s">
        <v>153</v>
      </c>
      <c r="W238" s="60">
        <f t="shared" si="16"/>
        <v>1</v>
      </c>
      <c r="X238" s="73"/>
      <c r="Y238" s="74"/>
      <c r="Z238" s="46"/>
      <c r="AD238" s="46"/>
      <c r="AE238" s="46"/>
    </row>
    <row r="239" spans="1:31" s="59" customFormat="1" ht="17.25" customHeight="1">
      <c r="A239" s="59" t="s">
        <v>257</v>
      </c>
      <c r="B239" s="72" t="s">
        <v>531</v>
      </c>
      <c r="C239" s="155" t="s">
        <v>605</v>
      </c>
      <c r="D239" s="58" t="str">
        <f>VLOOKUP(C239,코드!$E$3:$F$30,2,FALSE)</f>
        <v>8701</v>
      </c>
      <c r="E239" s="58" t="str">
        <f t="shared" si="14"/>
        <v>[C-2]</v>
      </c>
      <c r="F239" s="65" t="s">
        <v>577</v>
      </c>
      <c r="G239" s="65" t="s">
        <v>601</v>
      </c>
      <c r="H239" s="66" t="s">
        <v>604</v>
      </c>
      <c r="I239" s="65" t="s">
        <v>603</v>
      </c>
      <c r="J239" s="65" t="s">
        <v>602</v>
      </c>
      <c r="K239" s="72" t="s">
        <v>60</v>
      </c>
      <c r="L239" s="72" t="s">
        <v>17</v>
      </c>
      <c r="M239" s="58">
        <f>VLOOKUP(L239,코드!$B$3:$C$29,2,FALSE)</f>
        <v>4241130</v>
      </c>
      <c r="N239" s="72" t="s">
        <v>262</v>
      </c>
      <c r="O239" s="79" t="s">
        <v>578</v>
      </c>
      <c r="P239" s="75">
        <v>4200000</v>
      </c>
      <c r="Q239" s="75">
        <v>1</v>
      </c>
      <c r="R239" s="75">
        <v>2</v>
      </c>
      <c r="S239" s="76">
        <v>4400000</v>
      </c>
      <c r="T239" s="75">
        <v>4400000</v>
      </c>
      <c r="U239" s="82">
        <f>S239</f>
        <v>4400000</v>
      </c>
      <c r="V239" s="87" t="s">
        <v>153</v>
      </c>
      <c r="W239" s="60">
        <f t="shared" si="16"/>
        <v>1</v>
      </c>
      <c r="X239" s="73"/>
      <c r="Y239" s="74"/>
      <c r="Z239" s="46"/>
      <c r="AD239" s="46"/>
      <c r="AE239" s="46"/>
    </row>
    <row r="240" spans="1:31" s="59" customFormat="1" ht="17.25" customHeight="1">
      <c r="A240" s="59" t="s">
        <v>257</v>
      </c>
      <c r="B240" s="72" t="s">
        <v>531</v>
      </c>
      <c r="C240" s="155" t="s">
        <v>152</v>
      </c>
      <c r="D240" s="58" t="str">
        <f>VLOOKUP(C240,코드!$E$3:$F$30,2,FALSE)</f>
        <v>8701</v>
      </c>
      <c r="E240" s="58" t="str">
        <f t="shared" si="14"/>
        <v>[C-2]</v>
      </c>
      <c r="F240" s="65" t="s">
        <v>577</v>
      </c>
      <c r="G240" s="65" t="s">
        <v>601</v>
      </c>
      <c r="H240" s="66" t="s">
        <v>600</v>
      </c>
      <c r="I240" s="65" t="s">
        <v>599</v>
      </c>
      <c r="J240" s="65" t="s">
        <v>598</v>
      </c>
      <c r="K240" s="72" t="s">
        <v>205</v>
      </c>
      <c r="L240" s="72" t="s">
        <v>179</v>
      </c>
      <c r="M240" s="58">
        <f>VLOOKUP(L240,코드!$B$3:$C$29,2,FALSE)</f>
        <v>4233201</v>
      </c>
      <c r="N240" s="72" t="s">
        <v>178</v>
      </c>
      <c r="O240" s="79" t="s">
        <v>571</v>
      </c>
      <c r="P240" s="75">
        <v>65835</v>
      </c>
      <c r="Q240" s="75">
        <v>2000</v>
      </c>
      <c r="R240" s="75">
        <v>1</v>
      </c>
      <c r="S240" s="76">
        <v>131670000</v>
      </c>
      <c r="T240" s="75">
        <v>131670000</v>
      </c>
      <c r="U240" s="165">
        <v>131670000</v>
      </c>
      <c r="V240" s="185" t="s">
        <v>542</v>
      </c>
      <c r="W240" s="60">
        <f t="shared" si="16"/>
        <v>1</v>
      </c>
      <c r="X240" s="73"/>
      <c r="Y240" s="74"/>
      <c r="Z240" s="46"/>
      <c r="AD240" s="46"/>
      <c r="AE240" s="46"/>
    </row>
    <row r="241" spans="1:31" s="59" customFormat="1" ht="17.25" customHeight="1">
      <c r="A241" s="59" t="s">
        <v>257</v>
      </c>
      <c r="B241" s="72" t="s">
        <v>531</v>
      </c>
      <c r="C241" s="155" t="s">
        <v>152</v>
      </c>
      <c r="D241" s="58" t="str">
        <f>VLOOKUP(C241,코드!$E$3:$F$30,2,FALSE)</f>
        <v>8701</v>
      </c>
      <c r="E241" s="58" t="str">
        <f t="shared" si="14"/>
        <v>[C-2]</v>
      </c>
      <c r="F241" s="65" t="s">
        <v>577</v>
      </c>
      <c r="G241" s="65" t="s">
        <v>581</v>
      </c>
      <c r="H241" s="66" t="s">
        <v>593</v>
      </c>
      <c r="I241" s="65" t="s">
        <v>592</v>
      </c>
      <c r="J241" s="65" t="s">
        <v>597</v>
      </c>
      <c r="K241" s="72" t="s">
        <v>130</v>
      </c>
      <c r="L241" s="72" t="s">
        <v>17</v>
      </c>
      <c r="M241" s="58">
        <f>VLOOKUP(L241,코드!$B$3:$C$29,2,FALSE)</f>
        <v>4241130</v>
      </c>
      <c r="N241" s="191" t="s">
        <v>217</v>
      </c>
      <c r="O241" s="79" t="s">
        <v>578</v>
      </c>
      <c r="P241" s="75">
        <v>40000</v>
      </c>
      <c r="Q241" s="75">
        <v>70</v>
      </c>
      <c r="R241" s="75">
        <v>1</v>
      </c>
      <c r="S241" s="190">
        <v>4000000</v>
      </c>
      <c r="T241" s="75">
        <v>4000000</v>
      </c>
      <c r="U241" s="82">
        <f>S241</f>
        <v>4000000</v>
      </c>
      <c r="V241" s="87" t="s">
        <v>153</v>
      </c>
      <c r="W241" s="189">
        <f t="shared" si="16"/>
        <v>1</v>
      </c>
      <c r="X241" s="73"/>
      <c r="Y241" s="74"/>
      <c r="Z241" s="46"/>
      <c r="AD241" s="46"/>
      <c r="AE241" s="46"/>
    </row>
    <row r="242" spans="1:31" s="59" customFormat="1" ht="17.25" customHeight="1">
      <c r="A242" s="59" t="s">
        <v>257</v>
      </c>
      <c r="B242" s="72" t="s">
        <v>531</v>
      </c>
      <c r="C242" s="155" t="s">
        <v>152</v>
      </c>
      <c r="D242" s="58" t="str">
        <f>VLOOKUP(C242,코드!$E$3:$F$30,2,FALSE)</f>
        <v>8701</v>
      </c>
      <c r="E242" s="58" t="str">
        <f t="shared" si="14"/>
        <v>[C-2]</v>
      </c>
      <c r="F242" s="65" t="s">
        <v>577</v>
      </c>
      <c r="G242" s="65" t="s">
        <v>581</v>
      </c>
      <c r="H242" s="66" t="s">
        <v>593</v>
      </c>
      <c r="I242" s="65" t="s">
        <v>592</v>
      </c>
      <c r="J242" s="65" t="s">
        <v>596</v>
      </c>
      <c r="K242" s="72" t="s">
        <v>130</v>
      </c>
      <c r="L242" s="72" t="s">
        <v>29</v>
      </c>
      <c r="M242" s="58">
        <f>VLOOKUP(L242,코드!$B$3:$C$29,2,FALSE)</f>
        <v>4113401</v>
      </c>
      <c r="N242" s="72" t="s">
        <v>595</v>
      </c>
      <c r="O242" s="79" t="s">
        <v>578</v>
      </c>
      <c r="P242" s="75">
        <v>200000</v>
      </c>
      <c r="Q242" s="75">
        <v>5</v>
      </c>
      <c r="R242" s="75">
        <v>1</v>
      </c>
      <c r="S242" s="190">
        <v>1200000</v>
      </c>
      <c r="T242" s="75">
        <v>1200000</v>
      </c>
      <c r="U242" s="82">
        <f>S242</f>
        <v>1200000</v>
      </c>
      <c r="V242" s="87" t="s">
        <v>153</v>
      </c>
      <c r="W242" s="189">
        <f t="shared" si="16"/>
        <v>1</v>
      </c>
      <c r="X242" s="73"/>
      <c r="Y242" s="74"/>
      <c r="Z242" s="46"/>
      <c r="AD242" s="46"/>
      <c r="AE242" s="46"/>
    </row>
    <row r="243" spans="1:31" s="59" customFormat="1" ht="17.25" customHeight="1">
      <c r="A243" s="59" t="s">
        <v>257</v>
      </c>
      <c r="B243" s="72" t="s">
        <v>531</v>
      </c>
      <c r="C243" s="155" t="s">
        <v>152</v>
      </c>
      <c r="D243" s="58" t="str">
        <f>VLOOKUP(C243,코드!$E$3:$F$30,2,FALSE)</f>
        <v>8701</v>
      </c>
      <c r="E243" s="58" t="str">
        <f t="shared" si="14"/>
        <v>[C-2]</v>
      </c>
      <c r="F243" s="65" t="s">
        <v>577</v>
      </c>
      <c r="G243" s="65" t="s">
        <v>581</v>
      </c>
      <c r="H243" s="66" t="s">
        <v>593</v>
      </c>
      <c r="I243" s="65" t="s">
        <v>592</v>
      </c>
      <c r="J243" s="65" t="s">
        <v>594</v>
      </c>
      <c r="K243" s="72" t="s">
        <v>130</v>
      </c>
      <c r="L243" s="72" t="s">
        <v>17</v>
      </c>
      <c r="M243" s="58">
        <f>VLOOKUP(L243,코드!$B$3:$C$29,2,FALSE)</f>
        <v>4241130</v>
      </c>
      <c r="N243" s="72" t="s">
        <v>120</v>
      </c>
      <c r="O243" s="79" t="s">
        <v>578</v>
      </c>
      <c r="P243" s="75">
        <v>30000</v>
      </c>
      <c r="Q243" s="75">
        <v>70</v>
      </c>
      <c r="R243" s="75">
        <v>1</v>
      </c>
      <c r="S243" s="190">
        <v>4900000</v>
      </c>
      <c r="T243" s="75">
        <v>4900000</v>
      </c>
      <c r="U243" s="82">
        <f>S243</f>
        <v>4900000</v>
      </c>
      <c r="V243" s="87" t="s">
        <v>153</v>
      </c>
      <c r="W243" s="189">
        <f t="shared" si="16"/>
        <v>1</v>
      </c>
      <c r="X243" s="73"/>
      <c r="Y243" s="74"/>
      <c r="Z243" s="46"/>
      <c r="AD243" s="46"/>
      <c r="AE243" s="46"/>
    </row>
    <row r="244" spans="1:31" s="59" customFormat="1" ht="17.25" customHeight="1">
      <c r="A244" s="59" t="s">
        <v>257</v>
      </c>
      <c r="B244" s="72" t="s">
        <v>531</v>
      </c>
      <c r="C244" s="155" t="s">
        <v>152</v>
      </c>
      <c r="D244" s="58" t="str">
        <f>VLOOKUP(C244,코드!$E$3:$F$30,2,FALSE)</f>
        <v>8701</v>
      </c>
      <c r="E244" s="58" t="str">
        <f t="shared" si="14"/>
        <v>[C-2]</v>
      </c>
      <c r="F244" s="65" t="s">
        <v>577</v>
      </c>
      <c r="G244" s="65" t="s">
        <v>581</v>
      </c>
      <c r="H244" s="66" t="s">
        <v>593</v>
      </c>
      <c r="I244" s="65" t="s">
        <v>592</v>
      </c>
      <c r="J244" s="65" t="s">
        <v>591</v>
      </c>
      <c r="K244" s="72" t="s">
        <v>130</v>
      </c>
      <c r="L244" s="72" t="s">
        <v>17</v>
      </c>
      <c r="M244" s="58">
        <f>VLOOKUP(L244,코드!$B$3:$C$29,2,FALSE)</f>
        <v>4241130</v>
      </c>
      <c r="N244" s="72" t="s">
        <v>590</v>
      </c>
      <c r="O244" s="79" t="s">
        <v>578</v>
      </c>
      <c r="P244" s="75">
        <v>20000</v>
      </c>
      <c r="Q244" s="75">
        <v>70</v>
      </c>
      <c r="R244" s="75">
        <v>1</v>
      </c>
      <c r="S244" s="190">
        <v>2000000</v>
      </c>
      <c r="T244" s="75">
        <v>2000000</v>
      </c>
      <c r="U244" s="82">
        <f>S244</f>
        <v>2000000</v>
      </c>
      <c r="V244" s="87" t="s">
        <v>153</v>
      </c>
      <c r="W244" s="189">
        <f t="shared" si="16"/>
        <v>1</v>
      </c>
      <c r="X244" s="73"/>
      <c r="Y244" s="74"/>
      <c r="Z244" s="46"/>
      <c r="AD244" s="46"/>
      <c r="AE244" s="46"/>
    </row>
    <row r="245" spans="1:31" s="59" customFormat="1" ht="17.25" customHeight="1">
      <c r="A245" s="59" t="s">
        <v>257</v>
      </c>
      <c r="B245" s="72" t="s">
        <v>531</v>
      </c>
      <c r="C245" s="155" t="s">
        <v>152</v>
      </c>
      <c r="D245" s="58" t="str">
        <f>VLOOKUP(C245,코드!$E$3:$F$30,2,FALSE)</f>
        <v>8701</v>
      </c>
      <c r="E245" s="58" t="str">
        <f t="shared" si="14"/>
        <v>[C-2]</v>
      </c>
      <c r="F245" s="65" t="s">
        <v>577</v>
      </c>
      <c r="G245" s="65" t="s">
        <v>581</v>
      </c>
      <c r="H245" s="66" t="s">
        <v>575</v>
      </c>
      <c r="I245" s="65" t="s">
        <v>586</v>
      </c>
      <c r="J245" s="65" t="s">
        <v>589</v>
      </c>
      <c r="K245" s="72" t="s">
        <v>130</v>
      </c>
      <c r="L245" s="72" t="s">
        <v>17</v>
      </c>
      <c r="M245" s="58">
        <f>VLOOKUP(L245,코드!$B$3:$C$29,2,FALSE)</f>
        <v>4241130</v>
      </c>
      <c r="N245" s="72" t="s">
        <v>120</v>
      </c>
      <c r="O245" s="79" t="s">
        <v>578</v>
      </c>
      <c r="P245" s="75">
        <v>1000000</v>
      </c>
      <c r="Q245" s="75">
        <v>1</v>
      </c>
      <c r="R245" s="75">
        <v>2</v>
      </c>
      <c r="S245" s="76">
        <v>2000000</v>
      </c>
      <c r="T245" s="75">
        <v>2000000</v>
      </c>
      <c r="U245" s="78">
        <v>2000000</v>
      </c>
      <c r="V245" s="185" t="s">
        <v>542</v>
      </c>
      <c r="W245" s="60">
        <f t="shared" si="16"/>
        <v>1</v>
      </c>
      <c r="X245" s="73"/>
      <c r="Y245" s="74"/>
      <c r="Z245" s="46"/>
      <c r="AD245" s="46"/>
      <c r="AE245" s="46"/>
    </row>
    <row r="246" spans="1:31" s="59" customFormat="1" ht="17.25" customHeight="1">
      <c r="A246" s="59" t="s">
        <v>257</v>
      </c>
      <c r="B246" s="72" t="s">
        <v>531</v>
      </c>
      <c r="C246" s="155" t="s">
        <v>152</v>
      </c>
      <c r="D246" s="58" t="str">
        <f>VLOOKUP(C246,코드!$E$3:$F$30,2,FALSE)</f>
        <v>8701</v>
      </c>
      <c r="E246" s="58" t="str">
        <f t="shared" si="14"/>
        <v>[C-2]</v>
      </c>
      <c r="F246" s="65" t="s">
        <v>577</v>
      </c>
      <c r="G246" s="65" t="s">
        <v>581</v>
      </c>
      <c r="H246" s="66" t="s">
        <v>575</v>
      </c>
      <c r="I246" s="65" t="s">
        <v>586</v>
      </c>
      <c r="J246" s="65" t="s">
        <v>588</v>
      </c>
      <c r="K246" s="72" t="s">
        <v>130</v>
      </c>
      <c r="L246" s="72" t="s">
        <v>17</v>
      </c>
      <c r="M246" s="58">
        <f>VLOOKUP(L246,코드!$B$3:$C$29,2,FALSE)</f>
        <v>4241130</v>
      </c>
      <c r="N246" s="72" t="s">
        <v>587</v>
      </c>
      <c r="O246" s="79" t="s">
        <v>578</v>
      </c>
      <c r="P246" s="75">
        <v>300000</v>
      </c>
      <c r="Q246" s="75">
        <v>1</v>
      </c>
      <c r="R246" s="75">
        <v>2</v>
      </c>
      <c r="S246" s="76">
        <v>600000</v>
      </c>
      <c r="T246" s="75">
        <v>600000</v>
      </c>
      <c r="U246" s="78">
        <v>600000</v>
      </c>
      <c r="V246" s="185" t="s">
        <v>542</v>
      </c>
      <c r="W246" s="60">
        <f t="shared" si="16"/>
        <v>1</v>
      </c>
      <c r="X246" s="73"/>
      <c r="Y246" s="74"/>
      <c r="Z246" s="46"/>
      <c r="AD246" s="46"/>
      <c r="AE246" s="46"/>
    </row>
    <row r="247" spans="1:31" s="59" customFormat="1" ht="17.25" customHeight="1">
      <c r="A247" s="59" t="s">
        <v>257</v>
      </c>
      <c r="B247" s="72" t="s">
        <v>531</v>
      </c>
      <c r="C247" s="155" t="s">
        <v>152</v>
      </c>
      <c r="D247" s="58" t="str">
        <f>VLOOKUP(C247,코드!$E$3:$F$30,2,FALSE)</f>
        <v>8701</v>
      </c>
      <c r="E247" s="58" t="str">
        <f t="shared" si="14"/>
        <v>[C-2]</v>
      </c>
      <c r="F247" s="65" t="s">
        <v>577</v>
      </c>
      <c r="G247" s="65" t="s">
        <v>581</v>
      </c>
      <c r="H247" s="66" t="s">
        <v>575</v>
      </c>
      <c r="I247" s="65" t="s">
        <v>586</v>
      </c>
      <c r="J247" s="65" t="s">
        <v>585</v>
      </c>
      <c r="K247" s="72" t="s">
        <v>130</v>
      </c>
      <c r="L247" s="72" t="s">
        <v>17</v>
      </c>
      <c r="M247" s="58">
        <f>VLOOKUP(L247,코드!$B$3:$C$29,2,FALSE)</f>
        <v>4241130</v>
      </c>
      <c r="N247" s="72" t="s">
        <v>120</v>
      </c>
      <c r="O247" s="79" t="s">
        <v>578</v>
      </c>
      <c r="P247" s="75">
        <v>500000</v>
      </c>
      <c r="Q247" s="75">
        <v>1</v>
      </c>
      <c r="R247" s="75">
        <v>2</v>
      </c>
      <c r="S247" s="76">
        <v>1000000</v>
      </c>
      <c r="T247" s="75">
        <v>1000000</v>
      </c>
      <c r="U247" s="78">
        <v>1000000</v>
      </c>
      <c r="V247" s="185" t="s">
        <v>542</v>
      </c>
      <c r="W247" s="60">
        <f t="shared" si="16"/>
        <v>1</v>
      </c>
      <c r="X247" s="73"/>
      <c r="Y247" s="74"/>
      <c r="Z247" s="46"/>
      <c r="AD247" s="46"/>
      <c r="AE247" s="46"/>
    </row>
    <row r="248" spans="1:31" s="59" customFormat="1" ht="17.25" customHeight="1">
      <c r="A248" s="59" t="s">
        <v>257</v>
      </c>
      <c r="B248" s="72" t="s">
        <v>531</v>
      </c>
      <c r="C248" s="155" t="s">
        <v>152</v>
      </c>
      <c r="D248" s="58" t="str">
        <f>VLOOKUP(C248,코드!$E$3:$F$30,2,FALSE)</f>
        <v>8701</v>
      </c>
      <c r="E248" s="58" t="str">
        <f t="shared" si="14"/>
        <v>[C-2]</v>
      </c>
      <c r="F248" s="65" t="s">
        <v>577</v>
      </c>
      <c r="G248" s="65" t="s">
        <v>581</v>
      </c>
      <c r="H248" s="66" t="s">
        <v>575</v>
      </c>
      <c r="I248" s="65" t="s">
        <v>580</v>
      </c>
      <c r="J248" s="65" t="s">
        <v>584</v>
      </c>
      <c r="K248" s="72" t="s">
        <v>130</v>
      </c>
      <c r="L248" s="72" t="s">
        <v>17</v>
      </c>
      <c r="M248" s="58">
        <f>VLOOKUP(L248,코드!$B$3:$C$29,2,FALSE)</f>
        <v>4241130</v>
      </c>
      <c r="N248" s="72" t="s">
        <v>583</v>
      </c>
      <c r="O248" s="79" t="s">
        <v>578</v>
      </c>
      <c r="P248" s="75">
        <v>550000</v>
      </c>
      <c r="Q248" s="75">
        <v>1</v>
      </c>
      <c r="R248" s="75">
        <v>1</v>
      </c>
      <c r="S248" s="76">
        <v>550000</v>
      </c>
      <c r="T248" s="75">
        <v>550000</v>
      </c>
      <c r="U248" s="78">
        <v>550000</v>
      </c>
      <c r="V248" s="185" t="s">
        <v>542</v>
      </c>
      <c r="W248" s="60">
        <f t="shared" si="16"/>
        <v>1</v>
      </c>
      <c r="X248" s="73"/>
      <c r="Y248" s="74"/>
      <c r="Z248" s="46"/>
      <c r="AD248" s="46"/>
      <c r="AE248" s="46"/>
    </row>
    <row r="249" spans="1:31" s="59" customFormat="1" ht="17.25" customHeight="1">
      <c r="A249" s="59" t="s">
        <v>257</v>
      </c>
      <c r="B249" s="72" t="s">
        <v>531</v>
      </c>
      <c r="C249" s="155" t="s">
        <v>152</v>
      </c>
      <c r="D249" s="58" t="str">
        <f>VLOOKUP(C249,코드!$E$3:$F$30,2,FALSE)</f>
        <v>8701</v>
      </c>
      <c r="E249" s="58" t="str">
        <f t="shared" si="14"/>
        <v>[C-2]</v>
      </c>
      <c r="F249" s="65" t="s">
        <v>577</v>
      </c>
      <c r="G249" s="65" t="s">
        <v>581</v>
      </c>
      <c r="H249" s="66" t="s">
        <v>575</v>
      </c>
      <c r="I249" s="65" t="s">
        <v>580</v>
      </c>
      <c r="J249" s="65" t="s">
        <v>582</v>
      </c>
      <c r="K249" s="72" t="s">
        <v>130</v>
      </c>
      <c r="L249" s="72" t="s">
        <v>17</v>
      </c>
      <c r="M249" s="58">
        <f>VLOOKUP(L249,코드!$B$3:$C$29,2,FALSE)</f>
        <v>4241130</v>
      </c>
      <c r="N249" s="72" t="s">
        <v>105</v>
      </c>
      <c r="O249" s="79" t="s">
        <v>578</v>
      </c>
      <c r="P249" s="75">
        <v>1000000</v>
      </c>
      <c r="Q249" s="75">
        <v>1</v>
      </c>
      <c r="R249" s="75">
        <v>4</v>
      </c>
      <c r="S249" s="76">
        <v>4000000</v>
      </c>
      <c r="T249" s="75">
        <v>4000000</v>
      </c>
      <c r="U249" s="78">
        <v>4000000</v>
      </c>
      <c r="V249" s="188" t="s">
        <v>136</v>
      </c>
      <c r="W249" s="60">
        <f t="shared" si="16"/>
        <v>1</v>
      </c>
      <c r="X249" s="73"/>
      <c r="Y249" s="74"/>
      <c r="Z249" s="46"/>
      <c r="AD249" s="46"/>
      <c r="AE249" s="46"/>
    </row>
    <row r="250" spans="1:31" s="59" customFormat="1" ht="17.25" customHeight="1">
      <c r="A250" s="59" t="s">
        <v>257</v>
      </c>
      <c r="B250" s="72" t="s">
        <v>531</v>
      </c>
      <c r="C250" s="155" t="s">
        <v>152</v>
      </c>
      <c r="D250" s="58" t="str">
        <f>VLOOKUP(C250,코드!$E$3:$F$30,2,FALSE)</f>
        <v>8701</v>
      </c>
      <c r="E250" s="58" t="str">
        <f t="shared" si="14"/>
        <v>[C-2]</v>
      </c>
      <c r="F250" s="65" t="s">
        <v>577</v>
      </c>
      <c r="G250" s="65" t="s">
        <v>581</v>
      </c>
      <c r="H250" s="66" t="s">
        <v>575</v>
      </c>
      <c r="I250" s="65" t="s">
        <v>580</v>
      </c>
      <c r="J250" s="65" t="s">
        <v>579</v>
      </c>
      <c r="K250" s="72" t="s">
        <v>130</v>
      </c>
      <c r="L250" s="72" t="s">
        <v>17</v>
      </c>
      <c r="M250" s="58">
        <f>VLOOKUP(L250,코드!$B$3:$C$29,2,FALSE)</f>
        <v>4241130</v>
      </c>
      <c r="N250" s="72" t="s">
        <v>120</v>
      </c>
      <c r="O250" s="79" t="s">
        <v>578</v>
      </c>
      <c r="P250" s="75">
        <v>1500000</v>
      </c>
      <c r="Q250" s="75">
        <v>1</v>
      </c>
      <c r="R250" s="75">
        <v>1</v>
      </c>
      <c r="S250" s="76">
        <v>1500000</v>
      </c>
      <c r="T250" s="75">
        <v>1500000</v>
      </c>
      <c r="U250" s="78">
        <v>1500000</v>
      </c>
      <c r="V250" s="185" t="s">
        <v>542</v>
      </c>
      <c r="W250" s="60">
        <f t="shared" si="16"/>
        <v>1</v>
      </c>
      <c r="X250" s="73"/>
      <c r="Y250" s="74"/>
      <c r="Z250" s="46"/>
      <c r="AD250" s="46"/>
      <c r="AE250" s="46"/>
    </row>
    <row r="251" spans="1:31" s="59" customFormat="1" ht="17.25" customHeight="1">
      <c r="A251" s="59" t="s">
        <v>257</v>
      </c>
      <c r="B251" s="72" t="s">
        <v>531</v>
      </c>
      <c r="C251" s="155" t="s">
        <v>152</v>
      </c>
      <c r="D251" s="58" t="str">
        <f>VLOOKUP(C251,코드!$E$3:$F$30,2,FALSE)</f>
        <v>8701</v>
      </c>
      <c r="E251" s="58" t="str">
        <f t="shared" si="14"/>
        <v>[C-2]</v>
      </c>
      <c r="F251" s="65" t="s">
        <v>577</v>
      </c>
      <c r="G251" s="65" t="s">
        <v>576</v>
      </c>
      <c r="H251" s="66" t="s">
        <v>575</v>
      </c>
      <c r="I251" s="65" t="s">
        <v>574</v>
      </c>
      <c r="J251" s="65" t="s">
        <v>573</v>
      </c>
      <c r="K251" s="72" t="s">
        <v>205</v>
      </c>
      <c r="L251" s="72" t="s">
        <v>34</v>
      </c>
      <c r="M251" s="58">
        <f>VLOOKUP(L251,코드!$B$3:$C$29,2,FALSE)</f>
        <v>1314901</v>
      </c>
      <c r="N251" s="72" t="s">
        <v>572</v>
      </c>
      <c r="O251" s="79" t="s">
        <v>571</v>
      </c>
      <c r="P251" s="75">
        <v>0</v>
      </c>
      <c r="Q251" s="75">
        <v>0</v>
      </c>
      <c r="R251" s="75">
        <v>0</v>
      </c>
      <c r="S251" s="76">
        <v>0</v>
      </c>
      <c r="T251" s="75">
        <v>0</v>
      </c>
      <c r="U251" s="78">
        <v>0</v>
      </c>
      <c r="V251" s="71"/>
      <c r="W251" s="60" t="e">
        <f t="shared" si="16"/>
        <v>#DIV/0!</v>
      </c>
      <c r="X251" s="73"/>
      <c r="Y251" s="74"/>
      <c r="Z251" s="46"/>
      <c r="AD251" s="46"/>
      <c r="AE251" s="46"/>
    </row>
    <row r="252" spans="1:31" s="59" customFormat="1" ht="17.25" customHeight="1">
      <c r="A252" s="59" t="s">
        <v>257</v>
      </c>
      <c r="B252" s="72" t="s">
        <v>531</v>
      </c>
      <c r="C252" s="155" t="s">
        <v>152</v>
      </c>
      <c r="D252" s="58" t="str">
        <f>VLOOKUP(C252,코드!$E$3:$F$30,2,FALSE)</f>
        <v>8701</v>
      </c>
      <c r="E252" s="58" t="str">
        <f t="shared" si="14"/>
        <v>[C-3]</v>
      </c>
      <c r="F252" s="65" t="s">
        <v>525</v>
      </c>
      <c r="G252" s="65" t="s">
        <v>558</v>
      </c>
      <c r="H252" s="66" t="s">
        <v>561</v>
      </c>
      <c r="I252" s="65" t="s">
        <v>570</v>
      </c>
      <c r="J252" s="65" t="s">
        <v>569</v>
      </c>
      <c r="K252" s="72" t="s">
        <v>130</v>
      </c>
      <c r="L252" s="72" t="s">
        <v>568</v>
      </c>
      <c r="M252" s="58">
        <f>VLOOKUP(L252,코드!$B$3:$C$29,2,FALSE)</f>
        <v>4241130</v>
      </c>
      <c r="N252" s="72" t="s">
        <v>109</v>
      </c>
      <c r="O252" s="79" t="s">
        <v>523</v>
      </c>
      <c r="P252" s="75">
        <v>30000</v>
      </c>
      <c r="Q252" s="75">
        <v>5</v>
      </c>
      <c r="R252" s="75">
        <v>3</v>
      </c>
      <c r="S252" s="76">
        <v>450000</v>
      </c>
      <c r="T252" s="75"/>
      <c r="U252" s="78">
        <v>450000</v>
      </c>
      <c r="V252" s="185" t="s">
        <v>542</v>
      </c>
      <c r="W252" s="60">
        <f t="shared" si="16"/>
        <v>1</v>
      </c>
      <c r="X252" s="46"/>
      <c r="Y252" s="74"/>
      <c r="Z252" s="46"/>
      <c r="AD252" s="46"/>
      <c r="AE252" s="46"/>
    </row>
    <row r="253" spans="1:31" s="59" customFormat="1" ht="17.25" customHeight="1">
      <c r="A253" s="59" t="s">
        <v>257</v>
      </c>
      <c r="B253" s="72" t="s">
        <v>531</v>
      </c>
      <c r="C253" s="155" t="s">
        <v>152</v>
      </c>
      <c r="D253" s="58" t="str">
        <f>VLOOKUP(C253,코드!$E$3:$F$30,2,FALSE)</f>
        <v>8701</v>
      </c>
      <c r="E253" s="58" t="str">
        <f t="shared" si="14"/>
        <v>[C-3]</v>
      </c>
      <c r="F253" s="65" t="s">
        <v>525</v>
      </c>
      <c r="G253" s="65" t="s">
        <v>558</v>
      </c>
      <c r="H253" s="66" t="s">
        <v>561</v>
      </c>
      <c r="I253" s="65" t="s">
        <v>566</v>
      </c>
      <c r="J253" s="65" t="s">
        <v>567</v>
      </c>
      <c r="K253" s="72" t="s">
        <v>130</v>
      </c>
      <c r="L253" s="72" t="s">
        <v>17</v>
      </c>
      <c r="M253" s="58">
        <f>VLOOKUP(L253,코드!$B$3:$C$29,2,FALSE)</f>
        <v>4241130</v>
      </c>
      <c r="N253" s="72" t="s">
        <v>120</v>
      </c>
      <c r="O253" s="79" t="s">
        <v>523</v>
      </c>
      <c r="P253" s="75">
        <v>0</v>
      </c>
      <c r="Q253" s="75">
        <v>0</v>
      </c>
      <c r="R253" s="75">
        <v>0</v>
      </c>
      <c r="S253" s="76">
        <v>0</v>
      </c>
      <c r="T253" s="75"/>
      <c r="U253" s="78">
        <v>0</v>
      </c>
      <c r="V253" s="71"/>
      <c r="W253" s="60" t="e">
        <f t="shared" si="16"/>
        <v>#DIV/0!</v>
      </c>
      <c r="X253" s="46"/>
      <c r="Y253" s="74"/>
      <c r="Z253" s="46"/>
      <c r="AD253" s="46"/>
      <c r="AE253" s="46"/>
    </row>
    <row r="254" spans="1:31" s="59" customFormat="1" ht="17.25" customHeight="1">
      <c r="A254" s="59" t="s">
        <v>257</v>
      </c>
      <c r="B254" s="72" t="s">
        <v>531</v>
      </c>
      <c r="C254" s="155" t="s">
        <v>152</v>
      </c>
      <c r="D254" s="58" t="str">
        <f>VLOOKUP(C254,코드!$E$3:$F$30,2,FALSE)</f>
        <v>8701</v>
      </c>
      <c r="E254" s="58" t="str">
        <f t="shared" si="14"/>
        <v>[C-3]</v>
      </c>
      <c r="F254" s="65" t="s">
        <v>525</v>
      </c>
      <c r="G254" s="65" t="s">
        <v>558</v>
      </c>
      <c r="H254" s="66" t="s">
        <v>561</v>
      </c>
      <c r="I254" s="65" t="s">
        <v>566</v>
      </c>
      <c r="J254" s="65" t="s">
        <v>565</v>
      </c>
      <c r="K254" s="72" t="s">
        <v>130</v>
      </c>
      <c r="L254" s="72" t="s">
        <v>29</v>
      </c>
      <c r="M254" s="58">
        <f>VLOOKUP(L254,코드!$B$3:$C$29,2,FALSE)</f>
        <v>4113401</v>
      </c>
      <c r="N254" s="72" t="s">
        <v>564</v>
      </c>
      <c r="O254" s="79" t="s">
        <v>523</v>
      </c>
      <c r="P254" s="75">
        <v>0</v>
      </c>
      <c r="Q254" s="75">
        <v>0</v>
      </c>
      <c r="R254" s="75">
        <v>0</v>
      </c>
      <c r="S254" s="76">
        <v>0</v>
      </c>
      <c r="T254" s="75"/>
      <c r="U254" s="78">
        <v>0</v>
      </c>
      <c r="V254" s="71"/>
      <c r="W254" s="60" t="e">
        <f t="shared" si="16"/>
        <v>#DIV/0!</v>
      </c>
      <c r="X254" s="46"/>
      <c r="Y254" s="74"/>
      <c r="Z254" s="46"/>
      <c r="AD254" s="46"/>
      <c r="AE254" s="46"/>
    </row>
    <row r="255" spans="1:31" s="59" customFormat="1" ht="17.25" customHeight="1">
      <c r="A255" s="59" t="s">
        <v>257</v>
      </c>
      <c r="B255" s="72" t="s">
        <v>531</v>
      </c>
      <c r="C255" s="155" t="s">
        <v>152</v>
      </c>
      <c r="D255" s="58" t="str">
        <f>VLOOKUP(C255,코드!$E$3:$F$30,2,FALSE)</f>
        <v>8701</v>
      </c>
      <c r="E255" s="58" t="str">
        <f t="shared" si="14"/>
        <v>[C-3]</v>
      </c>
      <c r="F255" s="65" t="s">
        <v>525</v>
      </c>
      <c r="G255" s="65" t="s">
        <v>563</v>
      </c>
      <c r="H255" s="66" t="s">
        <v>561</v>
      </c>
      <c r="I255" s="65" t="s">
        <v>560</v>
      </c>
      <c r="J255" s="65" t="s">
        <v>562</v>
      </c>
      <c r="K255" s="72" t="s">
        <v>130</v>
      </c>
      <c r="L255" s="72" t="s">
        <v>29</v>
      </c>
      <c r="M255" s="58">
        <f>VLOOKUP(L255,코드!$B$3:$C$29,2,FALSE)</f>
        <v>4113401</v>
      </c>
      <c r="N255" s="72" t="s">
        <v>540</v>
      </c>
      <c r="O255" s="79" t="s">
        <v>523</v>
      </c>
      <c r="P255" s="75">
        <v>50000</v>
      </c>
      <c r="Q255" s="75">
        <v>10</v>
      </c>
      <c r="R255" s="75">
        <v>16</v>
      </c>
      <c r="S255" s="76">
        <v>8000000</v>
      </c>
      <c r="T255" s="75"/>
      <c r="U255" s="78">
        <v>8000000</v>
      </c>
      <c r="V255" s="185" t="s">
        <v>542</v>
      </c>
      <c r="W255" s="60">
        <f t="shared" ref="W255:W262" si="17">U255/S255</f>
        <v>1</v>
      </c>
      <c r="X255" s="46"/>
      <c r="Y255" s="74"/>
      <c r="Z255" s="46"/>
      <c r="AD255" s="46"/>
      <c r="AE255" s="46"/>
    </row>
    <row r="256" spans="1:31" s="59" customFormat="1" ht="17.25" customHeight="1">
      <c r="A256" s="59" t="s">
        <v>257</v>
      </c>
      <c r="B256" s="72" t="s">
        <v>531</v>
      </c>
      <c r="C256" s="155" t="s">
        <v>152</v>
      </c>
      <c r="D256" s="58" t="str">
        <f>VLOOKUP(C256,코드!$E$3:$F$30,2,FALSE)</f>
        <v>8701</v>
      </c>
      <c r="E256" s="58" t="str">
        <f t="shared" si="14"/>
        <v>[C-3]</v>
      </c>
      <c r="F256" s="65" t="s">
        <v>525</v>
      </c>
      <c r="G256" s="65" t="s">
        <v>558</v>
      </c>
      <c r="H256" s="66" t="s">
        <v>561</v>
      </c>
      <c r="I256" s="65" t="s">
        <v>560</v>
      </c>
      <c r="J256" s="65" t="s">
        <v>559</v>
      </c>
      <c r="K256" s="72" t="s">
        <v>130</v>
      </c>
      <c r="L256" s="72" t="s">
        <v>17</v>
      </c>
      <c r="M256" s="58">
        <f>VLOOKUP(L256,코드!$B$3:$C$29,2,FALSE)</f>
        <v>4241130</v>
      </c>
      <c r="N256" s="72" t="s">
        <v>540</v>
      </c>
      <c r="O256" s="79" t="s">
        <v>523</v>
      </c>
      <c r="P256" s="75">
        <v>50000</v>
      </c>
      <c r="Q256" s="75">
        <v>2</v>
      </c>
      <c r="R256" s="75">
        <v>40</v>
      </c>
      <c r="S256" s="76">
        <v>4000000</v>
      </c>
      <c r="T256" s="75"/>
      <c r="U256" s="78">
        <v>4000000</v>
      </c>
      <c r="V256" s="185" t="s">
        <v>542</v>
      </c>
      <c r="W256" s="60">
        <f t="shared" si="17"/>
        <v>1</v>
      </c>
      <c r="X256" s="46"/>
      <c r="Y256" s="74"/>
      <c r="Z256" s="46"/>
      <c r="AD256" s="46"/>
      <c r="AE256" s="46"/>
    </row>
    <row r="257" spans="1:31" s="59" customFormat="1" ht="17.25" customHeight="1">
      <c r="A257" s="59" t="s">
        <v>257</v>
      </c>
      <c r="B257" s="72" t="s">
        <v>531</v>
      </c>
      <c r="C257" s="155" t="s">
        <v>152</v>
      </c>
      <c r="D257" s="58" t="str">
        <f>VLOOKUP(C257,코드!$E$3:$F$30,2,FALSE)</f>
        <v>8701</v>
      </c>
      <c r="E257" s="58" t="str">
        <f t="shared" si="14"/>
        <v>[C-3]</v>
      </c>
      <c r="F257" s="65" t="s">
        <v>525</v>
      </c>
      <c r="G257" s="65" t="s">
        <v>558</v>
      </c>
      <c r="H257" s="66" t="s">
        <v>557</v>
      </c>
      <c r="I257" s="65" t="s">
        <v>556</v>
      </c>
      <c r="J257" s="65" t="s">
        <v>555</v>
      </c>
      <c r="K257" s="72" t="s">
        <v>130</v>
      </c>
      <c r="L257" s="72" t="s">
        <v>17</v>
      </c>
      <c r="M257" s="58">
        <f>VLOOKUP(L257,코드!$B$3:$C$29,2,FALSE)</f>
        <v>4241130</v>
      </c>
      <c r="N257" s="72" t="s">
        <v>129</v>
      </c>
      <c r="O257" s="79" t="s">
        <v>523</v>
      </c>
      <c r="P257" s="75">
        <v>800000</v>
      </c>
      <c r="Q257" s="75">
        <v>1</v>
      </c>
      <c r="R257" s="75">
        <v>1</v>
      </c>
      <c r="S257" s="76">
        <v>500000</v>
      </c>
      <c r="T257" s="75"/>
      <c r="U257" s="82">
        <f>S257</f>
        <v>500000</v>
      </c>
      <c r="V257" s="87" t="s">
        <v>153</v>
      </c>
      <c r="W257" s="60">
        <f t="shared" si="17"/>
        <v>1</v>
      </c>
      <c r="X257" s="46"/>
      <c r="Y257" s="74"/>
      <c r="Z257" s="46"/>
      <c r="AD257" s="46"/>
      <c r="AE257" s="46"/>
    </row>
    <row r="258" spans="1:31" s="59" customFormat="1" ht="17.25" customHeight="1">
      <c r="A258" s="59" t="s">
        <v>257</v>
      </c>
      <c r="B258" s="72" t="s">
        <v>531</v>
      </c>
      <c r="C258" s="155" t="s">
        <v>152</v>
      </c>
      <c r="D258" s="58" t="str">
        <f>VLOOKUP(C258,코드!$E$3:$F$30,2,FALSE)</f>
        <v>8701</v>
      </c>
      <c r="E258" s="58" t="str">
        <f t="shared" si="14"/>
        <v>[C-3]</v>
      </c>
      <c r="F258" s="65" t="s">
        <v>525</v>
      </c>
      <c r="G258" s="65" t="s">
        <v>553</v>
      </c>
      <c r="H258" s="66" t="s">
        <v>552</v>
      </c>
      <c r="I258" s="65" t="s">
        <v>551</v>
      </c>
      <c r="J258" s="65" t="s">
        <v>554</v>
      </c>
      <c r="K258" s="72" t="s">
        <v>130</v>
      </c>
      <c r="L258" s="72" t="s">
        <v>17</v>
      </c>
      <c r="M258" s="58">
        <f>VLOOKUP(L258,코드!$B$3:$C$29,2,FALSE)</f>
        <v>4241130</v>
      </c>
      <c r="N258" s="72" t="s">
        <v>120</v>
      </c>
      <c r="O258" s="79" t="s">
        <v>523</v>
      </c>
      <c r="P258" s="75">
        <v>30000000</v>
      </c>
      <c r="Q258" s="75">
        <v>1</v>
      </c>
      <c r="R258" s="75">
        <v>1</v>
      </c>
      <c r="S258" s="76">
        <v>18675740</v>
      </c>
      <c r="T258" s="75"/>
      <c r="U258" s="78">
        <v>18675740</v>
      </c>
      <c r="V258" s="185" t="s">
        <v>542</v>
      </c>
      <c r="W258" s="60">
        <f t="shared" si="17"/>
        <v>1</v>
      </c>
      <c r="X258" s="73"/>
      <c r="Y258" s="74"/>
      <c r="Z258" s="46"/>
      <c r="AD258" s="46"/>
      <c r="AE258" s="46"/>
    </row>
    <row r="259" spans="1:31" s="59" customFormat="1" ht="17.25" customHeight="1">
      <c r="A259" s="59" t="s">
        <v>257</v>
      </c>
      <c r="B259" s="72" t="s">
        <v>531</v>
      </c>
      <c r="C259" s="155" t="s">
        <v>152</v>
      </c>
      <c r="D259" s="58" t="str">
        <f>VLOOKUP(C259,코드!$E$3:$F$30,2,FALSE)</f>
        <v>8701</v>
      </c>
      <c r="E259" s="58" t="str">
        <f t="shared" ref="E259:E322" si="18">LEFT(F259, 5)</f>
        <v>[C-3]</v>
      </c>
      <c r="F259" s="65" t="s">
        <v>525</v>
      </c>
      <c r="G259" s="65" t="s">
        <v>553</v>
      </c>
      <c r="H259" s="66" t="s">
        <v>552</v>
      </c>
      <c r="I259" s="65" t="s">
        <v>551</v>
      </c>
      <c r="J259" s="65" t="s">
        <v>550</v>
      </c>
      <c r="K259" s="72" t="s">
        <v>42</v>
      </c>
      <c r="L259" s="72" t="s">
        <v>9</v>
      </c>
      <c r="M259" s="58">
        <f>VLOOKUP(L259,코드!$B$3:$C$29,2,FALSE)</f>
        <v>4321701</v>
      </c>
      <c r="N259" s="72" t="s">
        <v>42</v>
      </c>
      <c r="O259" s="79" t="s">
        <v>549</v>
      </c>
      <c r="P259" s="75">
        <v>1806000</v>
      </c>
      <c r="Q259" s="75">
        <v>1</v>
      </c>
      <c r="R259" s="75">
        <v>1</v>
      </c>
      <c r="S259" s="161">
        <v>939120</v>
      </c>
      <c r="T259" s="75"/>
      <c r="U259" s="186">
        <v>939120</v>
      </c>
      <c r="V259" s="185" t="s">
        <v>542</v>
      </c>
      <c r="W259" s="60">
        <f t="shared" si="17"/>
        <v>1</v>
      </c>
      <c r="X259" s="183"/>
      <c r="Y259" s="74"/>
      <c r="Z259" s="46"/>
      <c r="AD259" s="46"/>
      <c r="AE259" s="46"/>
    </row>
    <row r="260" spans="1:31" s="178" customFormat="1" ht="17.25" customHeight="1">
      <c r="A260" s="59" t="s">
        <v>257</v>
      </c>
      <c r="B260" s="72" t="s">
        <v>531</v>
      </c>
      <c r="C260" s="155" t="s">
        <v>152</v>
      </c>
      <c r="D260" s="58" t="str">
        <f>VLOOKUP(C260,코드!$E$3:$F$30,2,FALSE)</f>
        <v>8701</v>
      </c>
      <c r="E260" s="58" t="str">
        <f t="shared" si="18"/>
        <v>[C-3]</v>
      </c>
      <c r="F260" s="65" t="s">
        <v>525</v>
      </c>
      <c r="G260" s="65" t="s">
        <v>548</v>
      </c>
      <c r="H260" s="66" t="s">
        <v>547</v>
      </c>
      <c r="I260" s="65" t="s">
        <v>546</v>
      </c>
      <c r="J260" s="65" t="s">
        <v>545</v>
      </c>
      <c r="K260" s="72" t="s">
        <v>130</v>
      </c>
      <c r="L260" s="72" t="s">
        <v>17</v>
      </c>
      <c r="M260" s="58">
        <f>VLOOKUP(L260,코드!$B$3:$C$29,2,FALSE)</f>
        <v>4241130</v>
      </c>
      <c r="N260" s="72" t="s">
        <v>109</v>
      </c>
      <c r="O260" s="79" t="s">
        <v>523</v>
      </c>
      <c r="P260" s="75">
        <v>1000000</v>
      </c>
      <c r="Q260" s="75">
        <v>1</v>
      </c>
      <c r="R260" s="75">
        <v>3</v>
      </c>
      <c r="S260" s="161">
        <v>4000000</v>
      </c>
      <c r="T260" s="75"/>
      <c r="U260" s="186">
        <v>4000000</v>
      </c>
      <c r="V260" s="185" t="s">
        <v>542</v>
      </c>
      <c r="W260" s="60">
        <f t="shared" si="17"/>
        <v>1</v>
      </c>
      <c r="X260" s="179"/>
      <c r="Y260" s="180"/>
      <c r="Z260" s="179"/>
      <c r="AD260" s="179"/>
      <c r="AE260" s="179"/>
    </row>
    <row r="261" spans="1:31" s="59" customFormat="1" ht="17.25" customHeight="1">
      <c r="A261" s="59" t="s">
        <v>257</v>
      </c>
      <c r="B261" s="72" t="s">
        <v>531</v>
      </c>
      <c r="C261" s="155" t="s">
        <v>152</v>
      </c>
      <c r="D261" s="58" t="str">
        <f>VLOOKUP(C261,코드!$E$3:$F$30,2,FALSE)</f>
        <v>8701</v>
      </c>
      <c r="E261" s="58" t="str">
        <f t="shared" si="18"/>
        <v>[C-3]</v>
      </c>
      <c r="F261" s="65" t="s">
        <v>525</v>
      </c>
      <c r="G261" s="65" t="s">
        <v>524</v>
      </c>
      <c r="H261" s="66" t="s">
        <v>530</v>
      </c>
      <c r="I261" s="65" t="s">
        <v>539</v>
      </c>
      <c r="J261" s="96" t="s">
        <v>544</v>
      </c>
      <c r="K261" s="72" t="s">
        <v>42</v>
      </c>
      <c r="L261" s="72" t="s">
        <v>15</v>
      </c>
      <c r="M261" s="58">
        <f>VLOOKUP(L261,코드!$B$3:$C$29,2,FALSE)</f>
        <v>4321701</v>
      </c>
      <c r="N261" s="72" t="s">
        <v>42</v>
      </c>
      <c r="O261" s="79" t="s">
        <v>527</v>
      </c>
      <c r="P261" s="75">
        <v>111000000</v>
      </c>
      <c r="Q261" s="75">
        <v>1</v>
      </c>
      <c r="R261" s="75">
        <v>1</v>
      </c>
      <c r="S261" s="76">
        <v>111000000</v>
      </c>
      <c r="T261" s="75"/>
      <c r="U261" s="187">
        <f>55500000+55500000</f>
        <v>111000000</v>
      </c>
      <c r="V261" s="185" t="s">
        <v>542</v>
      </c>
      <c r="W261" s="60">
        <f t="shared" si="17"/>
        <v>1</v>
      </c>
      <c r="X261" s="46"/>
      <c r="Y261" s="74"/>
      <c r="Z261" s="46"/>
      <c r="AD261" s="46"/>
      <c r="AE261" s="46"/>
    </row>
    <row r="262" spans="1:31" s="178" customFormat="1" ht="17.25" customHeight="1">
      <c r="A262" s="59" t="s">
        <v>257</v>
      </c>
      <c r="B262" s="72" t="s">
        <v>531</v>
      </c>
      <c r="C262" s="155" t="s">
        <v>152</v>
      </c>
      <c r="D262" s="58" t="str">
        <f>VLOOKUP(C262,코드!$E$3:$F$30,2,FALSE)</f>
        <v>8701</v>
      </c>
      <c r="E262" s="58" t="str">
        <f t="shared" si="18"/>
        <v>[C-3]</v>
      </c>
      <c r="F262" s="65" t="s">
        <v>525</v>
      </c>
      <c r="G262" s="65" t="s">
        <v>534</v>
      </c>
      <c r="H262" s="66" t="s">
        <v>530</v>
      </c>
      <c r="I262" s="65" t="s">
        <v>539</v>
      </c>
      <c r="J262" s="96" t="s">
        <v>543</v>
      </c>
      <c r="K262" s="72" t="s">
        <v>130</v>
      </c>
      <c r="L262" s="72" t="s">
        <v>17</v>
      </c>
      <c r="M262" s="58">
        <f>VLOOKUP(L262,코드!$B$3:$C$29,2,FALSE)</f>
        <v>4241130</v>
      </c>
      <c r="N262" s="72" t="s">
        <v>120</v>
      </c>
      <c r="O262" s="79" t="s">
        <v>523</v>
      </c>
      <c r="P262" s="75">
        <v>12000000</v>
      </c>
      <c r="Q262" s="75">
        <v>1</v>
      </c>
      <c r="R262" s="75">
        <v>1</v>
      </c>
      <c r="S262" s="76">
        <v>12600000</v>
      </c>
      <c r="T262" s="75"/>
      <c r="U262" s="186">
        <v>12600000</v>
      </c>
      <c r="V262" s="185" t="s">
        <v>542</v>
      </c>
      <c r="W262" s="60">
        <f t="shared" si="17"/>
        <v>1</v>
      </c>
      <c r="X262" s="179"/>
      <c r="Y262" s="180"/>
      <c r="Z262" s="179"/>
      <c r="AD262" s="179"/>
      <c r="AE262" s="179"/>
    </row>
    <row r="263" spans="1:31" s="178" customFormat="1" ht="17.25" customHeight="1">
      <c r="A263" s="59" t="s">
        <v>257</v>
      </c>
      <c r="B263" s="72" t="s">
        <v>531</v>
      </c>
      <c r="C263" s="155" t="s">
        <v>152</v>
      </c>
      <c r="D263" s="58" t="str">
        <f>VLOOKUP(C263,코드!$E$3:$F$30,2,FALSE)</f>
        <v>8701</v>
      </c>
      <c r="E263" s="58" t="str">
        <f t="shared" si="18"/>
        <v>[C-3]</v>
      </c>
      <c r="F263" s="65" t="s">
        <v>525</v>
      </c>
      <c r="G263" s="65" t="s">
        <v>524</v>
      </c>
      <c r="H263" s="66" t="s">
        <v>530</v>
      </c>
      <c r="I263" s="65" t="s">
        <v>539</v>
      </c>
      <c r="J263" s="182" t="s">
        <v>541</v>
      </c>
      <c r="K263" s="72" t="s">
        <v>130</v>
      </c>
      <c r="L263" s="72" t="s">
        <v>29</v>
      </c>
      <c r="M263" s="58">
        <f>VLOOKUP(L263,코드!$B$3:$C$29,2,FALSE)</f>
        <v>4113401</v>
      </c>
      <c r="N263" s="72" t="s">
        <v>540</v>
      </c>
      <c r="O263" s="79" t="s">
        <v>523</v>
      </c>
      <c r="P263" s="75">
        <v>1200000</v>
      </c>
      <c r="Q263" s="75">
        <v>1</v>
      </c>
      <c r="R263" s="75">
        <v>1</v>
      </c>
      <c r="S263" s="158"/>
      <c r="T263" s="164"/>
      <c r="U263" s="156"/>
      <c r="V263" s="184"/>
      <c r="W263" s="60"/>
      <c r="X263" s="183"/>
      <c r="Y263" s="180"/>
      <c r="Z263" s="88"/>
      <c r="AA263" s="16"/>
      <c r="AB263" s="16"/>
      <c r="AD263" s="179"/>
      <c r="AE263" s="179"/>
    </row>
    <row r="264" spans="1:31" s="178" customFormat="1" ht="17.25" customHeight="1">
      <c r="A264" s="59" t="s">
        <v>257</v>
      </c>
      <c r="B264" s="72" t="s">
        <v>531</v>
      </c>
      <c r="C264" s="155" t="s">
        <v>152</v>
      </c>
      <c r="D264" s="58" t="str">
        <f>VLOOKUP(C264,코드!$E$3:$F$30,2,FALSE)</f>
        <v>8701</v>
      </c>
      <c r="E264" s="58" t="str">
        <f t="shared" si="18"/>
        <v>[C-3]</v>
      </c>
      <c r="F264" s="65" t="s">
        <v>525</v>
      </c>
      <c r="G264" s="65" t="s">
        <v>524</v>
      </c>
      <c r="H264" s="66" t="s">
        <v>530</v>
      </c>
      <c r="I264" s="65" t="s">
        <v>539</v>
      </c>
      <c r="J264" s="182" t="s">
        <v>538</v>
      </c>
      <c r="K264" s="72" t="s">
        <v>42</v>
      </c>
      <c r="L264" s="72" t="s">
        <v>15</v>
      </c>
      <c r="M264" s="58">
        <f>VLOOKUP(L264,코드!$B$3:$C$29,2,FALSE)</f>
        <v>4321701</v>
      </c>
      <c r="N264" s="72" t="s">
        <v>235</v>
      </c>
      <c r="O264" s="79" t="s">
        <v>527</v>
      </c>
      <c r="P264" s="75"/>
      <c r="Q264" s="75"/>
      <c r="R264" s="75"/>
      <c r="S264" s="181">
        <v>10000000</v>
      </c>
      <c r="T264" s="75"/>
      <c r="U264" s="82">
        <f>S264</f>
        <v>10000000</v>
      </c>
      <c r="V264" s="87" t="s">
        <v>153</v>
      </c>
      <c r="W264" s="60">
        <f t="shared" ref="W264:W295" si="19">U264/S264</f>
        <v>1</v>
      </c>
      <c r="X264" s="179"/>
      <c r="Y264" s="180"/>
      <c r="Z264" s="179"/>
      <c r="AD264" s="179"/>
      <c r="AE264" s="179"/>
    </row>
    <row r="265" spans="1:31" s="59" customFormat="1" ht="17.25" customHeight="1">
      <c r="A265" s="59" t="s">
        <v>257</v>
      </c>
      <c r="B265" s="72" t="s">
        <v>531</v>
      </c>
      <c r="C265" s="155" t="s">
        <v>152</v>
      </c>
      <c r="D265" s="58" t="str">
        <f>VLOOKUP(C265,코드!$E$3:$F$30,2,FALSE)</f>
        <v>8701</v>
      </c>
      <c r="E265" s="58" t="str">
        <f t="shared" si="18"/>
        <v>[C-3]</v>
      </c>
      <c r="F265" s="65" t="s">
        <v>525</v>
      </c>
      <c r="G265" s="65" t="s">
        <v>524</v>
      </c>
      <c r="H265" s="66" t="s">
        <v>530</v>
      </c>
      <c r="I265" s="65" t="s">
        <v>536</v>
      </c>
      <c r="J265" s="65" t="s">
        <v>537</v>
      </c>
      <c r="K265" s="72" t="s">
        <v>130</v>
      </c>
      <c r="L265" s="176" t="s">
        <v>17</v>
      </c>
      <c r="M265" s="58">
        <f>VLOOKUP(L265,코드!$B$3:$C$29,2,FALSE)</f>
        <v>4241130</v>
      </c>
      <c r="N265" s="176" t="s">
        <v>129</v>
      </c>
      <c r="O265" s="79" t="s">
        <v>523</v>
      </c>
      <c r="P265" s="75">
        <v>17000000</v>
      </c>
      <c r="Q265" s="75">
        <v>1</v>
      </c>
      <c r="R265" s="75">
        <v>1</v>
      </c>
      <c r="S265" s="76">
        <v>7700000</v>
      </c>
      <c r="T265" s="75"/>
      <c r="U265" s="82">
        <f>S265</f>
        <v>7700000</v>
      </c>
      <c r="V265" s="87" t="s">
        <v>153</v>
      </c>
      <c r="W265" s="60">
        <f t="shared" si="19"/>
        <v>1</v>
      </c>
      <c r="X265" s="46"/>
      <c r="Y265" s="74"/>
      <c r="Z265" s="46"/>
      <c r="AD265" s="46"/>
      <c r="AE265" s="46"/>
    </row>
    <row r="266" spans="1:31" s="59" customFormat="1" ht="17.25" customHeight="1">
      <c r="A266" s="59" t="s">
        <v>257</v>
      </c>
      <c r="B266" s="72" t="s">
        <v>531</v>
      </c>
      <c r="C266" s="155" t="s">
        <v>152</v>
      </c>
      <c r="D266" s="58" t="str">
        <f>VLOOKUP(C266,코드!$E$3:$F$30,2,FALSE)</f>
        <v>8701</v>
      </c>
      <c r="E266" s="58" t="str">
        <f t="shared" si="18"/>
        <v>[C-3]</v>
      </c>
      <c r="F266" s="65" t="s">
        <v>525</v>
      </c>
      <c r="G266" s="65" t="s">
        <v>524</v>
      </c>
      <c r="H266" s="66" t="s">
        <v>530</v>
      </c>
      <c r="I266" s="65" t="s">
        <v>536</v>
      </c>
      <c r="J266" s="65" t="s">
        <v>535</v>
      </c>
      <c r="K266" s="72" t="s">
        <v>60</v>
      </c>
      <c r="L266" s="72" t="s">
        <v>17</v>
      </c>
      <c r="M266" s="58">
        <f>VLOOKUP(L266,코드!$B$3:$C$29,2,FALSE)</f>
        <v>4241130</v>
      </c>
      <c r="N266" s="72" t="s">
        <v>120</v>
      </c>
      <c r="O266" s="79" t="s">
        <v>523</v>
      </c>
      <c r="P266" s="75">
        <v>36000000</v>
      </c>
      <c r="Q266" s="75">
        <v>1</v>
      </c>
      <c r="R266" s="75">
        <v>1</v>
      </c>
      <c r="S266" s="76">
        <v>24000000</v>
      </c>
      <c r="T266" s="75"/>
      <c r="U266" s="82">
        <f>S266</f>
        <v>24000000</v>
      </c>
      <c r="V266" s="87" t="s">
        <v>153</v>
      </c>
      <c r="W266" s="60">
        <f t="shared" si="19"/>
        <v>1</v>
      </c>
      <c r="X266" s="46"/>
      <c r="Y266" s="74"/>
      <c r="Z266" s="46"/>
      <c r="AD266" s="46"/>
      <c r="AE266" s="46"/>
    </row>
    <row r="267" spans="1:31" s="59" customFormat="1" ht="17.25" customHeight="1">
      <c r="A267" s="59" t="s">
        <v>257</v>
      </c>
      <c r="B267" s="72" t="s">
        <v>531</v>
      </c>
      <c r="C267" s="155" t="s">
        <v>152</v>
      </c>
      <c r="D267" s="58" t="str">
        <f>VLOOKUP(C267,코드!$E$3:$F$30,2,FALSE)</f>
        <v>8701</v>
      </c>
      <c r="E267" s="58" t="str">
        <f t="shared" si="18"/>
        <v>[C-3]</v>
      </c>
      <c r="F267" s="65" t="s">
        <v>525</v>
      </c>
      <c r="G267" s="65" t="s">
        <v>534</v>
      </c>
      <c r="H267" s="66" t="s">
        <v>533</v>
      </c>
      <c r="I267" s="65" t="s">
        <v>529</v>
      </c>
      <c r="J267" s="65" t="s">
        <v>532</v>
      </c>
      <c r="K267" s="72" t="s">
        <v>130</v>
      </c>
      <c r="L267" s="72" t="s">
        <v>17</v>
      </c>
      <c r="M267" s="58">
        <f>VLOOKUP(L267,코드!$B$3:$C$29,2,FALSE)</f>
        <v>4241130</v>
      </c>
      <c r="N267" s="72" t="s">
        <v>120</v>
      </c>
      <c r="O267" s="79" t="s">
        <v>523</v>
      </c>
      <c r="P267" s="75">
        <v>1000000</v>
      </c>
      <c r="Q267" s="75">
        <v>1</v>
      </c>
      <c r="R267" s="75">
        <v>1</v>
      </c>
      <c r="S267" s="76">
        <v>1000000</v>
      </c>
      <c r="T267" s="75"/>
      <c r="U267" s="82">
        <f>S267</f>
        <v>1000000</v>
      </c>
      <c r="V267" s="87" t="s">
        <v>153</v>
      </c>
      <c r="W267" s="60">
        <f t="shared" si="19"/>
        <v>1</v>
      </c>
      <c r="X267" s="46"/>
      <c r="Y267" s="74"/>
      <c r="Z267" s="46"/>
      <c r="AD267" s="46"/>
      <c r="AE267" s="46"/>
    </row>
    <row r="268" spans="1:31" s="59" customFormat="1" ht="17.25" customHeight="1">
      <c r="A268" s="59" t="s">
        <v>257</v>
      </c>
      <c r="B268" s="72" t="s">
        <v>531</v>
      </c>
      <c r="C268" s="155" t="s">
        <v>152</v>
      </c>
      <c r="D268" s="58" t="str">
        <f>VLOOKUP(C268,코드!$E$3:$F$30,2,FALSE)</f>
        <v>8701</v>
      </c>
      <c r="E268" s="58" t="str">
        <f t="shared" si="18"/>
        <v>[C-3]</v>
      </c>
      <c r="F268" s="65" t="s">
        <v>525</v>
      </c>
      <c r="G268" s="65" t="s">
        <v>524</v>
      </c>
      <c r="H268" s="66" t="s">
        <v>530</v>
      </c>
      <c r="I268" s="65" t="s">
        <v>529</v>
      </c>
      <c r="J268" s="65" t="s">
        <v>528</v>
      </c>
      <c r="K268" s="72" t="s">
        <v>42</v>
      </c>
      <c r="L268" s="72" t="s">
        <v>9</v>
      </c>
      <c r="M268" s="58">
        <f>VLOOKUP(L268,코드!$B$3:$C$29,2,FALSE)</f>
        <v>4321701</v>
      </c>
      <c r="N268" s="72" t="s">
        <v>42</v>
      </c>
      <c r="O268" s="79" t="s">
        <v>527</v>
      </c>
      <c r="P268" s="75">
        <v>20000000</v>
      </c>
      <c r="Q268" s="75">
        <v>1</v>
      </c>
      <c r="R268" s="75">
        <v>1</v>
      </c>
      <c r="S268" s="76">
        <v>20000000</v>
      </c>
      <c r="T268" s="75"/>
      <c r="U268" s="82">
        <f>S268</f>
        <v>20000000</v>
      </c>
      <c r="V268" s="87" t="s">
        <v>153</v>
      </c>
      <c r="W268" s="60">
        <f t="shared" si="19"/>
        <v>1</v>
      </c>
      <c r="X268" s="46"/>
      <c r="Y268" s="74"/>
      <c r="Z268" s="46"/>
      <c r="AD268" s="46"/>
      <c r="AE268" s="46"/>
    </row>
    <row r="269" spans="1:31" s="134" customFormat="1" ht="17.25" customHeight="1">
      <c r="A269" s="59" t="s">
        <v>257</v>
      </c>
      <c r="B269" s="141" t="s">
        <v>526</v>
      </c>
      <c r="C269" s="142" t="s">
        <v>88</v>
      </c>
      <c r="D269" s="141">
        <f>VLOOKUP(C269,코드!$E$3:$F$30,2,FALSE)</f>
        <v>8719</v>
      </c>
      <c r="E269" s="141" t="str">
        <f t="shared" si="18"/>
        <v>[C-3]</v>
      </c>
      <c r="F269" s="142" t="s">
        <v>525</v>
      </c>
      <c r="G269" s="142" t="s">
        <v>524</v>
      </c>
      <c r="H269" s="143" t="s">
        <v>87</v>
      </c>
      <c r="I269" s="142" t="s">
        <v>86</v>
      </c>
      <c r="J269" s="142"/>
      <c r="K269" s="141" t="s">
        <v>60</v>
      </c>
      <c r="L269" s="141" t="s">
        <v>11</v>
      </c>
      <c r="M269" s="141">
        <f>VLOOKUP(L269,코드!$B$3:$C$29,2,FALSE)</f>
        <v>4113401</v>
      </c>
      <c r="N269" s="141"/>
      <c r="O269" s="177" t="s">
        <v>523</v>
      </c>
      <c r="P269" s="139">
        <v>30000000</v>
      </c>
      <c r="Q269" s="139">
        <v>1</v>
      </c>
      <c r="R269" s="139">
        <v>1</v>
      </c>
      <c r="S269" s="140">
        <v>88318572</v>
      </c>
      <c r="T269" s="139"/>
      <c r="U269" s="138"/>
      <c r="V269" s="137"/>
      <c r="W269" s="136">
        <f t="shared" si="19"/>
        <v>0</v>
      </c>
      <c r="X269" s="135" t="s">
        <v>297</v>
      </c>
      <c r="Y269" s="13"/>
      <c r="Z269" s="135"/>
      <c r="AD269" s="135"/>
      <c r="AE269" s="135"/>
    </row>
    <row r="270" spans="1:31" s="59" customFormat="1" ht="17.25" customHeight="1">
      <c r="A270" s="59" t="s">
        <v>257</v>
      </c>
      <c r="B270" s="58" t="s">
        <v>338</v>
      </c>
      <c r="C270" s="155" t="s">
        <v>337</v>
      </c>
      <c r="D270" s="58" t="str">
        <f>VLOOKUP(C270,코드!$E$3:$F$30,2,FALSE)</f>
        <v>8639</v>
      </c>
      <c r="E270" s="58" t="str">
        <f t="shared" si="18"/>
        <v>[D-1]</v>
      </c>
      <c r="F270" s="65" t="s">
        <v>455</v>
      </c>
      <c r="G270" s="65" t="s">
        <v>507</v>
      </c>
      <c r="H270" s="66" t="s">
        <v>510</v>
      </c>
      <c r="I270" s="65" t="s">
        <v>522</v>
      </c>
      <c r="J270" s="65" t="s">
        <v>521</v>
      </c>
      <c r="K270" s="72" t="s">
        <v>60</v>
      </c>
      <c r="L270" s="72" t="s">
        <v>17</v>
      </c>
      <c r="M270" s="58">
        <f>VLOOKUP(L270,코드!$B$3:$C$29,2,FALSE)</f>
        <v>4241130</v>
      </c>
      <c r="N270" s="72" t="s">
        <v>262</v>
      </c>
      <c r="O270" s="72" t="s">
        <v>450</v>
      </c>
      <c r="P270" s="75">
        <v>100000</v>
      </c>
      <c r="Q270" s="75">
        <v>25</v>
      </c>
      <c r="R270" s="75">
        <v>2</v>
      </c>
      <c r="S270" s="76">
        <v>4200000</v>
      </c>
      <c r="T270" s="75"/>
      <c r="U270" s="82">
        <f>S270</f>
        <v>4200000</v>
      </c>
      <c r="V270" s="87" t="s">
        <v>153</v>
      </c>
      <c r="W270" s="60">
        <f t="shared" si="19"/>
        <v>1</v>
      </c>
      <c r="X270" s="46"/>
      <c r="Y270" s="74"/>
      <c r="Z270" s="46"/>
      <c r="AD270" s="46"/>
      <c r="AE270" s="46"/>
    </row>
    <row r="271" spans="1:31" s="59" customFormat="1" ht="17.25" customHeight="1">
      <c r="A271" s="59" t="s">
        <v>257</v>
      </c>
      <c r="B271" s="58" t="s">
        <v>338</v>
      </c>
      <c r="C271" s="155" t="s">
        <v>337</v>
      </c>
      <c r="D271" s="58" t="str">
        <f>VLOOKUP(C271,코드!$E$3:$F$30,2,FALSE)</f>
        <v>8639</v>
      </c>
      <c r="E271" s="58" t="str">
        <f t="shared" si="18"/>
        <v>[D-1]</v>
      </c>
      <c r="F271" s="65" t="s">
        <v>455</v>
      </c>
      <c r="G271" s="65" t="s">
        <v>507</v>
      </c>
      <c r="H271" s="66" t="s">
        <v>510</v>
      </c>
      <c r="I271" s="65" t="s">
        <v>522</v>
      </c>
      <c r="J271" s="65" t="s">
        <v>521</v>
      </c>
      <c r="K271" s="72" t="s">
        <v>60</v>
      </c>
      <c r="L271" s="72" t="s">
        <v>17</v>
      </c>
      <c r="M271" s="58">
        <f>VLOOKUP(L271,코드!$B$3:$C$29,2,FALSE)</f>
        <v>4241130</v>
      </c>
      <c r="N271" s="176" t="s">
        <v>217</v>
      </c>
      <c r="O271" s="72" t="s">
        <v>450</v>
      </c>
      <c r="P271" s="75"/>
      <c r="Q271" s="75"/>
      <c r="R271" s="75"/>
      <c r="S271" s="76">
        <v>800000</v>
      </c>
      <c r="T271" s="75"/>
      <c r="U271" s="78">
        <v>800000</v>
      </c>
      <c r="V271" s="71" t="s">
        <v>378</v>
      </c>
      <c r="W271" s="60">
        <f t="shared" si="19"/>
        <v>1</v>
      </c>
      <c r="X271" s="46"/>
      <c r="Y271" s="74"/>
      <c r="Z271" s="46"/>
      <c r="AD271" s="46"/>
      <c r="AE271" s="46"/>
    </row>
    <row r="272" spans="1:31" s="59" customFormat="1" ht="17.25" customHeight="1">
      <c r="A272" s="59" t="s">
        <v>257</v>
      </c>
      <c r="B272" s="58" t="s">
        <v>338</v>
      </c>
      <c r="C272" s="155" t="s">
        <v>337</v>
      </c>
      <c r="D272" s="58" t="str">
        <f>VLOOKUP(C272,코드!$E$3:$F$30,2,FALSE)</f>
        <v>8639</v>
      </c>
      <c r="E272" s="58" t="str">
        <f t="shared" si="18"/>
        <v>[D-1]</v>
      </c>
      <c r="F272" s="65" t="s">
        <v>455</v>
      </c>
      <c r="G272" s="65" t="s">
        <v>520</v>
      </c>
      <c r="H272" s="66" t="s">
        <v>510</v>
      </c>
      <c r="I272" s="65" t="s">
        <v>512</v>
      </c>
      <c r="J272" s="65" t="s">
        <v>519</v>
      </c>
      <c r="K272" s="72" t="s">
        <v>130</v>
      </c>
      <c r="L272" s="72" t="s">
        <v>17</v>
      </c>
      <c r="M272" s="58">
        <f>VLOOKUP(L272,코드!$B$3:$C$29,2,FALSE)</f>
        <v>4241130</v>
      </c>
      <c r="N272" s="72" t="s">
        <v>262</v>
      </c>
      <c r="O272" s="72" t="s">
        <v>450</v>
      </c>
      <c r="P272" s="75">
        <v>200000</v>
      </c>
      <c r="Q272" s="75">
        <v>110</v>
      </c>
      <c r="R272" s="75">
        <v>2</v>
      </c>
      <c r="S272" s="76">
        <v>52959300</v>
      </c>
      <c r="T272" s="75"/>
      <c r="U272" s="82">
        <f>S272</f>
        <v>52959300</v>
      </c>
      <c r="V272" s="87" t="s">
        <v>153</v>
      </c>
      <c r="W272" s="60">
        <f t="shared" si="19"/>
        <v>1</v>
      </c>
      <c r="X272" s="46"/>
      <c r="Y272" s="74"/>
      <c r="Z272" s="46"/>
      <c r="AD272" s="46"/>
      <c r="AE272" s="46"/>
    </row>
    <row r="273" spans="1:31" s="59" customFormat="1" ht="17.25" customHeight="1">
      <c r="A273" s="59" t="s">
        <v>257</v>
      </c>
      <c r="B273" s="58" t="s">
        <v>338</v>
      </c>
      <c r="C273" s="155" t="s">
        <v>337</v>
      </c>
      <c r="D273" s="58" t="str">
        <f>VLOOKUP(C273,코드!$E$3:$F$30,2,FALSE)</f>
        <v>8639</v>
      </c>
      <c r="E273" s="58" t="str">
        <f t="shared" si="18"/>
        <v>[D-1]</v>
      </c>
      <c r="F273" s="65" t="s">
        <v>455</v>
      </c>
      <c r="G273" s="65" t="s">
        <v>507</v>
      </c>
      <c r="H273" s="66" t="s">
        <v>510</v>
      </c>
      <c r="I273" s="65" t="s">
        <v>512</v>
      </c>
      <c r="J273" s="65" t="s">
        <v>518</v>
      </c>
      <c r="K273" s="72" t="s">
        <v>130</v>
      </c>
      <c r="L273" s="72" t="s">
        <v>17</v>
      </c>
      <c r="M273" s="58">
        <f>VLOOKUP(L273,코드!$B$3:$C$29,2,FALSE)</f>
        <v>4241130</v>
      </c>
      <c r="N273" s="176" t="s">
        <v>120</v>
      </c>
      <c r="O273" s="72" t="s">
        <v>450</v>
      </c>
      <c r="P273" s="75"/>
      <c r="Q273" s="75"/>
      <c r="R273" s="75"/>
      <c r="S273" s="76">
        <v>660000</v>
      </c>
      <c r="T273" s="75"/>
      <c r="U273" s="78">
        <v>660000</v>
      </c>
      <c r="V273" s="71" t="s">
        <v>378</v>
      </c>
      <c r="W273" s="60">
        <f t="shared" si="19"/>
        <v>1</v>
      </c>
      <c r="X273" s="46"/>
      <c r="Y273" s="74"/>
      <c r="Z273" s="46"/>
      <c r="AD273" s="46"/>
      <c r="AE273" s="46"/>
    </row>
    <row r="274" spans="1:31" s="59" customFormat="1" ht="17.25" customHeight="1">
      <c r="A274" s="59" t="s">
        <v>257</v>
      </c>
      <c r="B274" s="58" t="s">
        <v>338</v>
      </c>
      <c r="C274" s="155" t="s">
        <v>337</v>
      </c>
      <c r="D274" s="58" t="str">
        <f>VLOOKUP(C274,코드!$E$3:$F$30,2,FALSE)</f>
        <v>8639</v>
      </c>
      <c r="E274" s="58" t="str">
        <f t="shared" si="18"/>
        <v>[D-1]</v>
      </c>
      <c r="F274" s="65" t="s">
        <v>455</v>
      </c>
      <c r="G274" s="65" t="s">
        <v>507</v>
      </c>
      <c r="H274" s="66" t="s">
        <v>510</v>
      </c>
      <c r="I274" s="65" t="s">
        <v>512</v>
      </c>
      <c r="J274" s="65" t="s">
        <v>517</v>
      </c>
      <c r="K274" s="72" t="s">
        <v>130</v>
      </c>
      <c r="L274" s="72" t="s">
        <v>17</v>
      </c>
      <c r="M274" s="58">
        <f>VLOOKUP(L274,코드!$B$3:$C$29,2,FALSE)</f>
        <v>4241130</v>
      </c>
      <c r="N274" s="176" t="s">
        <v>259</v>
      </c>
      <c r="O274" s="72" t="s">
        <v>450</v>
      </c>
      <c r="P274" s="75"/>
      <c r="Q274" s="75"/>
      <c r="R274" s="75"/>
      <c r="S274" s="76">
        <v>555700</v>
      </c>
      <c r="T274" s="75"/>
      <c r="U274" s="78">
        <v>555700</v>
      </c>
      <c r="V274" s="71" t="s">
        <v>378</v>
      </c>
      <c r="W274" s="60">
        <f t="shared" si="19"/>
        <v>1</v>
      </c>
      <c r="X274" s="46"/>
      <c r="Y274" s="74"/>
      <c r="Z274" s="46"/>
      <c r="AD274" s="46"/>
      <c r="AE274" s="46"/>
    </row>
    <row r="275" spans="1:31" s="59" customFormat="1" ht="17.25" customHeight="1">
      <c r="A275" s="59" t="s">
        <v>257</v>
      </c>
      <c r="B275" s="58" t="s">
        <v>338</v>
      </c>
      <c r="C275" s="155" t="s">
        <v>337</v>
      </c>
      <c r="D275" s="58" t="str">
        <f>VLOOKUP(C275,코드!$E$3:$F$30,2,FALSE)</f>
        <v>8639</v>
      </c>
      <c r="E275" s="58" t="str">
        <f t="shared" si="18"/>
        <v>[D-1]</v>
      </c>
      <c r="F275" s="65" t="s">
        <v>455</v>
      </c>
      <c r="G275" s="65" t="s">
        <v>507</v>
      </c>
      <c r="H275" s="66" t="s">
        <v>510</v>
      </c>
      <c r="I275" s="65" t="s">
        <v>515</v>
      </c>
      <c r="J275" s="65" t="s">
        <v>516</v>
      </c>
      <c r="K275" s="72" t="s">
        <v>130</v>
      </c>
      <c r="L275" s="72" t="s">
        <v>17</v>
      </c>
      <c r="M275" s="58">
        <f>VLOOKUP(L275,코드!$B$3:$C$29,2,FALSE)</f>
        <v>4241130</v>
      </c>
      <c r="N275" s="72" t="s">
        <v>365</v>
      </c>
      <c r="O275" s="72" t="s">
        <v>450</v>
      </c>
      <c r="P275" s="75">
        <v>400000</v>
      </c>
      <c r="Q275" s="75">
        <v>1</v>
      </c>
      <c r="R275" s="75">
        <v>2</v>
      </c>
      <c r="S275" s="76">
        <v>825000</v>
      </c>
      <c r="T275" s="75"/>
      <c r="U275" s="78">
        <v>825000</v>
      </c>
      <c r="V275" s="71" t="s">
        <v>378</v>
      </c>
      <c r="W275" s="60">
        <f t="shared" si="19"/>
        <v>1</v>
      </c>
      <c r="X275" s="46"/>
      <c r="Y275" s="74"/>
      <c r="Z275" s="46"/>
      <c r="AD275" s="46"/>
      <c r="AE275" s="46"/>
    </row>
    <row r="276" spans="1:31" s="59" customFormat="1" ht="17.25" customHeight="1">
      <c r="A276" s="59" t="s">
        <v>257</v>
      </c>
      <c r="B276" s="58" t="s">
        <v>338</v>
      </c>
      <c r="C276" s="155" t="s">
        <v>337</v>
      </c>
      <c r="D276" s="58" t="str">
        <f>VLOOKUP(C276,코드!$E$3:$F$30,2,FALSE)</f>
        <v>8639</v>
      </c>
      <c r="E276" s="58" t="str">
        <f t="shared" si="18"/>
        <v>[D-1]</v>
      </c>
      <c r="F276" s="65" t="s">
        <v>455</v>
      </c>
      <c r="G276" s="65" t="s">
        <v>507</v>
      </c>
      <c r="H276" s="66" t="s">
        <v>513</v>
      </c>
      <c r="I276" s="65" t="s">
        <v>515</v>
      </c>
      <c r="J276" s="65" t="s">
        <v>514</v>
      </c>
      <c r="K276" s="72" t="s">
        <v>130</v>
      </c>
      <c r="L276" s="72" t="s">
        <v>17</v>
      </c>
      <c r="M276" s="58">
        <f>VLOOKUP(L276,코드!$B$3:$C$29,2,FALSE)</f>
        <v>4241130</v>
      </c>
      <c r="N276" s="72" t="s">
        <v>356</v>
      </c>
      <c r="O276" s="72" t="s">
        <v>450</v>
      </c>
      <c r="P276" s="75">
        <v>200000</v>
      </c>
      <c r="Q276" s="75">
        <v>2</v>
      </c>
      <c r="R276" s="75">
        <v>1</v>
      </c>
      <c r="S276" s="76">
        <v>800000</v>
      </c>
      <c r="T276" s="75"/>
      <c r="U276" s="82">
        <f>S276</f>
        <v>800000</v>
      </c>
      <c r="V276" s="87" t="s">
        <v>153</v>
      </c>
      <c r="W276" s="60">
        <f t="shared" si="19"/>
        <v>1</v>
      </c>
      <c r="X276" s="46"/>
      <c r="Y276" s="74"/>
      <c r="Z276" s="46"/>
      <c r="AD276" s="46"/>
      <c r="AE276" s="46"/>
    </row>
    <row r="277" spans="1:31" s="59" customFormat="1" ht="17.25" customHeight="1">
      <c r="A277" s="59" t="s">
        <v>257</v>
      </c>
      <c r="B277" s="58" t="s">
        <v>338</v>
      </c>
      <c r="C277" s="155" t="s">
        <v>337</v>
      </c>
      <c r="D277" s="58" t="str">
        <f>VLOOKUP(C277,코드!$E$3:$F$30,2,FALSE)</f>
        <v>8639</v>
      </c>
      <c r="E277" s="58" t="str">
        <f t="shared" si="18"/>
        <v>[D-1]</v>
      </c>
      <c r="F277" s="65" t="s">
        <v>455</v>
      </c>
      <c r="G277" s="65" t="s">
        <v>507</v>
      </c>
      <c r="H277" s="66" t="s">
        <v>513</v>
      </c>
      <c r="I277" s="65" t="s">
        <v>512</v>
      </c>
      <c r="J277" s="65" t="s">
        <v>511</v>
      </c>
      <c r="K277" s="72" t="s">
        <v>101</v>
      </c>
      <c r="L277" s="72" t="s">
        <v>15</v>
      </c>
      <c r="M277" s="58">
        <f>VLOOKUP(L277,코드!$B$3:$C$29,2,FALSE)</f>
        <v>4321701</v>
      </c>
      <c r="N277" s="72" t="s">
        <v>349</v>
      </c>
      <c r="O277" s="72" t="s">
        <v>475</v>
      </c>
      <c r="P277" s="75"/>
      <c r="Q277" s="75"/>
      <c r="R277" s="75"/>
      <c r="S277" s="76">
        <v>400000</v>
      </c>
      <c r="T277" s="75"/>
      <c r="U277" s="82">
        <f>S277</f>
        <v>400000</v>
      </c>
      <c r="V277" s="87" t="s">
        <v>153</v>
      </c>
      <c r="W277" s="60">
        <f t="shared" si="19"/>
        <v>1</v>
      </c>
      <c r="X277" s="46"/>
      <c r="Y277" s="74"/>
      <c r="Z277" s="46"/>
      <c r="AD277" s="46"/>
      <c r="AE277" s="46"/>
    </row>
    <row r="278" spans="1:31" s="59" customFormat="1" ht="17.25" customHeight="1">
      <c r="A278" s="59" t="s">
        <v>257</v>
      </c>
      <c r="B278" s="58" t="s">
        <v>338</v>
      </c>
      <c r="C278" s="155" t="s">
        <v>337</v>
      </c>
      <c r="D278" s="58" t="str">
        <f>VLOOKUP(C278,코드!$E$3:$F$30,2,FALSE)</f>
        <v>8639</v>
      </c>
      <c r="E278" s="58" t="str">
        <f t="shared" si="18"/>
        <v>[D-1]</v>
      </c>
      <c r="F278" s="65" t="s">
        <v>455</v>
      </c>
      <c r="G278" s="65" t="s">
        <v>507</v>
      </c>
      <c r="H278" s="66" t="s">
        <v>510</v>
      </c>
      <c r="I278" s="65" t="s">
        <v>509</v>
      </c>
      <c r="J278" s="65" t="s">
        <v>508</v>
      </c>
      <c r="K278" s="72" t="s">
        <v>130</v>
      </c>
      <c r="L278" s="72" t="s">
        <v>17</v>
      </c>
      <c r="M278" s="58">
        <f>VLOOKUP(L278,코드!$B$3:$C$29,2,FALSE)</f>
        <v>4241130</v>
      </c>
      <c r="N278" s="72" t="s">
        <v>262</v>
      </c>
      <c r="O278" s="72" t="s">
        <v>450</v>
      </c>
      <c r="P278" s="75">
        <v>25000</v>
      </c>
      <c r="Q278" s="75">
        <v>40</v>
      </c>
      <c r="R278" s="75">
        <v>6</v>
      </c>
      <c r="S278" s="76">
        <v>6000000</v>
      </c>
      <c r="T278" s="75"/>
      <c r="U278" s="82">
        <f>S278</f>
        <v>6000000</v>
      </c>
      <c r="V278" s="87" t="s">
        <v>153</v>
      </c>
      <c r="W278" s="60">
        <f t="shared" si="19"/>
        <v>1</v>
      </c>
      <c r="X278" s="46"/>
      <c r="Y278" s="74"/>
      <c r="Z278" s="46"/>
      <c r="AD278" s="46"/>
      <c r="AE278" s="46"/>
    </row>
    <row r="279" spans="1:31" s="59" customFormat="1" ht="17.25" customHeight="1">
      <c r="A279" s="59" t="s">
        <v>257</v>
      </c>
      <c r="B279" s="58" t="s">
        <v>338</v>
      </c>
      <c r="C279" s="155" t="s">
        <v>337</v>
      </c>
      <c r="D279" s="58" t="str">
        <f>VLOOKUP(C279,코드!$E$3:$F$30,2,FALSE)</f>
        <v>8639</v>
      </c>
      <c r="E279" s="58" t="str">
        <f t="shared" si="18"/>
        <v>[D-1]</v>
      </c>
      <c r="F279" s="65" t="s">
        <v>455</v>
      </c>
      <c r="G279" s="65" t="s">
        <v>507</v>
      </c>
      <c r="H279" s="66" t="s">
        <v>506</v>
      </c>
      <c r="I279" s="65" t="s">
        <v>505</v>
      </c>
      <c r="J279" s="65" t="s">
        <v>504</v>
      </c>
      <c r="K279" s="72"/>
      <c r="L279" s="72"/>
      <c r="M279" s="58"/>
      <c r="N279" s="72"/>
      <c r="O279" s="72"/>
      <c r="P279" s="75"/>
      <c r="Q279" s="75"/>
      <c r="R279" s="75"/>
      <c r="S279" s="76">
        <v>0</v>
      </c>
      <c r="T279" s="75"/>
      <c r="U279" s="78">
        <v>0</v>
      </c>
      <c r="V279" s="71"/>
      <c r="W279" s="60" t="e">
        <f t="shared" si="19"/>
        <v>#DIV/0!</v>
      </c>
      <c r="X279" s="46"/>
      <c r="Y279" s="74"/>
      <c r="Z279" s="46"/>
      <c r="AD279" s="46"/>
      <c r="AE279" s="46"/>
    </row>
    <row r="280" spans="1:31" s="59" customFormat="1" ht="17.25" customHeight="1">
      <c r="A280" s="59" t="s">
        <v>257</v>
      </c>
      <c r="B280" s="58" t="s">
        <v>338</v>
      </c>
      <c r="C280" s="155" t="s">
        <v>337</v>
      </c>
      <c r="D280" s="58" t="str">
        <f>VLOOKUP(C280,코드!$E$3:$F$30,2,FALSE)</f>
        <v>8639</v>
      </c>
      <c r="E280" s="58" t="str">
        <f t="shared" si="18"/>
        <v>[D-1]</v>
      </c>
      <c r="F280" s="65" t="s">
        <v>455</v>
      </c>
      <c r="G280" s="65" t="s">
        <v>468</v>
      </c>
      <c r="H280" s="66" t="s">
        <v>487</v>
      </c>
      <c r="I280" s="65" t="s">
        <v>500</v>
      </c>
      <c r="J280" s="65" t="s">
        <v>503</v>
      </c>
      <c r="K280" s="72" t="s">
        <v>130</v>
      </c>
      <c r="L280" s="72" t="s">
        <v>17</v>
      </c>
      <c r="M280" s="58">
        <f>VLOOKUP(L280,코드!$B$3:$C$29,2,FALSE)</f>
        <v>4241130</v>
      </c>
      <c r="N280" s="72" t="s">
        <v>262</v>
      </c>
      <c r="O280" s="72" t="s">
        <v>450</v>
      </c>
      <c r="P280" s="75">
        <v>20000</v>
      </c>
      <c r="Q280" s="75">
        <v>1400</v>
      </c>
      <c r="R280" s="75">
        <v>2</v>
      </c>
      <c r="S280" s="76">
        <v>33000000</v>
      </c>
      <c r="T280" s="75"/>
      <c r="U280" s="82">
        <f>S280</f>
        <v>33000000</v>
      </c>
      <c r="V280" s="87" t="s">
        <v>153</v>
      </c>
      <c r="W280" s="60">
        <f t="shared" si="19"/>
        <v>1</v>
      </c>
      <c r="X280" s="46"/>
      <c r="Y280" s="74"/>
      <c r="Z280" s="46"/>
      <c r="AD280" s="46"/>
      <c r="AE280" s="46"/>
    </row>
    <row r="281" spans="1:31" s="59" customFormat="1" ht="17.25" customHeight="1">
      <c r="A281" s="59" t="s">
        <v>257</v>
      </c>
      <c r="B281" s="58" t="s">
        <v>338</v>
      </c>
      <c r="C281" s="155" t="s">
        <v>337</v>
      </c>
      <c r="D281" s="58" t="str">
        <f>VLOOKUP(C281,코드!$E$3:$F$30,2,FALSE)</f>
        <v>8639</v>
      </c>
      <c r="E281" s="58" t="str">
        <f t="shared" si="18"/>
        <v>[D-1]</v>
      </c>
      <c r="F281" s="65" t="s">
        <v>455</v>
      </c>
      <c r="G281" s="65" t="s">
        <v>468</v>
      </c>
      <c r="H281" s="66" t="s">
        <v>487</v>
      </c>
      <c r="I281" s="65" t="s">
        <v>500</v>
      </c>
      <c r="J281" s="65" t="s">
        <v>502</v>
      </c>
      <c r="K281" s="72" t="s">
        <v>130</v>
      </c>
      <c r="L281" s="72" t="s">
        <v>17</v>
      </c>
      <c r="M281" s="58">
        <f>VLOOKUP(L281,코드!$B$3:$C$29,2,FALSE)</f>
        <v>4241130</v>
      </c>
      <c r="N281" s="176" t="s">
        <v>365</v>
      </c>
      <c r="O281" s="72" t="s">
        <v>450</v>
      </c>
      <c r="P281" s="75"/>
      <c r="Q281" s="75"/>
      <c r="R281" s="75"/>
      <c r="S281" s="76">
        <v>3000000</v>
      </c>
      <c r="T281" s="75"/>
      <c r="U281" s="78">
        <v>3000000</v>
      </c>
      <c r="V281" s="71" t="s">
        <v>378</v>
      </c>
      <c r="W281" s="60">
        <f t="shared" si="19"/>
        <v>1</v>
      </c>
      <c r="X281" s="46"/>
      <c r="Y281" s="74"/>
      <c r="Z281" s="46"/>
      <c r="AD281" s="46"/>
      <c r="AE281" s="46"/>
    </row>
    <row r="282" spans="1:31" s="59" customFormat="1" ht="17.25" customHeight="1">
      <c r="A282" s="59" t="s">
        <v>257</v>
      </c>
      <c r="B282" s="58" t="s">
        <v>338</v>
      </c>
      <c r="C282" s="155" t="s">
        <v>337</v>
      </c>
      <c r="D282" s="58" t="str">
        <f>VLOOKUP(C282,코드!$E$3:$F$30,2,FALSE)</f>
        <v>8639</v>
      </c>
      <c r="E282" s="58" t="str">
        <f t="shared" si="18"/>
        <v>[D-1]</v>
      </c>
      <c r="F282" s="65" t="s">
        <v>455</v>
      </c>
      <c r="G282" s="65" t="s">
        <v>501</v>
      </c>
      <c r="H282" s="66" t="s">
        <v>487</v>
      </c>
      <c r="I282" s="65" t="s">
        <v>500</v>
      </c>
      <c r="J282" s="65" t="s">
        <v>499</v>
      </c>
      <c r="K282" s="72" t="s">
        <v>130</v>
      </c>
      <c r="L282" s="72" t="s">
        <v>17</v>
      </c>
      <c r="M282" s="58">
        <f>VLOOKUP(L282,코드!$B$3:$C$29,2,FALSE)</f>
        <v>4241130</v>
      </c>
      <c r="N282" s="176" t="s">
        <v>259</v>
      </c>
      <c r="O282" s="72" t="s">
        <v>450</v>
      </c>
      <c r="P282" s="75"/>
      <c r="Q282" s="75"/>
      <c r="R282" s="75"/>
      <c r="S282" s="76">
        <v>20000000</v>
      </c>
      <c r="T282" s="75"/>
      <c r="U282" s="78">
        <v>20000000</v>
      </c>
      <c r="V282" s="71" t="s">
        <v>378</v>
      </c>
      <c r="W282" s="60">
        <f t="shared" si="19"/>
        <v>1</v>
      </c>
      <c r="X282" s="46"/>
      <c r="Y282" s="74"/>
      <c r="Z282" s="46"/>
      <c r="AD282" s="46"/>
      <c r="AE282" s="46"/>
    </row>
    <row r="283" spans="1:31" s="59" customFormat="1" ht="17.25" customHeight="1">
      <c r="A283" s="59" t="s">
        <v>257</v>
      </c>
      <c r="B283" s="58" t="s">
        <v>338</v>
      </c>
      <c r="C283" s="155" t="s">
        <v>337</v>
      </c>
      <c r="D283" s="58" t="str">
        <f>VLOOKUP(C283,코드!$E$3:$F$30,2,FALSE)</f>
        <v>8639</v>
      </c>
      <c r="E283" s="58" t="str">
        <f t="shared" si="18"/>
        <v>[D-1]</v>
      </c>
      <c r="F283" s="65" t="s">
        <v>455</v>
      </c>
      <c r="G283" s="65" t="s">
        <v>468</v>
      </c>
      <c r="H283" s="66" t="s">
        <v>487</v>
      </c>
      <c r="I283" s="65" t="s">
        <v>498</v>
      </c>
      <c r="J283" s="65" t="s">
        <v>497</v>
      </c>
      <c r="K283" s="72" t="s">
        <v>101</v>
      </c>
      <c r="L283" s="72" t="s">
        <v>15</v>
      </c>
      <c r="M283" s="58">
        <f>VLOOKUP(L283,코드!$B$3:$C$29,2,FALSE)</f>
        <v>4321701</v>
      </c>
      <c r="N283" s="72" t="s">
        <v>349</v>
      </c>
      <c r="O283" s="130" t="s">
        <v>475</v>
      </c>
      <c r="P283" s="75">
        <v>300000</v>
      </c>
      <c r="Q283" s="75">
        <v>12</v>
      </c>
      <c r="R283" s="75">
        <v>1</v>
      </c>
      <c r="S283" s="76">
        <v>4200000</v>
      </c>
      <c r="T283" s="75"/>
      <c r="U283" s="82">
        <f>S283</f>
        <v>4200000</v>
      </c>
      <c r="V283" s="87" t="s">
        <v>153</v>
      </c>
      <c r="W283" s="60">
        <f t="shared" si="19"/>
        <v>1</v>
      </c>
      <c r="X283" s="46"/>
      <c r="Y283" s="74"/>
      <c r="Z283" s="46"/>
      <c r="AD283" s="46"/>
      <c r="AE283" s="46"/>
    </row>
    <row r="284" spans="1:31" s="59" customFormat="1" ht="17.25" customHeight="1">
      <c r="A284" s="59" t="s">
        <v>257</v>
      </c>
      <c r="B284" s="58" t="s">
        <v>338</v>
      </c>
      <c r="C284" s="155" t="s">
        <v>337</v>
      </c>
      <c r="D284" s="58" t="str">
        <f>VLOOKUP(C284,코드!$E$3:$F$30,2,FALSE)</f>
        <v>8639</v>
      </c>
      <c r="E284" s="58" t="str">
        <f t="shared" si="18"/>
        <v>[D-1]</v>
      </c>
      <c r="F284" s="65" t="s">
        <v>455</v>
      </c>
      <c r="G284" s="65" t="s">
        <v>468</v>
      </c>
      <c r="H284" s="66" t="s">
        <v>487</v>
      </c>
      <c r="I284" s="65" t="s">
        <v>496</v>
      </c>
      <c r="J284" s="65" t="s">
        <v>495</v>
      </c>
      <c r="K284" s="72" t="s">
        <v>101</v>
      </c>
      <c r="L284" s="72" t="s">
        <v>15</v>
      </c>
      <c r="M284" s="58">
        <f>VLOOKUP(L284,코드!$B$3:$C$29,2,FALSE)</f>
        <v>4321701</v>
      </c>
      <c r="N284" s="72" t="s">
        <v>100</v>
      </c>
      <c r="O284" s="130" t="s">
        <v>475</v>
      </c>
      <c r="P284" s="75">
        <v>1800000</v>
      </c>
      <c r="Q284" s="75">
        <v>3</v>
      </c>
      <c r="R284" s="75">
        <v>2</v>
      </c>
      <c r="S284" s="76">
        <v>10800000</v>
      </c>
      <c r="T284" s="75"/>
      <c r="U284" s="82">
        <f>S284</f>
        <v>10800000</v>
      </c>
      <c r="V284" s="87" t="s">
        <v>153</v>
      </c>
      <c r="W284" s="60">
        <f t="shared" si="19"/>
        <v>1</v>
      </c>
      <c r="X284" s="46"/>
      <c r="Y284" s="74"/>
      <c r="Z284" s="46"/>
      <c r="AD284" s="46"/>
      <c r="AE284" s="46"/>
    </row>
    <row r="285" spans="1:31" s="59" customFormat="1" ht="17.25" customHeight="1">
      <c r="A285" s="59" t="s">
        <v>257</v>
      </c>
      <c r="B285" s="58" t="s">
        <v>338</v>
      </c>
      <c r="C285" s="155" t="s">
        <v>337</v>
      </c>
      <c r="D285" s="58" t="str">
        <f>VLOOKUP(C285,코드!$E$3:$F$30,2,FALSE)</f>
        <v>8639</v>
      </c>
      <c r="E285" s="58" t="str">
        <f t="shared" si="18"/>
        <v>[D-1]</v>
      </c>
      <c r="F285" s="65" t="s">
        <v>455</v>
      </c>
      <c r="G285" s="65" t="s">
        <v>468</v>
      </c>
      <c r="H285" s="66" t="s">
        <v>487</v>
      </c>
      <c r="I285" s="65" t="s">
        <v>494</v>
      </c>
      <c r="J285" s="65" t="s">
        <v>493</v>
      </c>
      <c r="K285" s="72" t="s">
        <v>101</v>
      </c>
      <c r="L285" s="72" t="s">
        <v>15</v>
      </c>
      <c r="M285" s="58">
        <f>VLOOKUP(L285,코드!$B$3:$C$29,2,FALSE)</f>
        <v>4321701</v>
      </c>
      <c r="N285" s="72" t="s">
        <v>100</v>
      </c>
      <c r="O285" s="130" t="s">
        <v>475</v>
      </c>
      <c r="P285" s="75">
        <v>1000000</v>
      </c>
      <c r="Q285" s="75">
        <v>5</v>
      </c>
      <c r="R285" s="75">
        <v>2</v>
      </c>
      <c r="S285" s="76">
        <v>0</v>
      </c>
      <c r="T285" s="75"/>
      <c r="U285" s="78">
        <v>0</v>
      </c>
      <c r="V285" s="71"/>
      <c r="W285" s="60" t="e">
        <f t="shared" si="19"/>
        <v>#DIV/0!</v>
      </c>
      <c r="X285" s="46"/>
      <c r="Y285" s="74"/>
      <c r="Z285" s="46"/>
      <c r="AD285" s="46"/>
      <c r="AE285" s="46"/>
    </row>
    <row r="286" spans="1:31" s="59" customFormat="1" ht="17.25" customHeight="1">
      <c r="A286" s="59" t="s">
        <v>257</v>
      </c>
      <c r="B286" s="58" t="s">
        <v>338</v>
      </c>
      <c r="C286" s="155" t="s">
        <v>337</v>
      </c>
      <c r="D286" s="58" t="str">
        <f>VLOOKUP(C286,코드!$E$3:$F$30,2,FALSE)</f>
        <v>8639</v>
      </c>
      <c r="E286" s="58" t="str">
        <f t="shared" si="18"/>
        <v>[D-1]</v>
      </c>
      <c r="F286" s="65" t="s">
        <v>455</v>
      </c>
      <c r="G286" s="65" t="s">
        <v>468</v>
      </c>
      <c r="H286" s="66" t="s">
        <v>487</v>
      </c>
      <c r="I286" s="65" t="s">
        <v>489</v>
      </c>
      <c r="J286" s="65" t="s">
        <v>492</v>
      </c>
      <c r="K286" s="72" t="s">
        <v>130</v>
      </c>
      <c r="L286" s="72" t="s">
        <v>17</v>
      </c>
      <c r="M286" s="58">
        <f>VLOOKUP(L286,코드!$B$3:$C$29,2,FALSE)</f>
        <v>4241130</v>
      </c>
      <c r="N286" s="72" t="s">
        <v>259</v>
      </c>
      <c r="O286" s="72" t="s">
        <v>450</v>
      </c>
      <c r="P286" s="75">
        <v>500000</v>
      </c>
      <c r="Q286" s="75">
        <v>10</v>
      </c>
      <c r="R286" s="75">
        <v>1</v>
      </c>
      <c r="S286" s="76">
        <v>5000000</v>
      </c>
      <c r="T286" s="75"/>
      <c r="U286" s="78">
        <v>5000000</v>
      </c>
      <c r="V286" s="71" t="s">
        <v>316</v>
      </c>
      <c r="W286" s="60">
        <f t="shared" si="19"/>
        <v>1</v>
      </c>
      <c r="X286" s="46"/>
      <c r="Y286" s="74"/>
      <c r="Z286" s="46"/>
      <c r="AD286" s="46"/>
      <c r="AE286" s="46"/>
    </row>
    <row r="287" spans="1:31" s="59" customFormat="1" ht="17.25" customHeight="1">
      <c r="A287" s="59" t="s">
        <v>257</v>
      </c>
      <c r="B287" s="58" t="s">
        <v>338</v>
      </c>
      <c r="C287" s="155" t="s">
        <v>337</v>
      </c>
      <c r="D287" s="58" t="str">
        <f>VLOOKUP(C287,코드!$E$3:$F$30,2,FALSE)</f>
        <v>8639</v>
      </c>
      <c r="E287" s="58" t="str">
        <f t="shared" si="18"/>
        <v>[D-1]</v>
      </c>
      <c r="F287" s="65" t="s">
        <v>455</v>
      </c>
      <c r="G287" s="65" t="s">
        <v>468</v>
      </c>
      <c r="H287" s="66" t="s">
        <v>487</v>
      </c>
      <c r="I287" s="65" t="s">
        <v>489</v>
      </c>
      <c r="J287" s="65" t="s">
        <v>491</v>
      </c>
      <c r="K287" s="72" t="s">
        <v>130</v>
      </c>
      <c r="L287" s="72" t="s">
        <v>17</v>
      </c>
      <c r="M287" s="58">
        <f>VLOOKUP(L287,코드!$B$3:$C$29,2,FALSE)</f>
        <v>4241130</v>
      </c>
      <c r="N287" s="72" t="s">
        <v>262</v>
      </c>
      <c r="O287" s="72" t="s">
        <v>450</v>
      </c>
      <c r="P287" s="75">
        <v>30000</v>
      </c>
      <c r="Q287" s="75">
        <v>25</v>
      </c>
      <c r="R287" s="75">
        <v>4</v>
      </c>
      <c r="S287" s="175">
        <v>925260</v>
      </c>
      <c r="T287" s="75"/>
      <c r="U287" s="129">
        <v>925260</v>
      </c>
      <c r="V287" s="71" t="s">
        <v>316</v>
      </c>
      <c r="W287" s="60">
        <f t="shared" si="19"/>
        <v>1</v>
      </c>
      <c r="X287" s="46"/>
      <c r="Y287" s="74"/>
      <c r="Z287" s="46"/>
      <c r="AD287" s="46"/>
      <c r="AE287" s="46"/>
    </row>
    <row r="288" spans="1:31" s="59" customFormat="1" ht="17.25" customHeight="1">
      <c r="A288" s="59" t="s">
        <v>257</v>
      </c>
      <c r="B288" s="58" t="s">
        <v>338</v>
      </c>
      <c r="C288" s="155" t="s">
        <v>337</v>
      </c>
      <c r="D288" s="58" t="str">
        <f>VLOOKUP(C288,코드!$E$3:$F$30,2,FALSE)</f>
        <v>8639</v>
      </c>
      <c r="E288" s="58" t="str">
        <f t="shared" si="18"/>
        <v>[D-1]</v>
      </c>
      <c r="F288" s="65" t="s">
        <v>455</v>
      </c>
      <c r="G288" s="65" t="s">
        <v>468</v>
      </c>
      <c r="H288" s="66" t="s">
        <v>487</v>
      </c>
      <c r="I288" s="65" t="s">
        <v>489</v>
      </c>
      <c r="J288" s="65" t="s">
        <v>490</v>
      </c>
      <c r="K288" s="72" t="s">
        <v>130</v>
      </c>
      <c r="L288" s="72" t="s">
        <v>17</v>
      </c>
      <c r="M288" s="58">
        <f>VLOOKUP(L288,코드!$B$3:$C$29,2,FALSE)</f>
        <v>4241130</v>
      </c>
      <c r="N288" s="72" t="s">
        <v>262</v>
      </c>
      <c r="O288" s="72" t="s">
        <v>450</v>
      </c>
      <c r="P288" s="75">
        <v>30000</v>
      </c>
      <c r="Q288" s="75">
        <v>25</v>
      </c>
      <c r="R288" s="75">
        <v>4</v>
      </c>
      <c r="S288" s="175">
        <v>74740</v>
      </c>
      <c r="T288" s="75"/>
      <c r="U288" s="129">
        <v>74740</v>
      </c>
      <c r="V288" s="71" t="s">
        <v>316</v>
      </c>
      <c r="W288" s="60">
        <f t="shared" si="19"/>
        <v>1</v>
      </c>
      <c r="X288" s="46"/>
      <c r="Y288" s="74"/>
      <c r="Z288" s="46"/>
      <c r="AD288" s="46"/>
      <c r="AE288" s="46"/>
    </row>
    <row r="289" spans="1:31" s="59" customFormat="1" ht="17.25" customHeight="1">
      <c r="A289" s="59" t="s">
        <v>257</v>
      </c>
      <c r="B289" s="58" t="s">
        <v>338</v>
      </c>
      <c r="C289" s="155" t="s">
        <v>337</v>
      </c>
      <c r="D289" s="58" t="str">
        <f>VLOOKUP(C289,코드!$E$3:$F$30,2,FALSE)</f>
        <v>8639</v>
      </c>
      <c r="E289" s="58" t="str">
        <f t="shared" si="18"/>
        <v>[D-1]</v>
      </c>
      <c r="F289" s="65" t="s">
        <v>455</v>
      </c>
      <c r="G289" s="65" t="s">
        <v>468</v>
      </c>
      <c r="H289" s="66" t="s">
        <v>487</v>
      </c>
      <c r="I289" s="65" t="s">
        <v>489</v>
      </c>
      <c r="J289" s="65" t="s">
        <v>488</v>
      </c>
      <c r="K289" s="72" t="s">
        <v>130</v>
      </c>
      <c r="L289" s="72" t="s">
        <v>17</v>
      </c>
      <c r="M289" s="58">
        <f>VLOOKUP(L289,코드!$B$3:$C$29,2,FALSE)</f>
        <v>4241130</v>
      </c>
      <c r="N289" s="72" t="s">
        <v>356</v>
      </c>
      <c r="O289" s="72" t="s">
        <v>450</v>
      </c>
      <c r="P289" s="75">
        <v>300000</v>
      </c>
      <c r="Q289" s="75">
        <v>2</v>
      </c>
      <c r="R289" s="75">
        <v>2</v>
      </c>
      <c r="S289" s="161">
        <v>1800000</v>
      </c>
      <c r="T289" s="75"/>
      <c r="U289" s="82">
        <f>S289</f>
        <v>1800000</v>
      </c>
      <c r="V289" s="87" t="s">
        <v>153</v>
      </c>
      <c r="W289" s="60">
        <f t="shared" si="19"/>
        <v>1</v>
      </c>
      <c r="X289" s="46"/>
      <c r="Y289" s="74"/>
      <c r="Z289" s="46"/>
      <c r="AD289" s="46"/>
      <c r="AE289" s="46"/>
    </row>
    <row r="290" spans="1:31" s="59" customFormat="1" ht="17.25" customHeight="1">
      <c r="A290" s="59" t="s">
        <v>257</v>
      </c>
      <c r="B290" s="58" t="s">
        <v>338</v>
      </c>
      <c r="C290" s="155" t="s">
        <v>337</v>
      </c>
      <c r="D290" s="58" t="str">
        <f>VLOOKUP(C290,코드!$E$3:$F$30,2,FALSE)</f>
        <v>8639</v>
      </c>
      <c r="E290" s="58" t="str">
        <f t="shared" si="18"/>
        <v>[D-1]</v>
      </c>
      <c r="F290" s="65" t="s">
        <v>455</v>
      </c>
      <c r="G290" s="65" t="s">
        <v>468</v>
      </c>
      <c r="H290" s="66" t="s">
        <v>487</v>
      </c>
      <c r="I290" s="65" t="s">
        <v>486</v>
      </c>
      <c r="J290" s="65" t="s">
        <v>485</v>
      </c>
      <c r="K290" s="72" t="s">
        <v>130</v>
      </c>
      <c r="L290" s="72" t="s">
        <v>17</v>
      </c>
      <c r="M290" s="58">
        <f>VLOOKUP(L290,코드!$B$3:$C$29,2,FALSE)</f>
        <v>4241130</v>
      </c>
      <c r="N290" s="72" t="s">
        <v>262</v>
      </c>
      <c r="O290" s="72" t="s">
        <v>450</v>
      </c>
      <c r="P290" s="75"/>
      <c r="Q290" s="75"/>
      <c r="R290" s="75"/>
      <c r="S290" s="76">
        <v>0</v>
      </c>
      <c r="T290" s="75"/>
      <c r="U290" s="78">
        <v>0</v>
      </c>
      <c r="V290" s="71"/>
      <c r="W290" s="60" t="e">
        <f t="shared" si="19"/>
        <v>#DIV/0!</v>
      </c>
      <c r="X290" s="46"/>
      <c r="Y290" s="74"/>
      <c r="Z290" s="46"/>
      <c r="AD290" s="46"/>
      <c r="AE290" s="46"/>
    </row>
    <row r="291" spans="1:31" s="59" customFormat="1" ht="17.25" customHeight="1">
      <c r="A291" s="59" t="s">
        <v>257</v>
      </c>
      <c r="B291" s="58" t="s">
        <v>338</v>
      </c>
      <c r="C291" s="155" t="s">
        <v>337</v>
      </c>
      <c r="D291" s="58" t="str">
        <f>VLOOKUP(C291,코드!$E$3:$F$30,2,FALSE)</f>
        <v>8639</v>
      </c>
      <c r="E291" s="58" t="str">
        <f t="shared" si="18"/>
        <v>[D-1]</v>
      </c>
      <c r="F291" s="65" t="s">
        <v>484</v>
      </c>
      <c r="G291" s="65" t="s">
        <v>468</v>
      </c>
      <c r="H291" s="66" t="s">
        <v>467</v>
      </c>
      <c r="I291" s="65" t="s">
        <v>481</v>
      </c>
      <c r="J291" s="65" t="s">
        <v>483</v>
      </c>
      <c r="K291" s="72" t="s">
        <v>130</v>
      </c>
      <c r="L291" s="72" t="s">
        <v>17</v>
      </c>
      <c r="M291" s="58">
        <f>VLOOKUP(L291,코드!$B$3:$C$29,2,FALSE)</f>
        <v>4241130</v>
      </c>
      <c r="N291" s="72" t="s">
        <v>422</v>
      </c>
      <c r="O291" s="72" t="s">
        <v>450</v>
      </c>
      <c r="P291" s="75">
        <v>600000</v>
      </c>
      <c r="Q291" s="75">
        <v>8</v>
      </c>
      <c r="R291" s="75">
        <v>2</v>
      </c>
      <c r="S291" s="76">
        <v>4900000</v>
      </c>
      <c r="T291" s="75"/>
      <c r="U291" s="82">
        <f>S291</f>
        <v>4900000</v>
      </c>
      <c r="V291" s="87" t="s">
        <v>153</v>
      </c>
      <c r="W291" s="60">
        <f t="shared" si="19"/>
        <v>1</v>
      </c>
      <c r="X291" s="46"/>
      <c r="Y291" s="74"/>
      <c r="Z291" s="46"/>
      <c r="AD291" s="46"/>
      <c r="AE291" s="46"/>
    </row>
    <row r="292" spans="1:31" s="59" customFormat="1" ht="17.25" customHeight="1">
      <c r="A292" s="59" t="s">
        <v>257</v>
      </c>
      <c r="B292" s="58" t="s">
        <v>338</v>
      </c>
      <c r="C292" s="155" t="s">
        <v>337</v>
      </c>
      <c r="D292" s="58" t="str">
        <f>VLOOKUP(C292,코드!$E$3:$F$30,2,FALSE)</f>
        <v>8639</v>
      </c>
      <c r="E292" s="58" t="str">
        <f t="shared" si="18"/>
        <v>[D-1]</v>
      </c>
      <c r="F292" s="65" t="s">
        <v>455</v>
      </c>
      <c r="G292" s="65" t="s">
        <v>468</v>
      </c>
      <c r="H292" s="66" t="s">
        <v>467</v>
      </c>
      <c r="I292" s="65" t="s">
        <v>481</v>
      </c>
      <c r="J292" s="65" t="s">
        <v>129</v>
      </c>
      <c r="K292" s="72" t="s">
        <v>130</v>
      </c>
      <c r="L292" s="72" t="s">
        <v>17</v>
      </c>
      <c r="M292" s="58">
        <f>VLOOKUP(L292,코드!$B$3:$C$29,2,FALSE)</f>
        <v>4241130</v>
      </c>
      <c r="N292" s="72" t="s">
        <v>262</v>
      </c>
      <c r="O292" s="72" t="s">
        <v>450</v>
      </c>
      <c r="P292" s="75">
        <v>100000</v>
      </c>
      <c r="Q292" s="75">
        <v>20</v>
      </c>
      <c r="R292" s="75">
        <v>2</v>
      </c>
      <c r="S292" s="76">
        <v>1200000</v>
      </c>
      <c r="T292" s="75"/>
      <c r="U292" s="165">
        <v>1200000</v>
      </c>
      <c r="V292" s="71" t="s">
        <v>316</v>
      </c>
      <c r="W292" s="60">
        <f t="shared" si="19"/>
        <v>1</v>
      </c>
      <c r="X292" s="46"/>
      <c r="Y292" s="74"/>
      <c r="Z292" s="46"/>
      <c r="AD292" s="46"/>
      <c r="AE292" s="46"/>
    </row>
    <row r="293" spans="1:31" s="59" customFormat="1" ht="17.25" customHeight="1">
      <c r="A293" s="59" t="s">
        <v>257</v>
      </c>
      <c r="B293" s="58" t="s">
        <v>338</v>
      </c>
      <c r="C293" s="155" t="s">
        <v>337</v>
      </c>
      <c r="D293" s="58" t="str">
        <f>VLOOKUP(C293,코드!$E$3:$F$30,2,FALSE)</f>
        <v>8639</v>
      </c>
      <c r="E293" s="58" t="str">
        <f t="shared" si="18"/>
        <v>[D-1]</v>
      </c>
      <c r="F293" s="65" t="s">
        <v>455</v>
      </c>
      <c r="G293" s="65" t="s">
        <v>468</v>
      </c>
      <c r="H293" s="66" t="s">
        <v>467</v>
      </c>
      <c r="I293" s="65" t="s">
        <v>481</v>
      </c>
      <c r="J293" s="65" t="s">
        <v>482</v>
      </c>
      <c r="K293" s="72" t="s">
        <v>130</v>
      </c>
      <c r="L293" s="72" t="s">
        <v>17</v>
      </c>
      <c r="M293" s="58">
        <f>VLOOKUP(L293,코드!$B$3:$C$29,2,FALSE)</f>
        <v>4241130</v>
      </c>
      <c r="N293" s="72" t="s">
        <v>107</v>
      </c>
      <c r="O293" s="72" t="s">
        <v>450</v>
      </c>
      <c r="P293" s="75"/>
      <c r="Q293" s="75"/>
      <c r="R293" s="75"/>
      <c r="S293" s="76">
        <v>400000</v>
      </c>
      <c r="T293" s="75"/>
      <c r="U293" s="165">
        <v>400000</v>
      </c>
      <c r="V293" s="71" t="s">
        <v>378</v>
      </c>
      <c r="W293" s="60">
        <f t="shared" si="19"/>
        <v>1</v>
      </c>
      <c r="X293" s="46"/>
      <c r="Y293" s="74"/>
      <c r="Z293" s="46"/>
      <c r="AD293" s="46"/>
      <c r="AE293" s="46"/>
    </row>
    <row r="294" spans="1:31" s="59" customFormat="1" ht="17.25" customHeight="1">
      <c r="A294" s="59" t="s">
        <v>257</v>
      </c>
      <c r="B294" s="58" t="s">
        <v>338</v>
      </c>
      <c r="C294" s="155" t="s">
        <v>337</v>
      </c>
      <c r="D294" s="58" t="str">
        <f>VLOOKUP(C294,코드!$E$3:$F$30,2,FALSE)</f>
        <v>8639</v>
      </c>
      <c r="E294" s="58" t="str">
        <f t="shared" si="18"/>
        <v>[D-1]</v>
      </c>
      <c r="F294" s="65" t="s">
        <v>455</v>
      </c>
      <c r="G294" s="65" t="s">
        <v>468</v>
      </c>
      <c r="H294" s="66" t="s">
        <v>467</v>
      </c>
      <c r="I294" s="65" t="s">
        <v>481</v>
      </c>
      <c r="J294" s="65" t="s">
        <v>472</v>
      </c>
      <c r="K294" s="72" t="s">
        <v>130</v>
      </c>
      <c r="L294" s="72" t="s">
        <v>15</v>
      </c>
      <c r="M294" s="58">
        <f>VLOOKUP(L294,코드!$B$3:$C$29,2,FALSE)</f>
        <v>4321701</v>
      </c>
      <c r="N294" s="72" t="s">
        <v>422</v>
      </c>
      <c r="O294" s="72" t="s">
        <v>450</v>
      </c>
      <c r="P294" s="75">
        <v>700000</v>
      </c>
      <c r="Q294" s="75">
        <v>2</v>
      </c>
      <c r="R294" s="75">
        <v>2</v>
      </c>
      <c r="S294" s="76">
        <v>2800000</v>
      </c>
      <c r="T294" s="75"/>
      <c r="U294" s="82">
        <f>S294</f>
        <v>2800000</v>
      </c>
      <c r="V294" s="87" t="s">
        <v>153</v>
      </c>
      <c r="W294" s="60">
        <f t="shared" si="19"/>
        <v>1</v>
      </c>
      <c r="X294" s="46"/>
      <c r="Y294" s="74"/>
      <c r="Z294" s="46"/>
      <c r="AD294" s="46"/>
      <c r="AE294" s="46"/>
    </row>
    <row r="295" spans="1:31" s="59" customFormat="1" ht="17.25" customHeight="1">
      <c r="A295" s="59" t="s">
        <v>257</v>
      </c>
      <c r="B295" s="58" t="s">
        <v>338</v>
      </c>
      <c r="C295" s="155" t="s">
        <v>337</v>
      </c>
      <c r="D295" s="58" t="str">
        <f>VLOOKUP(C295,코드!$E$3:$F$30,2,FALSE)</f>
        <v>8639</v>
      </c>
      <c r="E295" s="58" t="str">
        <f t="shared" si="18"/>
        <v>[D-1]</v>
      </c>
      <c r="F295" s="65" t="s">
        <v>455</v>
      </c>
      <c r="G295" s="65" t="s">
        <v>468</v>
      </c>
      <c r="H295" s="66" t="s">
        <v>467</v>
      </c>
      <c r="I295" s="65" t="s">
        <v>481</v>
      </c>
      <c r="J295" s="65" t="s">
        <v>480</v>
      </c>
      <c r="K295" s="72" t="s">
        <v>101</v>
      </c>
      <c r="L295" s="72" t="s">
        <v>15</v>
      </c>
      <c r="M295" s="58">
        <f>VLOOKUP(L295,코드!$B$3:$C$29,2,FALSE)</f>
        <v>4321701</v>
      </c>
      <c r="N295" s="72" t="s">
        <v>349</v>
      </c>
      <c r="O295" s="130" t="s">
        <v>475</v>
      </c>
      <c r="P295" s="75">
        <v>300000</v>
      </c>
      <c r="Q295" s="75">
        <v>2</v>
      </c>
      <c r="R295" s="75">
        <v>2</v>
      </c>
      <c r="S295" s="161">
        <v>3000000</v>
      </c>
      <c r="T295" s="75"/>
      <c r="U295" s="82">
        <f>S295</f>
        <v>3000000</v>
      </c>
      <c r="V295" s="87" t="s">
        <v>153</v>
      </c>
      <c r="W295" s="60">
        <f t="shared" si="19"/>
        <v>1</v>
      </c>
      <c r="X295" s="46"/>
      <c r="Y295" s="74"/>
      <c r="Z295" s="46"/>
      <c r="AD295" s="46"/>
      <c r="AE295" s="46"/>
    </row>
    <row r="296" spans="1:31" s="59" customFormat="1" ht="17.25" customHeight="1">
      <c r="A296" s="59" t="s">
        <v>257</v>
      </c>
      <c r="B296" s="58" t="s">
        <v>338</v>
      </c>
      <c r="C296" s="155" t="s">
        <v>337</v>
      </c>
      <c r="D296" s="58" t="str">
        <f>VLOOKUP(C296,코드!$E$3:$F$30,2,FALSE)</f>
        <v>8639</v>
      </c>
      <c r="E296" s="58" t="str">
        <f t="shared" si="18"/>
        <v>[D-1]</v>
      </c>
      <c r="F296" s="65" t="s">
        <v>455</v>
      </c>
      <c r="G296" s="65" t="s">
        <v>468</v>
      </c>
      <c r="H296" s="66" t="s">
        <v>467</v>
      </c>
      <c r="I296" s="65" t="s">
        <v>478</v>
      </c>
      <c r="J296" s="65" t="s">
        <v>479</v>
      </c>
      <c r="K296" s="72" t="s">
        <v>130</v>
      </c>
      <c r="L296" s="72" t="s">
        <v>17</v>
      </c>
      <c r="M296" s="58">
        <f>VLOOKUP(L296,코드!$B$3:$C$29,2,FALSE)</f>
        <v>4241130</v>
      </c>
      <c r="N296" s="72" t="s">
        <v>262</v>
      </c>
      <c r="O296" s="72" t="s">
        <v>450</v>
      </c>
      <c r="P296" s="75">
        <v>200000</v>
      </c>
      <c r="Q296" s="75">
        <v>20</v>
      </c>
      <c r="R296" s="75">
        <v>2</v>
      </c>
      <c r="S296" s="76">
        <v>7000000</v>
      </c>
      <c r="T296" s="75"/>
      <c r="U296" s="82">
        <f>S296</f>
        <v>7000000</v>
      </c>
      <c r="V296" s="87" t="s">
        <v>153</v>
      </c>
      <c r="W296" s="60">
        <f t="shared" ref="W296:W331" si="20">U296/S296</f>
        <v>1</v>
      </c>
      <c r="X296" s="46"/>
      <c r="Y296" s="74"/>
      <c r="Z296" s="46"/>
      <c r="AD296" s="46"/>
      <c r="AE296" s="46"/>
    </row>
    <row r="297" spans="1:31" s="59" customFormat="1" ht="17.25" customHeight="1">
      <c r="A297" s="59" t="s">
        <v>257</v>
      </c>
      <c r="B297" s="58" t="s">
        <v>338</v>
      </c>
      <c r="C297" s="155" t="s">
        <v>337</v>
      </c>
      <c r="D297" s="58" t="str">
        <f>VLOOKUP(C297,코드!$E$3:$F$30,2,FALSE)</f>
        <v>8639</v>
      </c>
      <c r="E297" s="58" t="str">
        <f t="shared" si="18"/>
        <v>[D-1]</v>
      </c>
      <c r="F297" s="65" t="s">
        <v>455</v>
      </c>
      <c r="G297" s="65" t="s">
        <v>468</v>
      </c>
      <c r="H297" s="66" t="s">
        <v>467</v>
      </c>
      <c r="I297" s="65" t="s">
        <v>478</v>
      </c>
      <c r="J297" s="65" t="s">
        <v>477</v>
      </c>
      <c r="K297" s="72" t="s">
        <v>130</v>
      </c>
      <c r="L297" s="72" t="s">
        <v>17</v>
      </c>
      <c r="M297" s="58">
        <f>VLOOKUP(L297,코드!$B$3:$C$29,2,FALSE)</f>
        <v>4241130</v>
      </c>
      <c r="N297" s="72" t="s">
        <v>356</v>
      </c>
      <c r="O297" s="72" t="s">
        <v>450</v>
      </c>
      <c r="P297" s="75"/>
      <c r="Q297" s="75"/>
      <c r="R297" s="75"/>
      <c r="S297" s="76">
        <v>400000</v>
      </c>
      <c r="T297" s="75"/>
      <c r="U297" s="165">
        <v>400000</v>
      </c>
      <c r="V297" s="71" t="s">
        <v>378</v>
      </c>
      <c r="W297" s="60">
        <f t="shared" si="20"/>
        <v>1</v>
      </c>
      <c r="X297" s="46"/>
      <c r="Y297" s="74"/>
      <c r="Z297" s="46"/>
      <c r="AD297" s="46"/>
      <c r="AE297" s="46"/>
    </row>
    <row r="298" spans="1:31" s="59" customFormat="1" ht="17.25" customHeight="1">
      <c r="A298" s="59" t="s">
        <v>257</v>
      </c>
      <c r="B298" s="58" t="s">
        <v>338</v>
      </c>
      <c r="C298" s="155" t="s">
        <v>337</v>
      </c>
      <c r="D298" s="58" t="str">
        <f>VLOOKUP(C298,코드!$E$3:$F$30,2,FALSE)</f>
        <v>8639</v>
      </c>
      <c r="E298" s="58" t="str">
        <f t="shared" si="18"/>
        <v>[D-1]</v>
      </c>
      <c r="F298" s="65" t="s">
        <v>455</v>
      </c>
      <c r="G298" s="65" t="s">
        <v>468</v>
      </c>
      <c r="H298" s="66" t="s">
        <v>467</v>
      </c>
      <c r="I298" s="65" t="s">
        <v>473</v>
      </c>
      <c r="J298" s="65" t="s">
        <v>476</v>
      </c>
      <c r="K298" s="72" t="s">
        <v>101</v>
      </c>
      <c r="L298" s="72" t="s">
        <v>15</v>
      </c>
      <c r="M298" s="58">
        <f>VLOOKUP(L298,코드!$B$3:$C$29,2,FALSE)</f>
        <v>4321701</v>
      </c>
      <c r="N298" s="72" t="s">
        <v>100</v>
      </c>
      <c r="O298" s="130" t="s">
        <v>475</v>
      </c>
      <c r="P298" s="75">
        <v>1000000</v>
      </c>
      <c r="Q298" s="75">
        <v>20</v>
      </c>
      <c r="R298" s="75">
        <v>2</v>
      </c>
      <c r="S298" s="76">
        <v>37600000</v>
      </c>
      <c r="T298" s="75"/>
      <c r="U298" s="82">
        <f>S298</f>
        <v>37600000</v>
      </c>
      <c r="V298" s="87" t="s">
        <v>153</v>
      </c>
      <c r="W298" s="60">
        <f t="shared" si="20"/>
        <v>1</v>
      </c>
      <c r="X298" s="46"/>
      <c r="Y298" s="74"/>
      <c r="Z298" s="46"/>
      <c r="AD298" s="46"/>
      <c r="AE298" s="46"/>
    </row>
    <row r="299" spans="1:31" s="59" customFormat="1" ht="17.25" customHeight="1">
      <c r="A299" s="59" t="s">
        <v>257</v>
      </c>
      <c r="B299" s="58" t="s">
        <v>338</v>
      </c>
      <c r="C299" s="155" t="s">
        <v>337</v>
      </c>
      <c r="D299" s="58" t="str">
        <f>VLOOKUP(C299,코드!$E$3:$F$30,2,FALSE)</f>
        <v>8639</v>
      </c>
      <c r="E299" s="58" t="str">
        <f t="shared" si="18"/>
        <v>[D-1]</v>
      </c>
      <c r="F299" s="65" t="s">
        <v>455</v>
      </c>
      <c r="G299" s="65" t="s">
        <v>468</v>
      </c>
      <c r="H299" s="66" t="s">
        <v>467</v>
      </c>
      <c r="I299" s="65" t="s">
        <v>473</v>
      </c>
      <c r="J299" s="65" t="s">
        <v>474</v>
      </c>
      <c r="K299" s="72" t="s">
        <v>130</v>
      </c>
      <c r="L299" s="72" t="s">
        <v>17</v>
      </c>
      <c r="M299" s="58">
        <f>VLOOKUP(L299,코드!$B$3:$C$29,2,FALSE)</f>
        <v>4241130</v>
      </c>
      <c r="N299" s="72" t="s">
        <v>232</v>
      </c>
      <c r="O299" s="72" t="s">
        <v>450</v>
      </c>
      <c r="P299" s="75"/>
      <c r="Q299" s="75"/>
      <c r="R299" s="75"/>
      <c r="S299" s="161">
        <v>4700000</v>
      </c>
      <c r="T299" s="75"/>
      <c r="U299" s="82">
        <f>S299</f>
        <v>4700000</v>
      </c>
      <c r="V299" s="87" t="s">
        <v>153</v>
      </c>
      <c r="W299" s="60">
        <f t="shared" si="20"/>
        <v>1</v>
      </c>
      <c r="X299" s="46"/>
      <c r="Y299" s="74"/>
      <c r="Z299" s="46"/>
      <c r="AD299" s="46"/>
      <c r="AE299" s="46"/>
    </row>
    <row r="300" spans="1:31" s="59" customFormat="1" ht="17.25" customHeight="1">
      <c r="A300" s="59" t="s">
        <v>257</v>
      </c>
      <c r="B300" s="58" t="s">
        <v>338</v>
      </c>
      <c r="C300" s="155" t="s">
        <v>337</v>
      </c>
      <c r="D300" s="58" t="str">
        <f>VLOOKUP(C300,코드!$E$3:$F$30,2,FALSE)</f>
        <v>8639</v>
      </c>
      <c r="E300" s="58" t="str">
        <f t="shared" si="18"/>
        <v>[D-1]</v>
      </c>
      <c r="F300" s="65" t="s">
        <v>455</v>
      </c>
      <c r="G300" s="65" t="s">
        <v>468</v>
      </c>
      <c r="H300" s="66" t="s">
        <v>467</v>
      </c>
      <c r="I300" s="65" t="s">
        <v>473</v>
      </c>
      <c r="J300" s="65" t="s">
        <v>472</v>
      </c>
      <c r="K300" s="72" t="s">
        <v>130</v>
      </c>
      <c r="L300" s="72" t="s">
        <v>15</v>
      </c>
      <c r="M300" s="58">
        <f>VLOOKUP(L300,코드!$B$3:$C$29,2,FALSE)</f>
        <v>4321701</v>
      </c>
      <c r="N300" s="72" t="s">
        <v>422</v>
      </c>
      <c r="O300" s="72" t="s">
        <v>450</v>
      </c>
      <c r="P300" s="75">
        <v>700000</v>
      </c>
      <c r="Q300" s="75">
        <v>3</v>
      </c>
      <c r="R300" s="75">
        <v>2</v>
      </c>
      <c r="S300" s="76">
        <v>4200000</v>
      </c>
      <c r="T300" s="75"/>
      <c r="U300" s="82">
        <f>S300</f>
        <v>4200000</v>
      </c>
      <c r="V300" s="87" t="s">
        <v>153</v>
      </c>
      <c r="W300" s="60">
        <f t="shared" si="20"/>
        <v>1</v>
      </c>
      <c r="X300" s="46"/>
      <c r="Y300" s="74"/>
      <c r="Z300" s="46"/>
      <c r="AD300" s="46"/>
      <c r="AE300" s="46"/>
    </row>
    <row r="301" spans="1:31" s="59" customFormat="1" ht="17.25" customHeight="1">
      <c r="A301" s="59" t="s">
        <v>257</v>
      </c>
      <c r="B301" s="58" t="s">
        <v>338</v>
      </c>
      <c r="C301" s="155" t="s">
        <v>337</v>
      </c>
      <c r="D301" s="58" t="str">
        <f>VLOOKUP(C301,코드!$E$3:$F$30,2,FALSE)</f>
        <v>8639</v>
      </c>
      <c r="E301" s="58" t="str">
        <f t="shared" si="18"/>
        <v>[D-1]</v>
      </c>
      <c r="F301" s="65" t="s">
        <v>455</v>
      </c>
      <c r="G301" s="65" t="s">
        <v>468</v>
      </c>
      <c r="H301" s="66" t="s">
        <v>467</v>
      </c>
      <c r="I301" s="70" t="s">
        <v>470</v>
      </c>
      <c r="J301" s="70" t="s">
        <v>471</v>
      </c>
      <c r="K301" s="69" t="s">
        <v>84</v>
      </c>
      <c r="L301" s="68" t="s">
        <v>97</v>
      </c>
      <c r="M301" s="68">
        <f>VLOOKUP(L301,코드!$B$3:$C$29,2,FALSE)</f>
        <v>4125101</v>
      </c>
      <c r="N301" s="69" t="s">
        <v>96</v>
      </c>
      <c r="O301" s="68" t="s">
        <v>68</v>
      </c>
      <c r="P301" s="75"/>
      <c r="Q301" s="75"/>
      <c r="R301" s="75"/>
      <c r="S301" s="64">
        <v>30000000</v>
      </c>
      <c r="T301" s="75"/>
      <c r="U301" s="63">
        <v>30000000</v>
      </c>
      <c r="V301" s="61" t="s">
        <v>67</v>
      </c>
      <c r="W301" s="60">
        <f t="shared" si="20"/>
        <v>1</v>
      </c>
      <c r="X301" s="46"/>
      <c r="Y301" s="74"/>
      <c r="Z301" s="46"/>
      <c r="AD301" s="46"/>
      <c r="AE301" s="46"/>
    </row>
    <row r="302" spans="1:31" s="59" customFormat="1" ht="17.25" customHeight="1">
      <c r="A302" s="59" t="s">
        <v>257</v>
      </c>
      <c r="B302" s="58" t="s">
        <v>338</v>
      </c>
      <c r="C302" s="155" t="s">
        <v>337</v>
      </c>
      <c r="D302" s="58" t="str">
        <f>VLOOKUP(C302,코드!$E$3:$F$30,2,FALSE)</f>
        <v>8639</v>
      </c>
      <c r="E302" s="58" t="str">
        <f t="shared" si="18"/>
        <v>[D-1]</v>
      </c>
      <c r="F302" s="65" t="s">
        <v>455</v>
      </c>
      <c r="G302" s="65" t="s">
        <v>468</v>
      </c>
      <c r="H302" s="66" t="s">
        <v>467</v>
      </c>
      <c r="I302" s="70" t="s">
        <v>470</v>
      </c>
      <c r="J302" s="70" t="s">
        <v>469</v>
      </c>
      <c r="K302" s="69" t="s">
        <v>84</v>
      </c>
      <c r="L302" s="68" t="s">
        <v>97</v>
      </c>
      <c r="M302" s="68">
        <f>VLOOKUP(L302,코드!$B$3:$C$29,2,FALSE)</f>
        <v>4125101</v>
      </c>
      <c r="N302" s="69" t="s">
        <v>96</v>
      </c>
      <c r="O302" s="68" t="s">
        <v>68</v>
      </c>
      <c r="P302" s="75"/>
      <c r="Q302" s="75"/>
      <c r="R302" s="75"/>
      <c r="S302" s="64">
        <v>30000000</v>
      </c>
      <c r="T302" s="75"/>
      <c r="U302" s="63">
        <v>30000000</v>
      </c>
      <c r="V302" s="61" t="s">
        <v>67</v>
      </c>
      <c r="W302" s="60">
        <f t="shared" si="20"/>
        <v>1</v>
      </c>
      <c r="X302" s="46"/>
      <c r="Y302" s="74"/>
      <c r="Z302" s="46"/>
      <c r="AD302" s="46"/>
      <c r="AE302" s="46"/>
    </row>
    <row r="303" spans="1:31" s="59" customFormat="1" ht="17.25" customHeight="1">
      <c r="A303" s="59" t="s">
        <v>257</v>
      </c>
      <c r="B303" s="58" t="s">
        <v>338</v>
      </c>
      <c r="C303" s="155" t="s">
        <v>337</v>
      </c>
      <c r="D303" s="58" t="str">
        <f>VLOOKUP(C303,코드!$E$3:$F$30,2,FALSE)</f>
        <v>8639</v>
      </c>
      <c r="E303" s="58" t="str">
        <f t="shared" si="18"/>
        <v>[D-1]</v>
      </c>
      <c r="F303" s="65" t="s">
        <v>455</v>
      </c>
      <c r="G303" s="65" t="s">
        <v>468</v>
      </c>
      <c r="H303" s="66" t="s">
        <v>467</v>
      </c>
      <c r="I303" s="65" t="s">
        <v>466</v>
      </c>
      <c r="J303" s="65" t="s">
        <v>465</v>
      </c>
      <c r="K303" s="72" t="s">
        <v>205</v>
      </c>
      <c r="L303" s="72" t="s">
        <v>20</v>
      </c>
      <c r="M303" s="58">
        <f>VLOOKUP(L303,코드!$B$3:$C$29,2,FALSE)</f>
        <v>4211402</v>
      </c>
      <c r="N303" s="72"/>
      <c r="O303" s="130"/>
      <c r="P303" s="75"/>
      <c r="Q303" s="75"/>
      <c r="R303" s="75"/>
      <c r="S303" s="76">
        <v>0</v>
      </c>
      <c r="T303" s="75"/>
      <c r="U303" s="78">
        <v>0</v>
      </c>
      <c r="V303" s="71"/>
      <c r="W303" s="60" t="e">
        <f t="shared" si="20"/>
        <v>#DIV/0!</v>
      </c>
      <c r="X303" s="46"/>
      <c r="Y303" s="74"/>
      <c r="Z303" s="46"/>
      <c r="AD303" s="46"/>
      <c r="AE303" s="46"/>
    </row>
    <row r="304" spans="1:31" s="59" customFormat="1" ht="17.25" customHeight="1">
      <c r="A304" s="59" t="s">
        <v>257</v>
      </c>
      <c r="B304" s="58" t="s">
        <v>338</v>
      </c>
      <c r="C304" s="155" t="s">
        <v>337</v>
      </c>
      <c r="D304" s="58" t="str">
        <f>VLOOKUP(C304,코드!$E$3:$F$30,2,FALSE)</f>
        <v>8639</v>
      </c>
      <c r="E304" s="58" t="str">
        <f t="shared" si="18"/>
        <v>[D-1]</v>
      </c>
      <c r="F304" s="65" t="s">
        <v>455</v>
      </c>
      <c r="G304" s="65" t="s">
        <v>457</v>
      </c>
      <c r="H304" s="66" t="s">
        <v>461</v>
      </c>
      <c r="I304" s="65" t="s">
        <v>464</v>
      </c>
      <c r="J304" s="65" t="s">
        <v>463</v>
      </c>
      <c r="K304" s="72" t="s">
        <v>130</v>
      </c>
      <c r="L304" s="72" t="s">
        <v>17</v>
      </c>
      <c r="M304" s="58">
        <f>VLOOKUP(L304,코드!$B$3:$C$29,2,FALSE)</f>
        <v>4241130</v>
      </c>
      <c r="N304" s="72" t="s">
        <v>262</v>
      </c>
      <c r="O304" s="72" t="s">
        <v>450</v>
      </c>
      <c r="P304" s="75">
        <v>10000</v>
      </c>
      <c r="Q304" s="75">
        <v>100</v>
      </c>
      <c r="R304" s="75">
        <v>3</v>
      </c>
      <c r="S304" s="76">
        <v>0</v>
      </c>
      <c r="T304" s="75"/>
      <c r="U304" s="78">
        <v>0</v>
      </c>
      <c r="V304" s="71"/>
      <c r="W304" s="60" t="e">
        <f t="shared" si="20"/>
        <v>#DIV/0!</v>
      </c>
      <c r="X304" s="46"/>
      <c r="Y304" s="74"/>
      <c r="Z304" s="46"/>
      <c r="AD304" s="46"/>
      <c r="AE304" s="46"/>
    </row>
    <row r="305" spans="1:31" s="59" customFormat="1" ht="17.25" customHeight="1">
      <c r="A305" s="59" t="s">
        <v>257</v>
      </c>
      <c r="B305" s="58" t="s">
        <v>338</v>
      </c>
      <c r="C305" s="155" t="s">
        <v>337</v>
      </c>
      <c r="D305" s="58" t="str">
        <f>VLOOKUP(C305,코드!$E$3:$F$30,2,FALSE)</f>
        <v>8639</v>
      </c>
      <c r="E305" s="58" t="str">
        <f t="shared" si="18"/>
        <v>[D-1]</v>
      </c>
      <c r="F305" s="65" t="s">
        <v>455</v>
      </c>
      <c r="G305" s="65" t="s">
        <v>457</v>
      </c>
      <c r="H305" s="66" t="s">
        <v>461</v>
      </c>
      <c r="I305" s="65" t="s">
        <v>460</v>
      </c>
      <c r="J305" s="65" t="s">
        <v>462</v>
      </c>
      <c r="K305" s="72" t="s">
        <v>130</v>
      </c>
      <c r="L305" s="72" t="s">
        <v>17</v>
      </c>
      <c r="M305" s="58">
        <f>VLOOKUP(L305,코드!$B$3:$C$29,2,FALSE)</f>
        <v>4241130</v>
      </c>
      <c r="N305" s="72" t="s">
        <v>262</v>
      </c>
      <c r="O305" s="72" t="s">
        <v>450</v>
      </c>
      <c r="P305" s="75">
        <v>4500</v>
      </c>
      <c r="Q305" s="75">
        <v>1600</v>
      </c>
      <c r="R305" s="75">
        <v>1</v>
      </c>
      <c r="S305" s="76">
        <v>7200000</v>
      </c>
      <c r="T305" s="75"/>
      <c r="U305" s="82">
        <f>S305</f>
        <v>7200000</v>
      </c>
      <c r="V305" s="87" t="s">
        <v>153</v>
      </c>
      <c r="W305" s="60">
        <f t="shared" si="20"/>
        <v>1</v>
      </c>
      <c r="X305" s="46"/>
      <c r="Y305" s="74"/>
      <c r="Z305" s="46"/>
      <c r="AD305" s="46"/>
      <c r="AE305" s="46"/>
    </row>
    <row r="306" spans="1:31" s="59" customFormat="1" ht="17.25" customHeight="1">
      <c r="A306" s="59" t="s">
        <v>257</v>
      </c>
      <c r="B306" s="58" t="s">
        <v>338</v>
      </c>
      <c r="C306" s="155" t="s">
        <v>337</v>
      </c>
      <c r="D306" s="58" t="str">
        <f>VLOOKUP(C306,코드!$E$3:$F$30,2,FALSE)</f>
        <v>8639</v>
      </c>
      <c r="E306" s="58" t="str">
        <f t="shared" si="18"/>
        <v>[D-1]</v>
      </c>
      <c r="F306" s="65" t="s">
        <v>455</v>
      </c>
      <c r="G306" s="65" t="s">
        <v>457</v>
      </c>
      <c r="H306" s="66" t="s">
        <v>461</v>
      </c>
      <c r="I306" s="65" t="s">
        <v>460</v>
      </c>
      <c r="J306" s="65" t="s">
        <v>459</v>
      </c>
      <c r="K306" s="72" t="s">
        <v>130</v>
      </c>
      <c r="L306" s="72" t="s">
        <v>17</v>
      </c>
      <c r="M306" s="58">
        <f>VLOOKUP(L306,코드!$B$3:$C$29,2,FALSE)</f>
        <v>4241130</v>
      </c>
      <c r="N306" s="72" t="s">
        <v>262</v>
      </c>
      <c r="O306" s="72" t="s">
        <v>450</v>
      </c>
      <c r="P306" s="75">
        <v>30000</v>
      </c>
      <c r="Q306" s="75">
        <v>20</v>
      </c>
      <c r="R306" s="75">
        <v>3</v>
      </c>
      <c r="S306" s="76">
        <v>1800000</v>
      </c>
      <c r="T306" s="75"/>
      <c r="U306" s="82">
        <f>S306</f>
        <v>1800000</v>
      </c>
      <c r="V306" s="87" t="s">
        <v>153</v>
      </c>
      <c r="W306" s="60">
        <f t="shared" si="20"/>
        <v>1</v>
      </c>
      <c r="X306" s="46"/>
      <c r="Y306" s="74"/>
      <c r="Z306" s="46"/>
      <c r="AD306" s="46"/>
      <c r="AE306" s="46"/>
    </row>
    <row r="307" spans="1:31" s="59" customFormat="1" ht="17.25" customHeight="1">
      <c r="A307" s="59" t="s">
        <v>257</v>
      </c>
      <c r="B307" s="58" t="s">
        <v>338</v>
      </c>
      <c r="C307" s="155" t="s">
        <v>337</v>
      </c>
      <c r="D307" s="58" t="str">
        <f>VLOOKUP(C307,코드!$E$3:$F$30,2,FALSE)</f>
        <v>8639</v>
      </c>
      <c r="E307" s="58" t="str">
        <f t="shared" si="18"/>
        <v>[D-1]</v>
      </c>
      <c r="F307" s="65" t="s">
        <v>455</v>
      </c>
      <c r="G307" s="65" t="s">
        <v>457</v>
      </c>
      <c r="H307" s="66" t="s">
        <v>453</v>
      </c>
      <c r="I307" s="65" t="s">
        <v>452</v>
      </c>
      <c r="J307" s="65" t="s">
        <v>458</v>
      </c>
      <c r="K307" s="72" t="s">
        <v>130</v>
      </c>
      <c r="L307" s="72" t="s">
        <v>17</v>
      </c>
      <c r="M307" s="58">
        <f>VLOOKUP(L307,코드!$B$3:$C$29,2,FALSE)</f>
        <v>4241130</v>
      </c>
      <c r="N307" s="72" t="s">
        <v>356</v>
      </c>
      <c r="O307" s="72" t="s">
        <v>450</v>
      </c>
      <c r="P307" s="75">
        <v>400000</v>
      </c>
      <c r="Q307" s="75">
        <v>6</v>
      </c>
      <c r="R307" s="75">
        <v>2</v>
      </c>
      <c r="S307" s="158">
        <v>3000000</v>
      </c>
      <c r="T307" s="157"/>
      <c r="U307" s="82">
        <f>S307</f>
        <v>3000000</v>
      </c>
      <c r="V307" s="87" t="s">
        <v>153</v>
      </c>
      <c r="W307" s="60">
        <f t="shared" si="20"/>
        <v>1</v>
      </c>
      <c r="X307" s="46"/>
      <c r="Y307" s="74"/>
      <c r="Z307" s="46"/>
      <c r="AD307" s="46"/>
      <c r="AE307" s="46"/>
    </row>
    <row r="308" spans="1:31" s="59" customFormat="1" ht="17.25" customHeight="1">
      <c r="A308" s="59" t="s">
        <v>257</v>
      </c>
      <c r="B308" s="58" t="s">
        <v>338</v>
      </c>
      <c r="C308" s="155" t="s">
        <v>337</v>
      </c>
      <c r="D308" s="58" t="str">
        <f>VLOOKUP(C308,코드!$E$3:$F$30,2,FALSE)</f>
        <v>8639</v>
      </c>
      <c r="E308" s="58" t="str">
        <f t="shared" si="18"/>
        <v>[D-1]</v>
      </c>
      <c r="F308" s="65" t="s">
        <v>455</v>
      </c>
      <c r="G308" s="65" t="s">
        <v>457</v>
      </c>
      <c r="H308" s="66" t="s">
        <v>453</v>
      </c>
      <c r="I308" s="65" t="s">
        <v>452</v>
      </c>
      <c r="J308" s="65" t="s">
        <v>456</v>
      </c>
      <c r="K308" s="72" t="s">
        <v>130</v>
      </c>
      <c r="L308" s="72" t="s">
        <v>17</v>
      </c>
      <c r="M308" s="58">
        <f>VLOOKUP(L308,코드!$B$3:$C$29,2,FALSE)</f>
        <v>4241130</v>
      </c>
      <c r="N308" s="72" t="s">
        <v>262</v>
      </c>
      <c r="O308" s="72" t="s">
        <v>450</v>
      </c>
      <c r="P308" s="75">
        <v>60000</v>
      </c>
      <c r="Q308" s="75">
        <v>10</v>
      </c>
      <c r="R308" s="75">
        <v>4</v>
      </c>
      <c r="S308" s="158">
        <v>4840000</v>
      </c>
      <c r="T308" s="157"/>
      <c r="U308" s="82">
        <f>S308</f>
        <v>4840000</v>
      </c>
      <c r="V308" s="87" t="s">
        <v>153</v>
      </c>
      <c r="W308" s="60">
        <f t="shared" si="20"/>
        <v>1</v>
      </c>
      <c r="X308" s="46"/>
      <c r="Y308" s="74"/>
      <c r="Z308" s="46"/>
      <c r="AD308" s="46"/>
      <c r="AE308" s="46"/>
    </row>
    <row r="309" spans="1:31" s="59" customFormat="1" ht="17.25" customHeight="1">
      <c r="A309" s="59" t="s">
        <v>257</v>
      </c>
      <c r="B309" s="58" t="s">
        <v>338</v>
      </c>
      <c r="C309" s="155" t="s">
        <v>337</v>
      </c>
      <c r="D309" s="58" t="str">
        <f>VLOOKUP(C309,코드!$E$3:$F$30,2,FALSE)</f>
        <v>8639</v>
      </c>
      <c r="E309" s="58" t="str">
        <f t="shared" si="18"/>
        <v>[D-1]</v>
      </c>
      <c r="F309" s="65" t="s">
        <v>455</v>
      </c>
      <c r="G309" s="65" t="s">
        <v>454</v>
      </c>
      <c r="H309" s="66" t="s">
        <v>453</v>
      </c>
      <c r="I309" s="65" t="s">
        <v>452</v>
      </c>
      <c r="J309" s="65" t="s">
        <v>451</v>
      </c>
      <c r="K309" s="72" t="s">
        <v>130</v>
      </c>
      <c r="L309" s="72" t="s">
        <v>17</v>
      </c>
      <c r="M309" s="58">
        <f>VLOOKUP(L309,코드!$B$3:$C$29,2,FALSE)</f>
        <v>4241130</v>
      </c>
      <c r="N309" s="72" t="s">
        <v>262</v>
      </c>
      <c r="O309" s="72" t="s">
        <v>450</v>
      </c>
      <c r="P309" s="75"/>
      <c r="Q309" s="75"/>
      <c r="R309" s="75"/>
      <c r="S309" s="158">
        <v>160000</v>
      </c>
      <c r="T309" s="157"/>
      <c r="U309" s="78">
        <v>160000</v>
      </c>
      <c r="V309" s="71"/>
      <c r="W309" s="60">
        <f t="shared" si="20"/>
        <v>1</v>
      </c>
      <c r="X309" s="46"/>
      <c r="Y309" s="74"/>
      <c r="Z309" s="46"/>
      <c r="AD309" s="46"/>
      <c r="AE309" s="46"/>
    </row>
    <row r="310" spans="1:31" s="59" customFormat="1" ht="17.25" customHeight="1">
      <c r="A310" s="59" t="s">
        <v>257</v>
      </c>
      <c r="B310" s="58" t="s">
        <v>338</v>
      </c>
      <c r="C310" s="155" t="s">
        <v>337</v>
      </c>
      <c r="D310" s="58" t="str">
        <f>VLOOKUP(C310,코드!$E$3:$F$30,2,FALSE)</f>
        <v>8639</v>
      </c>
      <c r="E310" s="58" t="str">
        <f t="shared" si="18"/>
        <v>[D-2]</v>
      </c>
      <c r="F310" s="65" t="s">
        <v>402</v>
      </c>
      <c r="G310" s="65" t="s">
        <v>448</v>
      </c>
      <c r="H310" s="66" t="s">
        <v>447</v>
      </c>
      <c r="I310" s="65" t="s">
        <v>443</v>
      </c>
      <c r="J310" s="65" t="s">
        <v>449</v>
      </c>
      <c r="K310" s="72" t="s">
        <v>130</v>
      </c>
      <c r="L310" s="72" t="s">
        <v>17</v>
      </c>
      <c r="M310" s="58">
        <f>VLOOKUP(L310,코드!$B$3:$C$29,2,FALSE)</f>
        <v>4241130</v>
      </c>
      <c r="N310" s="72" t="s">
        <v>262</v>
      </c>
      <c r="O310" s="130" t="s">
        <v>397</v>
      </c>
      <c r="P310" s="75">
        <v>40000</v>
      </c>
      <c r="Q310" s="75">
        <v>10</v>
      </c>
      <c r="R310" s="75">
        <v>5</v>
      </c>
      <c r="S310" s="76">
        <v>900000</v>
      </c>
      <c r="T310" s="75"/>
      <c r="U310" s="78">
        <v>900000</v>
      </c>
      <c r="V310" s="71" t="s">
        <v>316</v>
      </c>
      <c r="W310" s="60">
        <f t="shared" si="20"/>
        <v>1</v>
      </c>
      <c r="X310" s="46"/>
      <c r="Y310" s="74"/>
      <c r="Z310" s="46"/>
      <c r="AD310" s="46"/>
      <c r="AE310" s="46"/>
    </row>
    <row r="311" spans="1:31" s="59" customFormat="1" ht="17.25" customHeight="1">
      <c r="A311" s="59" t="s">
        <v>257</v>
      </c>
      <c r="B311" s="58" t="s">
        <v>338</v>
      </c>
      <c r="C311" s="155" t="s">
        <v>337</v>
      </c>
      <c r="D311" s="58" t="str">
        <f>VLOOKUP(C311,코드!$E$3:$F$30,2,FALSE)</f>
        <v>8639</v>
      </c>
      <c r="E311" s="58" t="str">
        <f t="shared" si="18"/>
        <v>[D-2]</v>
      </c>
      <c r="F311" s="65" t="s">
        <v>402</v>
      </c>
      <c r="G311" s="65" t="s">
        <v>448</v>
      </c>
      <c r="H311" s="66" t="s">
        <v>447</v>
      </c>
      <c r="I311" s="65" t="s">
        <v>443</v>
      </c>
      <c r="J311" s="65" t="s">
        <v>446</v>
      </c>
      <c r="K311" s="72" t="s">
        <v>130</v>
      </c>
      <c r="L311" s="72" t="s">
        <v>17</v>
      </c>
      <c r="M311" s="58">
        <f>VLOOKUP(L311,코드!$B$3:$C$29,2,FALSE)</f>
        <v>4241130</v>
      </c>
      <c r="N311" s="72" t="s">
        <v>103</v>
      </c>
      <c r="O311" s="130" t="s">
        <v>397</v>
      </c>
      <c r="P311" s="75"/>
      <c r="Q311" s="75"/>
      <c r="R311" s="75"/>
      <c r="S311" s="76">
        <v>100000</v>
      </c>
      <c r="T311" s="75"/>
      <c r="U311" s="78">
        <v>100000</v>
      </c>
      <c r="V311" s="71" t="s">
        <v>316</v>
      </c>
      <c r="W311" s="60">
        <f t="shared" si="20"/>
        <v>1</v>
      </c>
      <c r="X311" s="46"/>
      <c r="Y311" s="74"/>
      <c r="Z311" s="46"/>
      <c r="AD311" s="46"/>
      <c r="AE311" s="46"/>
    </row>
    <row r="312" spans="1:31" s="59" customFormat="1" ht="17.25" customHeight="1">
      <c r="A312" s="59" t="s">
        <v>257</v>
      </c>
      <c r="B312" s="58" t="s">
        <v>338</v>
      </c>
      <c r="C312" s="155" t="s">
        <v>337</v>
      </c>
      <c r="D312" s="58" t="str">
        <f>VLOOKUP(C312,코드!$E$3:$F$30,2,FALSE)</f>
        <v>8639</v>
      </c>
      <c r="E312" s="58" t="str">
        <f t="shared" si="18"/>
        <v>[D-2]</v>
      </c>
      <c r="F312" s="65" t="s">
        <v>402</v>
      </c>
      <c r="G312" s="65" t="s">
        <v>445</v>
      </c>
      <c r="H312" s="66" t="s">
        <v>444</v>
      </c>
      <c r="I312" s="65" t="s">
        <v>443</v>
      </c>
      <c r="J312" s="65" t="s">
        <v>442</v>
      </c>
      <c r="K312" s="72" t="s">
        <v>130</v>
      </c>
      <c r="L312" s="72" t="s">
        <v>18</v>
      </c>
      <c r="M312" s="58">
        <f>VLOOKUP(L312,코드!$B$3:$C$29,2,FALSE)</f>
        <v>4233201</v>
      </c>
      <c r="N312" s="72" t="s">
        <v>266</v>
      </c>
      <c r="O312" s="130" t="s">
        <v>397</v>
      </c>
      <c r="P312" s="75">
        <v>15000000</v>
      </c>
      <c r="Q312" s="75">
        <v>2</v>
      </c>
      <c r="R312" s="75">
        <v>1</v>
      </c>
      <c r="S312" s="158">
        <v>10000000</v>
      </c>
      <c r="T312" s="164"/>
      <c r="U312" s="156">
        <v>10000000</v>
      </c>
      <c r="V312" s="174" t="s">
        <v>316</v>
      </c>
      <c r="W312" s="60">
        <f t="shared" si="20"/>
        <v>1</v>
      </c>
      <c r="X312" s="46" t="s">
        <v>441</v>
      </c>
      <c r="Y312" s="74"/>
      <c r="Z312" s="46"/>
      <c r="AD312" s="46"/>
      <c r="AE312" s="46"/>
    </row>
    <row r="313" spans="1:31" s="59" customFormat="1" ht="17.25" customHeight="1">
      <c r="A313" s="59" t="s">
        <v>257</v>
      </c>
      <c r="B313" s="58" t="s">
        <v>338</v>
      </c>
      <c r="C313" s="155" t="s">
        <v>337</v>
      </c>
      <c r="D313" s="58" t="str">
        <f>VLOOKUP(C313,코드!$E$3:$F$30,2,FALSE)</f>
        <v>8639</v>
      </c>
      <c r="E313" s="58" t="str">
        <f t="shared" si="18"/>
        <v>[D-2]</v>
      </c>
      <c r="F313" s="65" t="s">
        <v>402</v>
      </c>
      <c r="G313" s="65" t="s">
        <v>416</v>
      </c>
      <c r="H313" s="66" t="s">
        <v>438</v>
      </c>
      <c r="I313" s="65" t="s">
        <v>440</v>
      </c>
      <c r="J313" s="65" t="s">
        <v>439</v>
      </c>
      <c r="K313" s="72" t="s">
        <v>130</v>
      </c>
      <c r="L313" s="72" t="s">
        <v>17</v>
      </c>
      <c r="M313" s="58">
        <f>VLOOKUP(L313,코드!$B$3:$C$29,2,FALSE)</f>
        <v>4241130</v>
      </c>
      <c r="N313" s="72" t="s">
        <v>262</v>
      </c>
      <c r="O313" s="130" t="s">
        <v>397</v>
      </c>
      <c r="P313" s="75">
        <v>500000</v>
      </c>
      <c r="Q313" s="75">
        <v>5</v>
      </c>
      <c r="R313" s="75">
        <v>2</v>
      </c>
      <c r="S313" s="76">
        <v>5050000</v>
      </c>
      <c r="T313" s="75"/>
      <c r="U313" s="82">
        <f>S313</f>
        <v>5050000</v>
      </c>
      <c r="V313" s="87" t="s">
        <v>153</v>
      </c>
      <c r="W313" s="60">
        <f t="shared" si="20"/>
        <v>1</v>
      </c>
      <c r="X313" s="46"/>
      <c r="Y313" s="74"/>
      <c r="Z313" s="46"/>
      <c r="AD313" s="46"/>
      <c r="AE313" s="46"/>
    </row>
    <row r="314" spans="1:31" s="59" customFormat="1" ht="17.25" customHeight="1">
      <c r="A314" s="59" t="s">
        <v>257</v>
      </c>
      <c r="B314" s="58" t="s">
        <v>338</v>
      </c>
      <c r="C314" s="155" t="s">
        <v>337</v>
      </c>
      <c r="D314" s="58" t="str">
        <f>VLOOKUP(C314,코드!$E$3:$F$30,2,FALSE)</f>
        <v>8639</v>
      </c>
      <c r="E314" s="58" t="str">
        <f t="shared" si="18"/>
        <v>[D-2]</v>
      </c>
      <c r="F314" s="65" t="s">
        <v>402</v>
      </c>
      <c r="G314" s="65" t="s">
        <v>416</v>
      </c>
      <c r="H314" s="66" t="s">
        <v>438</v>
      </c>
      <c r="I314" s="65" t="s">
        <v>440</v>
      </c>
      <c r="J314" s="65" t="s">
        <v>439</v>
      </c>
      <c r="K314" s="72" t="s">
        <v>130</v>
      </c>
      <c r="L314" s="72" t="s">
        <v>17</v>
      </c>
      <c r="M314" s="58">
        <f>VLOOKUP(L314,코드!$B$3:$C$29,2,FALSE)</f>
        <v>4241130</v>
      </c>
      <c r="N314" s="72" t="s">
        <v>120</v>
      </c>
      <c r="O314" s="130" t="s">
        <v>397</v>
      </c>
      <c r="P314" s="75"/>
      <c r="Q314" s="75"/>
      <c r="R314" s="75"/>
      <c r="S314" s="76">
        <v>1100000</v>
      </c>
      <c r="T314" s="75"/>
      <c r="U314" s="82">
        <f>S314</f>
        <v>1100000</v>
      </c>
      <c r="V314" s="87" t="s">
        <v>153</v>
      </c>
      <c r="W314" s="60">
        <f t="shared" si="20"/>
        <v>1</v>
      </c>
      <c r="X314" s="46"/>
      <c r="Y314" s="74"/>
      <c r="Z314" s="46"/>
      <c r="AD314" s="46"/>
      <c r="AE314" s="46"/>
    </row>
    <row r="315" spans="1:31" s="59" customFormat="1" ht="17.25" customHeight="1">
      <c r="A315" s="59" t="s">
        <v>257</v>
      </c>
      <c r="B315" s="58" t="s">
        <v>338</v>
      </c>
      <c r="C315" s="155" t="s">
        <v>337</v>
      </c>
      <c r="D315" s="58" t="str">
        <f>VLOOKUP(C315,코드!$E$3:$F$30,2,FALSE)</f>
        <v>8639</v>
      </c>
      <c r="E315" s="58" t="str">
        <f t="shared" si="18"/>
        <v>[D-2]</v>
      </c>
      <c r="F315" s="65" t="s">
        <v>402</v>
      </c>
      <c r="G315" s="65" t="s">
        <v>416</v>
      </c>
      <c r="H315" s="66" t="s">
        <v>438</v>
      </c>
      <c r="I315" s="65" t="s">
        <v>437</v>
      </c>
      <c r="J315" s="65" t="s">
        <v>436</v>
      </c>
      <c r="K315" s="72" t="s">
        <v>205</v>
      </c>
      <c r="L315" s="72" t="s">
        <v>435</v>
      </c>
      <c r="M315" s="58">
        <f>VLOOKUP(L315,코드!$B$3:$C$29,2,FALSE)</f>
        <v>4211402</v>
      </c>
      <c r="N315" s="72"/>
      <c r="O315" s="130"/>
      <c r="P315" s="75">
        <f>0</f>
        <v>0</v>
      </c>
      <c r="Q315" s="75">
        <f>0</f>
        <v>0</v>
      </c>
      <c r="R315" s="75">
        <f>0</f>
        <v>0</v>
      </c>
      <c r="S315" s="76">
        <v>0</v>
      </c>
      <c r="T315" s="75"/>
      <c r="U315" s="78">
        <v>0</v>
      </c>
      <c r="V315" s="71"/>
      <c r="W315" s="60" t="e">
        <f t="shared" si="20"/>
        <v>#DIV/0!</v>
      </c>
      <c r="X315" s="46"/>
      <c r="Y315" s="74"/>
      <c r="Z315" s="46"/>
      <c r="AD315" s="46"/>
      <c r="AE315" s="46"/>
    </row>
    <row r="316" spans="1:31" s="59" customFormat="1" ht="17.25" customHeight="1">
      <c r="A316" s="59" t="s">
        <v>257</v>
      </c>
      <c r="B316" s="58" t="s">
        <v>338</v>
      </c>
      <c r="C316" s="155" t="s">
        <v>337</v>
      </c>
      <c r="D316" s="58" t="str">
        <f>VLOOKUP(C316,코드!$E$3:$F$30,2,FALSE)</f>
        <v>8639</v>
      </c>
      <c r="E316" s="58" t="str">
        <f t="shared" si="18"/>
        <v>[D-2]</v>
      </c>
      <c r="F316" s="65" t="s">
        <v>402</v>
      </c>
      <c r="G316" s="65" t="s">
        <v>416</v>
      </c>
      <c r="H316" s="66" t="s">
        <v>415</v>
      </c>
      <c r="I316" s="65" t="s">
        <v>433</v>
      </c>
      <c r="J316" s="65" t="s">
        <v>434</v>
      </c>
      <c r="K316" s="72" t="s">
        <v>130</v>
      </c>
      <c r="L316" s="72" t="s">
        <v>17</v>
      </c>
      <c r="M316" s="58">
        <f>VLOOKUP(L316,코드!$B$3:$C$29,2,FALSE)</f>
        <v>4241130</v>
      </c>
      <c r="N316" s="72" t="s">
        <v>352</v>
      </c>
      <c r="O316" s="130" t="s">
        <v>397</v>
      </c>
      <c r="P316" s="75">
        <v>600000</v>
      </c>
      <c r="Q316" s="75">
        <v>10</v>
      </c>
      <c r="R316" s="75">
        <v>2</v>
      </c>
      <c r="S316" s="76">
        <v>8700000</v>
      </c>
      <c r="T316" s="75"/>
      <c r="U316" s="78">
        <v>8700000</v>
      </c>
      <c r="V316" s="71" t="s">
        <v>316</v>
      </c>
      <c r="W316" s="60">
        <f t="shared" si="20"/>
        <v>1</v>
      </c>
      <c r="X316" s="46"/>
      <c r="Y316" s="74"/>
      <c r="Z316" s="46"/>
      <c r="AD316" s="46"/>
      <c r="AE316" s="46"/>
    </row>
    <row r="317" spans="1:31" s="59" customFormat="1" ht="17.25" customHeight="1">
      <c r="A317" s="59" t="s">
        <v>257</v>
      </c>
      <c r="B317" s="58" t="s">
        <v>338</v>
      </c>
      <c r="C317" s="155" t="s">
        <v>337</v>
      </c>
      <c r="D317" s="58" t="str">
        <f>VLOOKUP(C317,코드!$E$3:$F$30,2,FALSE)</f>
        <v>8639</v>
      </c>
      <c r="E317" s="58" t="str">
        <f t="shared" si="18"/>
        <v>[D-2]</v>
      </c>
      <c r="F317" s="65" t="s">
        <v>402</v>
      </c>
      <c r="G317" s="65" t="s">
        <v>416</v>
      </c>
      <c r="H317" s="66" t="s">
        <v>415</v>
      </c>
      <c r="I317" s="65" t="s">
        <v>433</v>
      </c>
      <c r="J317" s="65" t="s">
        <v>432</v>
      </c>
      <c r="K317" s="72" t="s">
        <v>130</v>
      </c>
      <c r="L317" s="72" t="s">
        <v>17</v>
      </c>
      <c r="M317" s="58">
        <f>VLOOKUP(L317,코드!$B$3:$C$29,2,FALSE)</f>
        <v>4241130</v>
      </c>
      <c r="N317" s="72" t="s">
        <v>352</v>
      </c>
      <c r="O317" s="130" t="s">
        <v>397</v>
      </c>
      <c r="P317" s="75">
        <v>4000000</v>
      </c>
      <c r="Q317" s="75">
        <v>1</v>
      </c>
      <c r="R317" s="75">
        <v>2</v>
      </c>
      <c r="S317" s="76"/>
      <c r="T317" s="75"/>
      <c r="U317" s="78"/>
      <c r="V317" s="71" t="s">
        <v>316</v>
      </c>
      <c r="W317" s="60" t="e">
        <f t="shared" si="20"/>
        <v>#DIV/0!</v>
      </c>
      <c r="X317" s="46"/>
      <c r="Y317" s="74"/>
      <c r="Z317" s="46"/>
      <c r="AD317" s="46"/>
      <c r="AE317" s="46"/>
    </row>
    <row r="318" spans="1:31" s="59" customFormat="1" ht="17.25" customHeight="1">
      <c r="A318" s="59" t="s">
        <v>257</v>
      </c>
      <c r="B318" s="58" t="s">
        <v>338</v>
      </c>
      <c r="C318" s="155" t="s">
        <v>337</v>
      </c>
      <c r="D318" s="58" t="str">
        <f>VLOOKUP(C318,코드!$E$3:$F$30,2,FALSE)</f>
        <v>8639</v>
      </c>
      <c r="E318" s="58" t="str">
        <f t="shared" si="18"/>
        <v>[D-2]</v>
      </c>
      <c r="F318" s="65" t="s">
        <v>402</v>
      </c>
      <c r="G318" s="65" t="s">
        <v>416</v>
      </c>
      <c r="H318" s="66" t="s">
        <v>430</v>
      </c>
      <c r="I318" s="65" t="s">
        <v>429</v>
      </c>
      <c r="J318" s="65" t="s">
        <v>428</v>
      </c>
      <c r="K318" s="72" t="s">
        <v>130</v>
      </c>
      <c r="L318" s="72" t="s">
        <v>29</v>
      </c>
      <c r="M318" s="58">
        <f>VLOOKUP(L318,코드!$B$3:$C$29,2,FALSE)</f>
        <v>4113401</v>
      </c>
      <c r="N318" s="72" t="s">
        <v>356</v>
      </c>
      <c r="O318" s="130" t="s">
        <v>397</v>
      </c>
      <c r="P318" s="75">
        <v>300000</v>
      </c>
      <c r="Q318" s="75">
        <v>1</v>
      </c>
      <c r="R318" s="75">
        <v>5</v>
      </c>
      <c r="S318" s="76">
        <v>200000</v>
      </c>
      <c r="T318" s="75"/>
      <c r="U318" s="165">
        <v>200000</v>
      </c>
      <c r="V318" s="71" t="s">
        <v>431</v>
      </c>
      <c r="W318" s="60">
        <f t="shared" si="20"/>
        <v>1</v>
      </c>
      <c r="X318" s="46"/>
      <c r="Y318" s="74"/>
      <c r="Z318" s="46"/>
      <c r="AD318" s="46"/>
      <c r="AE318" s="46"/>
    </row>
    <row r="319" spans="1:31" s="59" customFormat="1" ht="17.25" customHeight="1">
      <c r="A319" s="59" t="s">
        <v>257</v>
      </c>
      <c r="B319" s="58" t="s">
        <v>338</v>
      </c>
      <c r="C319" s="155" t="s">
        <v>337</v>
      </c>
      <c r="D319" s="58" t="str">
        <f>VLOOKUP(C319,코드!$E$3:$F$30,2,FALSE)</f>
        <v>8639</v>
      </c>
      <c r="E319" s="58" t="str">
        <f t="shared" si="18"/>
        <v>[D-2]</v>
      </c>
      <c r="F319" s="65" t="s">
        <v>402</v>
      </c>
      <c r="G319" s="65" t="s">
        <v>416</v>
      </c>
      <c r="H319" s="66" t="s">
        <v>430</v>
      </c>
      <c r="I319" s="65" t="s">
        <v>429</v>
      </c>
      <c r="J319" s="65" t="s">
        <v>428</v>
      </c>
      <c r="K319" s="72" t="s">
        <v>130</v>
      </c>
      <c r="L319" s="72" t="s">
        <v>17</v>
      </c>
      <c r="M319" s="58">
        <f>VLOOKUP(L319,코드!$B$3:$C$29,2,FALSE)</f>
        <v>4241130</v>
      </c>
      <c r="N319" s="72" t="s">
        <v>356</v>
      </c>
      <c r="O319" s="130" t="s">
        <v>397</v>
      </c>
      <c r="P319" s="75">
        <v>300000</v>
      </c>
      <c r="Q319" s="75">
        <v>1</v>
      </c>
      <c r="R319" s="75">
        <v>5</v>
      </c>
      <c r="S319" s="173">
        <v>2400000</v>
      </c>
      <c r="T319" s="157"/>
      <c r="U319" s="82">
        <f>S319</f>
        <v>2400000</v>
      </c>
      <c r="V319" s="87" t="s">
        <v>153</v>
      </c>
      <c r="W319" s="60">
        <f t="shared" si="20"/>
        <v>1</v>
      </c>
      <c r="X319" s="46"/>
      <c r="Y319" s="74"/>
      <c r="Z319" s="46"/>
      <c r="AD319" s="46"/>
      <c r="AE319" s="46"/>
    </row>
    <row r="320" spans="1:31" s="59" customFormat="1" ht="17.25" customHeight="1">
      <c r="A320" s="59" t="s">
        <v>257</v>
      </c>
      <c r="B320" s="58" t="s">
        <v>338</v>
      </c>
      <c r="C320" s="155" t="s">
        <v>337</v>
      </c>
      <c r="D320" s="58" t="str">
        <f>VLOOKUP(C320,코드!$E$3:$F$30,2,FALSE)</f>
        <v>8639</v>
      </c>
      <c r="E320" s="58" t="str">
        <f t="shared" si="18"/>
        <v>[D-2]</v>
      </c>
      <c r="F320" s="65" t="s">
        <v>402</v>
      </c>
      <c r="G320" s="65" t="s">
        <v>427</v>
      </c>
      <c r="H320" s="66" t="s">
        <v>415</v>
      </c>
      <c r="I320" s="65" t="s">
        <v>424</v>
      </c>
      <c r="J320" s="65" t="s">
        <v>426</v>
      </c>
      <c r="K320" s="72" t="s">
        <v>130</v>
      </c>
      <c r="L320" s="72" t="s">
        <v>15</v>
      </c>
      <c r="M320" s="58">
        <f>VLOOKUP(L320,코드!$B$3:$C$29,2,FALSE)</f>
        <v>4321701</v>
      </c>
      <c r="N320" s="72" t="s">
        <v>352</v>
      </c>
      <c r="O320" s="130" t="s">
        <v>397</v>
      </c>
      <c r="P320" s="75">
        <v>400000</v>
      </c>
      <c r="Q320" s="75">
        <v>10</v>
      </c>
      <c r="R320" s="75">
        <v>2</v>
      </c>
      <c r="S320" s="173">
        <v>6800000</v>
      </c>
      <c r="T320" s="157"/>
      <c r="U320" s="82">
        <f>S320</f>
        <v>6800000</v>
      </c>
      <c r="V320" s="87" t="s">
        <v>153</v>
      </c>
      <c r="W320" s="60">
        <f t="shared" si="20"/>
        <v>1</v>
      </c>
      <c r="X320" s="46"/>
      <c r="Y320" s="74"/>
      <c r="Z320" s="46"/>
      <c r="AD320" s="46"/>
      <c r="AE320" s="46"/>
    </row>
    <row r="321" spans="1:31" s="59" customFormat="1" ht="17.25" customHeight="1">
      <c r="A321" s="59" t="s">
        <v>257</v>
      </c>
      <c r="B321" s="58" t="s">
        <v>338</v>
      </c>
      <c r="C321" s="155" t="s">
        <v>337</v>
      </c>
      <c r="D321" s="58" t="str">
        <f>VLOOKUP(C321,코드!$E$3:$F$30,2,FALSE)</f>
        <v>8639</v>
      </c>
      <c r="E321" s="58" t="str">
        <f t="shared" si="18"/>
        <v>[D-2]</v>
      </c>
      <c r="F321" s="65" t="s">
        <v>402</v>
      </c>
      <c r="G321" s="65" t="s">
        <v>416</v>
      </c>
      <c r="H321" s="66" t="s">
        <v>415</v>
      </c>
      <c r="I321" s="65" t="s">
        <v>424</v>
      </c>
      <c r="J321" s="65" t="s">
        <v>425</v>
      </c>
      <c r="K321" s="72" t="s">
        <v>130</v>
      </c>
      <c r="L321" s="72" t="s">
        <v>15</v>
      </c>
      <c r="M321" s="58">
        <f>VLOOKUP(L321,코드!$B$3:$C$29,2,FALSE)</f>
        <v>4321701</v>
      </c>
      <c r="N321" s="72" t="s">
        <v>422</v>
      </c>
      <c r="O321" s="130" t="s">
        <v>397</v>
      </c>
      <c r="P321" s="75">
        <v>200000</v>
      </c>
      <c r="Q321" s="75">
        <v>80</v>
      </c>
      <c r="R321" s="75">
        <v>1</v>
      </c>
      <c r="S321" s="76">
        <v>16000000</v>
      </c>
      <c r="T321" s="75"/>
      <c r="U321" s="78">
        <v>16000000</v>
      </c>
      <c r="V321" s="71" t="s">
        <v>316</v>
      </c>
      <c r="W321" s="60">
        <f t="shared" si="20"/>
        <v>1</v>
      </c>
      <c r="X321" s="46"/>
      <c r="Y321" s="74"/>
      <c r="Z321" s="46"/>
      <c r="AD321" s="46"/>
      <c r="AE321" s="46"/>
    </row>
    <row r="322" spans="1:31" s="59" customFormat="1" ht="17.25" customHeight="1">
      <c r="A322" s="59" t="s">
        <v>257</v>
      </c>
      <c r="B322" s="58" t="s">
        <v>338</v>
      </c>
      <c r="C322" s="155" t="s">
        <v>337</v>
      </c>
      <c r="D322" s="58" t="str">
        <f>VLOOKUP(C322,코드!$E$3:$F$30,2,FALSE)</f>
        <v>8639</v>
      </c>
      <c r="E322" s="58" t="str">
        <f t="shared" si="18"/>
        <v>[D-2]</v>
      </c>
      <c r="F322" s="65" t="s">
        <v>402</v>
      </c>
      <c r="G322" s="65" t="s">
        <v>416</v>
      </c>
      <c r="H322" s="66" t="s">
        <v>415</v>
      </c>
      <c r="I322" s="65" t="s">
        <v>424</v>
      </c>
      <c r="J322" s="65" t="s">
        <v>423</v>
      </c>
      <c r="K322" s="72" t="s">
        <v>130</v>
      </c>
      <c r="L322" s="72" t="s">
        <v>15</v>
      </c>
      <c r="M322" s="58">
        <f>VLOOKUP(L322,코드!$B$3:$C$29,2,FALSE)</f>
        <v>4321701</v>
      </c>
      <c r="N322" s="72" t="s">
        <v>422</v>
      </c>
      <c r="O322" s="130" t="s">
        <v>397</v>
      </c>
      <c r="P322" s="75">
        <v>200000</v>
      </c>
      <c r="Q322" s="75">
        <v>50</v>
      </c>
      <c r="R322" s="75">
        <v>1</v>
      </c>
      <c r="S322" s="76">
        <v>10000000</v>
      </c>
      <c r="T322" s="75"/>
      <c r="U322" s="82">
        <f>S322</f>
        <v>10000000</v>
      </c>
      <c r="V322" s="87" t="s">
        <v>153</v>
      </c>
      <c r="W322" s="60">
        <f t="shared" si="20"/>
        <v>1</v>
      </c>
      <c r="X322" s="46"/>
      <c r="Y322" s="74"/>
      <c r="Z322" s="46"/>
      <c r="AD322" s="46"/>
      <c r="AE322" s="46"/>
    </row>
    <row r="323" spans="1:31" s="59" customFormat="1" ht="17.25" customHeight="1">
      <c r="A323" s="59" t="s">
        <v>257</v>
      </c>
      <c r="B323" s="58" t="s">
        <v>338</v>
      </c>
      <c r="C323" s="155" t="s">
        <v>337</v>
      </c>
      <c r="D323" s="58" t="str">
        <f>VLOOKUP(C323,코드!$E$3:$F$30,2,FALSE)</f>
        <v>8639</v>
      </c>
      <c r="E323" s="58" t="str">
        <f t="shared" ref="E323:E386" si="21">LEFT(F323, 5)</f>
        <v>[D-2]</v>
      </c>
      <c r="F323" s="65" t="s">
        <v>402</v>
      </c>
      <c r="G323" s="65" t="s">
        <v>416</v>
      </c>
      <c r="H323" s="66" t="s">
        <v>415</v>
      </c>
      <c r="I323" s="65" t="s">
        <v>419</v>
      </c>
      <c r="J323" s="65" t="s">
        <v>421</v>
      </c>
      <c r="K323" s="72" t="s">
        <v>130</v>
      </c>
      <c r="L323" s="72" t="s">
        <v>29</v>
      </c>
      <c r="M323" s="58">
        <f>VLOOKUP(L323,코드!$B$3:$C$29,2,FALSE)</f>
        <v>4113401</v>
      </c>
      <c r="N323" s="72" t="s">
        <v>420</v>
      </c>
      <c r="O323" s="130" t="s">
        <v>397</v>
      </c>
      <c r="P323" s="75">
        <v>3000000</v>
      </c>
      <c r="Q323" s="75">
        <v>1</v>
      </c>
      <c r="R323" s="75">
        <v>2</v>
      </c>
      <c r="S323" s="76">
        <v>6000000</v>
      </c>
      <c r="T323" s="75"/>
      <c r="U323" s="78">
        <v>6000000</v>
      </c>
      <c r="V323" s="71" t="s">
        <v>316</v>
      </c>
      <c r="W323" s="60">
        <f t="shared" si="20"/>
        <v>1</v>
      </c>
      <c r="X323" s="46"/>
      <c r="Y323" s="74"/>
      <c r="Z323" s="46"/>
      <c r="AD323" s="46"/>
      <c r="AE323" s="46"/>
    </row>
    <row r="324" spans="1:31" s="59" customFormat="1" ht="17.25" customHeight="1">
      <c r="A324" s="59" t="s">
        <v>257</v>
      </c>
      <c r="B324" s="58" t="s">
        <v>338</v>
      </c>
      <c r="C324" s="155" t="s">
        <v>337</v>
      </c>
      <c r="D324" s="58" t="str">
        <f>VLOOKUP(C324,코드!$E$3:$F$30,2,FALSE)</f>
        <v>8639</v>
      </c>
      <c r="E324" s="58" t="str">
        <f t="shared" si="21"/>
        <v>[D-2]</v>
      </c>
      <c r="F324" s="65" t="s">
        <v>402</v>
      </c>
      <c r="G324" s="65" t="s">
        <v>416</v>
      </c>
      <c r="H324" s="66" t="s">
        <v>415</v>
      </c>
      <c r="I324" s="65" t="s">
        <v>419</v>
      </c>
      <c r="J324" s="166" t="s">
        <v>418</v>
      </c>
      <c r="K324" s="72" t="s">
        <v>130</v>
      </c>
      <c r="L324" s="72" t="s">
        <v>17</v>
      </c>
      <c r="M324" s="58">
        <f>VLOOKUP(L324,코드!$B$3:$C$29,2,FALSE)</f>
        <v>4241130</v>
      </c>
      <c r="N324" s="72" t="s">
        <v>262</v>
      </c>
      <c r="O324" s="130" t="s">
        <v>397</v>
      </c>
      <c r="P324" s="159">
        <v>2000000</v>
      </c>
      <c r="Q324" s="75">
        <v>2</v>
      </c>
      <c r="R324" s="75">
        <v>1</v>
      </c>
      <c r="S324" s="76">
        <v>2690400</v>
      </c>
      <c r="T324" s="75"/>
      <c r="U324" s="82">
        <f t="shared" ref="U324:U331" si="22">S324</f>
        <v>2690400</v>
      </c>
      <c r="V324" s="87" t="s">
        <v>153</v>
      </c>
      <c r="W324" s="60">
        <f t="shared" si="20"/>
        <v>1</v>
      </c>
      <c r="X324" s="46"/>
      <c r="Y324" s="74"/>
      <c r="Z324" s="46"/>
      <c r="AD324" s="46"/>
      <c r="AE324" s="46"/>
    </row>
    <row r="325" spans="1:31" s="59" customFormat="1" ht="17.25" customHeight="1">
      <c r="A325" s="59" t="s">
        <v>257</v>
      </c>
      <c r="B325" s="58" t="s">
        <v>338</v>
      </c>
      <c r="C325" s="155" t="s">
        <v>337</v>
      </c>
      <c r="D325" s="58" t="str">
        <f>VLOOKUP(C325,코드!$E$3:$F$30,2,FALSE)</f>
        <v>8639</v>
      </c>
      <c r="E325" s="58" t="str">
        <f t="shared" si="21"/>
        <v>[D-2]</v>
      </c>
      <c r="F325" s="65" t="s">
        <v>402</v>
      </c>
      <c r="G325" s="65" t="s">
        <v>416</v>
      </c>
      <c r="H325" s="66" t="s">
        <v>415</v>
      </c>
      <c r="I325" s="65" t="s">
        <v>419</v>
      </c>
      <c r="J325" s="166" t="s">
        <v>418</v>
      </c>
      <c r="K325" s="72" t="s">
        <v>130</v>
      </c>
      <c r="L325" s="72" t="s">
        <v>17</v>
      </c>
      <c r="M325" s="58">
        <f>VLOOKUP(L325,코드!$B$3:$C$29,2,FALSE)</f>
        <v>4241130</v>
      </c>
      <c r="N325" s="72" t="s">
        <v>356</v>
      </c>
      <c r="O325" s="130" t="s">
        <v>397</v>
      </c>
      <c r="P325" s="159"/>
      <c r="Q325" s="75"/>
      <c r="R325" s="75"/>
      <c r="S325" s="76">
        <v>1000000</v>
      </c>
      <c r="T325" s="75"/>
      <c r="U325" s="82">
        <f t="shared" si="22"/>
        <v>1000000</v>
      </c>
      <c r="V325" s="87" t="s">
        <v>153</v>
      </c>
      <c r="W325" s="60">
        <f t="shared" si="20"/>
        <v>1</v>
      </c>
      <c r="X325" s="46"/>
      <c r="Y325" s="74"/>
      <c r="Z325" s="46"/>
      <c r="AD325" s="46"/>
      <c r="AE325" s="46"/>
    </row>
    <row r="326" spans="1:31" s="59" customFormat="1" ht="17.25" customHeight="1">
      <c r="A326" s="59" t="s">
        <v>257</v>
      </c>
      <c r="B326" s="58" t="s">
        <v>338</v>
      </c>
      <c r="C326" s="155" t="s">
        <v>337</v>
      </c>
      <c r="D326" s="58" t="str">
        <f>VLOOKUP(C326,코드!$E$3:$F$30,2,FALSE)</f>
        <v>8639</v>
      </c>
      <c r="E326" s="58" t="str">
        <f t="shared" si="21"/>
        <v>[D-2]</v>
      </c>
      <c r="F326" s="65" t="s">
        <v>402</v>
      </c>
      <c r="G326" s="65" t="s">
        <v>416</v>
      </c>
      <c r="H326" s="66" t="s">
        <v>415</v>
      </c>
      <c r="I326" s="65" t="s">
        <v>419</v>
      </c>
      <c r="J326" s="166" t="s">
        <v>418</v>
      </c>
      <c r="K326" s="72" t="s">
        <v>101</v>
      </c>
      <c r="L326" s="72" t="s">
        <v>15</v>
      </c>
      <c r="M326" s="58">
        <f>VLOOKUP(L326,코드!$B$3:$C$29,2,FALSE)</f>
        <v>4321701</v>
      </c>
      <c r="N326" s="72" t="s">
        <v>100</v>
      </c>
      <c r="O326" s="130" t="s">
        <v>417</v>
      </c>
      <c r="P326" s="159"/>
      <c r="Q326" s="75"/>
      <c r="R326" s="75"/>
      <c r="S326" s="76">
        <v>309600</v>
      </c>
      <c r="T326" s="75"/>
      <c r="U326" s="82">
        <f t="shared" si="22"/>
        <v>309600</v>
      </c>
      <c r="V326" s="87" t="s">
        <v>153</v>
      </c>
      <c r="W326" s="60">
        <f t="shared" si="20"/>
        <v>1</v>
      </c>
      <c r="X326" s="46"/>
      <c r="Y326" s="74"/>
      <c r="Z326" s="46"/>
      <c r="AD326" s="46"/>
      <c r="AE326" s="46"/>
    </row>
    <row r="327" spans="1:31" s="59" customFormat="1" ht="17.25" customHeight="1">
      <c r="A327" s="59" t="s">
        <v>257</v>
      </c>
      <c r="B327" s="58" t="s">
        <v>338</v>
      </c>
      <c r="C327" s="155" t="s">
        <v>337</v>
      </c>
      <c r="D327" s="58" t="str">
        <f>VLOOKUP(C327,코드!$E$3:$F$30,2,FALSE)</f>
        <v>8639</v>
      </c>
      <c r="E327" s="58" t="str">
        <f t="shared" si="21"/>
        <v>[D-2]</v>
      </c>
      <c r="F327" s="65" t="s">
        <v>402</v>
      </c>
      <c r="G327" s="65" t="s">
        <v>416</v>
      </c>
      <c r="H327" s="66" t="s">
        <v>415</v>
      </c>
      <c r="I327" s="65" t="s">
        <v>414</v>
      </c>
      <c r="J327" s="65" t="s">
        <v>413</v>
      </c>
      <c r="K327" s="72" t="s">
        <v>130</v>
      </c>
      <c r="L327" s="72" t="s">
        <v>17</v>
      </c>
      <c r="M327" s="58">
        <f>VLOOKUP(L327,코드!$B$3:$C$29,2,FALSE)</f>
        <v>4241130</v>
      </c>
      <c r="N327" s="72" t="s">
        <v>262</v>
      </c>
      <c r="O327" s="130" t="s">
        <v>397</v>
      </c>
      <c r="P327" s="159">
        <v>40000</v>
      </c>
      <c r="Q327" s="75">
        <v>20</v>
      </c>
      <c r="R327" s="75">
        <v>4</v>
      </c>
      <c r="S327" s="76">
        <v>3200000</v>
      </c>
      <c r="T327" s="75"/>
      <c r="U327" s="82">
        <f t="shared" si="22"/>
        <v>3200000</v>
      </c>
      <c r="V327" s="87" t="s">
        <v>153</v>
      </c>
      <c r="W327" s="60">
        <f t="shared" si="20"/>
        <v>1</v>
      </c>
      <c r="X327" s="46"/>
      <c r="Y327" s="74"/>
      <c r="Z327" s="46"/>
      <c r="AD327" s="46"/>
      <c r="AE327" s="46"/>
    </row>
    <row r="328" spans="1:31" s="59" customFormat="1" ht="17.25" customHeight="1">
      <c r="A328" s="59" t="s">
        <v>257</v>
      </c>
      <c r="B328" s="58" t="s">
        <v>338</v>
      </c>
      <c r="C328" s="155" t="s">
        <v>337</v>
      </c>
      <c r="D328" s="58" t="str">
        <f>VLOOKUP(C328,코드!$E$3:$F$30,2,FALSE)</f>
        <v>8639</v>
      </c>
      <c r="E328" s="58" t="str">
        <f t="shared" si="21"/>
        <v>[D-2]</v>
      </c>
      <c r="F328" s="65" t="s">
        <v>402</v>
      </c>
      <c r="G328" s="65" t="s">
        <v>401</v>
      </c>
      <c r="H328" s="66" t="s">
        <v>406</v>
      </c>
      <c r="I328" s="65" t="s">
        <v>411</v>
      </c>
      <c r="J328" s="65" t="s">
        <v>412</v>
      </c>
      <c r="K328" s="72" t="s">
        <v>130</v>
      </c>
      <c r="L328" s="72" t="s">
        <v>17</v>
      </c>
      <c r="M328" s="58">
        <f>VLOOKUP(L328,코드!$B$3:$C$29,2,FALSE)</f>
        <v>4241130</v>
      </c>
      <c r="N328" s="72" t="s">
        <v>259</v>
      </c>
      <c r="O328" s="130" t="s">
        <v>397</v>
      </c>
      <c r="P328" s="159">
        <v>40000</v>
      </c>
      <c r="Q328" s="75">
        <v>50</v>
      </c>
      <c r="R328" s="75">
        <v>1</v>
      </c>
      <c r="S328" s="76">
        <v>3000000</v>
      </c>
      <c r="T328" s="75"/>
      <c r="U328" s="82">
        <f t="shared" si="22"/>
        <v>3000000</v>
      </c>
      <c r="V328" s="87" t="s">
        <v>153</v>
      </c>
      <c r="W328" s="60">
        <f t="shared" si="20"/>
        <v>1</v>
      </c>
      <c r="X328" s="46"/>
      <c r="Y328" s="74"/>
      <c r="Z328" s="46"/>
      <c r="AD328" s="46"/>
      <c r="AE328" s="46"/>
    </row>
    <row r="329" spans="1:31" s="59" customFormat="1" ht="17.25" customHeight="1">
      <c r="A329" s="59" t="s">
        <v>257</v>
      </c>
      <c r="B329" s="58" t="s">
        <v>338</v>
      </c>
      <c r="C329" s="155" t="s">
        <v>337</v>
      </c>
      <c r="D329" s="58" t="str">
        <f>VLOOKUP(C329,코드!$E$3:$F$30,2,FALSE)</f>
        <v>8639</v>
      </c>
      <c r="E329" s="58" t="str">
        <f t="shared" si="21"/>
        <v>[D-2]</v>
      </c>
      <c r="F329" s="65" t="s">
        <v>402</v>
      </c>
      <c r="G329" s="65" t="s">
        <v>401</v>
      </c>
      <c r="H329" s="66" t="s">
        <v>406</v>
      </c>
      <c r="I329" s="65" t="s">
        <v>411</v>
      </c>
      <c r="J329" s="65" t="s">
        <v>410</v>
      </c>
      <c r="K329" s="72" t="s">
        <v>130</v>
      </c>
      <c r="L329" s="72" t="s">
        <v>17</v>
      </c>
      <c r="M329" s="58">
        <f>VLOOKUP(L329,코드!$B$3:$C$29,2,FALSE)</f>
        <v>4241130</v>
      </c>
      <c r="N329" s="72" t="s">
        <v>365</v>
      </c>
      <c r="O329" s="130" t="s">
        <v>397</v>
      </c>
      <c r="P329" s="159">
        <v>40000</v>
      </c>
      <c r="Q329" s="75">
        <v>50</v>
      </c>
      <c r="R329" s="75">
        <v>1</v>
      </c>
      <c r="S329" s="76">
        <v>2000000</v>
      </c>
      <c r="T329" s="75"/>
      <c r="U329" s="82">
        <f t="shared" si="22"/>
        <v>2000000</v>
      </c>
      <c r="V329" s="87" t="s">
        <v>153</v>
      </c>
      <c r="W329" s="60">
        <f t="shared" si="20"/>
        <v>1</v>
      </c>
      <c r="X329" s="46"/>
      <c r="Y329" s="74"/>
      <c r="Z329" s="46"/>
      <c r="AD329" s="46"/>
      <c r="AE329" s="46"/>
    </row>
    <row r="330" spans="1:31" s="59" customFormat="1" ht="17.25" customHeight="1">
      <c r="A330" s="59" t="s">
        <v>257</v>
      </c>
      <c r="B330" s="58" t="s">
        <v>338</v>
      </c>
      <c r="C330" s="155" t="s">
        <v>337</v>
      </c>
      <c r="D330" s="58" t="str">
        <f>VLOOKUP(C330,코드!$E$3:$F$30,2,FALSE)</f>
        <v>8639</v>
      </c>
      <c r="E330" s="58" t="str">
        <f t="shared" si="21"/>
        <v>[D-2]</v>
      </c>
      <c r="F330" s="65" t="s">
        <v>402</v>
      </c>
      <c r="G330" s="65" t="s">
        <v>401</v>
      </c>
      <c r="H330" s="66" t="s">
        <v>406</v>
      </c>
      <c r="I330" s="65" t="s">
        <v>409</v>
      </c>
      <c r="J330" s="65" t="s">
        <v>408</v>
      </c>
      <c r="K330" s="72" t="s">
        <v>130</v>
      </c>
      <c r="L330" s="72" t="s">
        <v>17</v>
      </c>
      <c r="M330" s="58">
        <f>VLOOKUP(L330,코드!$B$3:$C$29,2,FALSE)</f>
        <v>4241130</v>
      </c>
      <c r="N330" s="72" t="s">
        <v>262</v>
      </c>
      <c r="O330" s="130" t="s">
        <v>397</v>
      </c>
      <c r="P330" s="159">
        <v>20000</v>
      </c>
      <c r="Q330" s="75">
        <v>100</v>
      </c>
      <c r="R330" s="75">
        <v>1</v>
      </c>
      <c r="S330" s="161">
        <v>1000000</v>
      </c>
      <c r="T330" s="75"/>
      <c r="U330" s="82">
        <f t="shared" si="22"/>
        <v>1000000</v>
      </c>
      <c r="V330" s="87" t="s">
        <v>153</v>
      </c>
      <c r="W330" s="60">
        <f t="shared" si="20"/>
        <v>1</v>
      </c>
      <c r="X330" s="46"/>
      <c r="Y330" s="74"/>
      <c r="Z330" s="46"/>
      <c r="AD330" s="46"/>
      <c r="AE330" s="46"/>
    </row>
    <row r="331" spans="1:31" s="59" customFormat="1" ht="17.25" customHeight="1">
      <c r="A331" s="59" t="s">
        <v>257</v>
      </c>
      <c r="B331" s="58" t="s">
        <v>338</v>
      </c>
      <c r="C331" s="155" t="s">
        <v>337</v>
      </c>
      <c r="D331" s="58" t="str">
        <f>VLOOKUP(C331,코드!$E$3:$F$30,2,FALSE)</f>
        <v>8639</v>
      </c>
      <c r="E331" s="58" t="str">
        <f t="shared" si="21"/>
        <v>[D-2]</v>
      </c>
      <c r="F331" s="65" t="s">
        <v>402</v>
      </c>
      <c r="G331" s="65" t="s">
        <v>401</v>
      </c>
      <c r="H331" s="66" t="s">
        <v>406</v>
      </c>
      <c r="I331" s="65" t="s">
        <v>405</v>
      </c>
      <c r="J331" s="65" t="s">
        <v>407</v>
      </c>
      <c r="K331" s="72" t="s">
        <v>130</v>
      </c>
      <c r="L331" s="72" t="s">
        <v>17</v>
      </c>
      <c r="M331" s="58">
        <f>VLOOKUP(L331,코드!$B$3:$C$29,2,FALSE)</f>
        <v>4241130</v>
      </c>
      <c r="N331" s="72" t="s">
        <v>103</v>
      </c>
      <c r="O331" s="130" t="s">
        <v>397</v>
      </c>
      <c r="P331" s="159"/>
      <c r="Q331" s="75"/>
      <c r="R331" s="75"/>
      <c r="S331" s="76">
        <v>500000</v>
      </c>
      <c r="T331" s="75"/>
      <c r="U331" s="82">
        <f t="shared" si="22"/>
        <v>500000</v>
      </c>
      <c r="V331" s="87" t="s">
        <v>153</v>
      </c>
      <c r="W331" s="60">
        <f t="shared" si="20"/>
        <v>1</v>
      </c>
      <c r="X331" s="46"/>
      <c r="Y331" s="74"/>
      <c r="Z331" s="46"/>
      <c r="AD331" s="46"/>
      <c r="AE331" s="46"/>
    </row>
    <row r="332" spans="1:31" s="59" customFormat="1" ht="17.25" customHeight="1">
      <c r="A332" s="59" t="s">
        <v>257</v>
      </c>
      <c r="B332" s="58" t="s">
        <v>338</v>
      </c>
      <c r="C332" s="155" t="s">
        <v>337</v>
      </c>
      <c r="D332" s="58" t="str">
        <f>VLOOKUP(C332,코드!$E$3:$F$30,2,FALSE)</f>
        <v>8639</v>
      </c>
      <c r="E332" s="58" t="str">
        <f t="shared" si="21"/>
        <v>[D-2]</v>
      </c>
      <c r="F332" s="65" t="s">
        <v>402</v>
      </c>
      <c r="G332" s="65" t="s">
        <v>401</v>
      </c>
      <c r="H332" s="66" t="s">
        <v>406</v>
      </c>
      <c r="I332" s="172" t="s">
        <v>405</v>
      </c>
      <c r="J332" s="172" t="s">
        <v>404</v>
      </c>
      <c r="K332" s="170" t="s">
        <v>80</v>
      </c>
      <c r="L332" s="170" t="s">
        <v>17</v>
      </c>
      <c r="M332" s="171">
        <v>4241130</v>
      </c>
      <c r="N332" s="170" t="s">
        <v>103</v>
      </c>
      <c r="O332" s="169" t="s">
        <v>403</v>
      </c>
      <c r="P332" s="159"/>
      <c r="Q332" s="75"/>
      <c r="R332" s="75"/>
      <c r="S332" s="168">
        <v>4000000</v>
      </c>
      <c r="T332" s="75"/>
      <c r="U332" s="167">
        <v>4000000</v>
      </c>
      <c r="V332" s="71"/>
      <c r="W332" s="60"/>
      <c r="X332" s="46"/>
      <c r="Y332" s="74"/>
      <c r="Z332" s="46"/>
      <c r="AD332" s="46"/>
      <c r="AE332" s="46"/>
    </row>
    <row r="333" spans="1:31" s="59" customFormat="1" ht="17.25" customHeight="1">
      <c r="A333" s="59" t="s">
        <v>257</v>
      </c>
      <c r="B333" s="58" t="s">
        <v>338</v>
      </c>
      <c r="C333" s="155" t="s">
        <v>337</v>
      </c>
      <c r="D333" s="58" t="str">
        <f>VLOOKUP(C333,코드!$E$3:$F$30,2,FALSE)</f>
        <v>8639</v>
      </c>
      <c r="E333" s="58" t="str">
        <f t="shared" si="21"/>
        <v>[D-2]</v>
      </c>
      <c r="F333" s="65" t="s">
        <v>402</v>
      </c>
      <c r="G333" s="65" t="s">
        <v>401</v>
      </c>
      <c r="H333" s="66" t="s">
        <v>400</v>
      </c>
      <c r="I333" s="65" t="s">
        <v>399</v>
      </c>
      <c r="J333" s="166" t="s">
        <v>398</v>
      </c>
      <c r="K333" s="72" t="s">
        <v>130</v>
      </c>
      <c r="L333" s="72" t="s">
        <v>29</v>
      </c>
      <c r="M333" s="58">
        <f>VLOOKUP(L333,코드!$B$3:$C$29,2,FALSE)</f>
        <v>4113401</v>
      </c>
      <c r="N333" s="72" t="s">
        <v>375</v>
      </c>
      <c r="O333" s="130" t="s">
        <v>397</v>
      </c>
      <c r="P333" s="159">
        <v>3000000</v>
      </c>
      <c r="Q333" s="75">
        <v>1</v>
      </c>
      <c r="R333" s="75">
        <v>1</v>
      </c>
      <c r="S333" s="76">
        <v>3000000</v>
      </c>
      <c r="T333" s="75"/>
      <c r="U333" s="82">
        <f>S333</f>
        <v>3000000</v>
      </c>
      <c r="V333" s="87" t="s">
        <v>153</v>
      </c>
      <c r="W333" s="60">
        <f t="shared" ref="W333:W364" si="23">U333/S333</f>
        <v>1</v>
      </c>
      <c r="X333" s="46"/>
      <c r="Y333" s="74"/>
      <c r="Z333" s="46"/>
      <c r="AD333" s="46"/>
      <c r="AE333" s="46"/>
    </row>
    <row r="334" spans="1:31" s="59" customFormat="1" ht="17.25" customHeight="1">
      <c r="A334" s="59" t="s">
        <v>257</v>
      </c>
      <c r="B334" s="58" t="s">
        <v>338</v>
      </c>
      <c r="C334" s="155" t="s">
        <v>337</v>
      </c>
      <c r="D334" s="58" t="str">
        <f>VLOOKUP(C334,코드!$E$3:$F$30,2,FALSE)</f>
        <v>8639</v>
      </c>
      <c r="E334" s="58" t="str">
        <f t="shared" si="21"/>
        <v>[D-3]</v>
      </c>
      <c r="F334" s="65" t="s">
        <v>336</v>
      </c>
      <c r="G334" s="65" t="s">
        <v>374</v>
      </c>
      <c r="H334" s="66" t="s">
        <v>381</v>
      </c>
      <c r="I334" s="70" t="s">
        <v>251</v>
      </c>
      <c r="J334" s="70" t="s">
        <v>396</v>
      </c>
      <c r="K334" s="69" t="s">
        <v>84</v>
      </c>
      <c r="L334" s="68" t="s">
        <v>22</v>
      </c>
      <c r="M334" s="68">
        <f>VLOOKUP(L334,코드!$B$3:$C$29,2,FALSE)</f>
        <v>4118701</v>
      </c>
      <c r="N334" s="69" t="s">
        <v>96</v>
      </c>
      <c r="O334" s="68" t="s">
        <v>68</v>
      </c>
      <c r="P334" s="75"/>
      <c r="Q334" s="75"/>
      <c r="R334" s="75"/>
      <c r="S334" s="127">
        <v>38018400</v>
      </c>
      <c r="T334" s="75"/>
      <c r="U334" s="82">
        <v>38018400</v>
      </c>
      <c r="V334" s="61" t="s">
        <v>67</v>
      </c>
      <c r="W334" s="60">
        <f t="shared" si="23"/>
        <v>1</v>
      </c>
      <c r="X334" s="46"/>
      <c r="Y334" s="74"/>
      <c r="Z334" s="46"/>
      <c r="AD334" s="46"/>
      <c r="AE334" s="46"/>
    </row>
    <row r="335" spans="1:31" s="59" customFormat="1" ht="17.25" customHeight="1">
      <c r="A335" s="59" t="s">
        <v>257</v>
      </c>
      <c r="B335" s="58" t="s">
        <v>338</v>
      </c>
      <c r="C335" s="155" t="s">
        <v>337</v>
      </c>
      <c r="D335" s="58" t="str">
        <f>VLOOKUP(C335,코드!$E$3:$F$30,2,FALSE)</f>
        <v>8639</v>
      </c>
      <c r="E335" s="58" t="str">
        <f t="shared" si="21"/>
        <v>[D-3]</v>
      </c>
      <c r="F335" s="65" t="s">
        <v>336</v>
      </c>
      <c r="G335" s="65" t="s">
        <v>374</v>
      </c>
      <c r="H335" s="66" t="s">
        <v>381</v>
      </c>
      <c r="I335" s="70" t="s">
        <v>251</v>
      </c>
      <c r="J335" s="70" t="s">
        <v>395</v>
      </c>
      <c r="K335" s="69" t="s">
        <v>84</v>
      </c>
      <c r="L335" s="68" t="s">
        <v>22</v>
      </c>
      <c r="M335" s="68">
        <f>VLOOKUP(L335,코드!$B$3:$C$29,2,FALSE)</f>
        <v>4118701</v>
      </c>
      <c r="N335" s="69" t="s">
        <v>96</v>
      </c>
      <c r="O335" s="68" t="s">
        <v>68</v>
      </c>
      <c r="P335" s="75"/>
      <c r="Q335" s="75"/>
      <c r="R335" s="75"/>
      <c r="S335" s="76">
        <v>34968600</v>
      </c>
      <c r="T335" s="75"/>
      <c r="U335" s="75">
        <v>34968600</v>
      </c>
      <c r="V335" s="61" t="s">
        <v>67</v>
      </c>
      <c r="W335" s="60">
        <f t="shared" si="23"/>
        <v>1</v>
      </c>
      <c r="X335" s="46"/>
      <c r="Y335" s="74"/>
      <c r="Z335" s="46"/>
      <c r="AD335" s="46"/>
      <c r="AE335" s="46"/>
    </row>
    <row r="336" spans="1:31" s="59" customFormat="1" ht="17.25" customHeight="1">
      <c r="A336" s="59" t="s">
        <v>257</v>
      </c>
      <c r="B336" s="58" t="s">
        <v>338</v>
      </c>
      <c r="C336" s="155" t="s">
        <v>337</v>
      </c>
      <c r="D336" s="58" t="str">
        <f>VLOOKUP(C336,코드!$E$3:$F$30,2,FALSE)</f>
        <v>8639</v>
      </c>
      <c r="E336" s="58" t="str">
        <f t="shared" si="21"/>
        <v>[D-3]</v>
      </c>
      <c r="F336" s="65" t="s">
        <v>336</v>
      </c>
      <c r="G336" s="65" t="s">
        <v>374</v>
      </c>
      <c r="H336" s="66" t="s">
        <v>381</v>
      </c>
      <c r="I336" s="70" t="s">
        <v>251</v>
      </c>
      <c r="J336" s="70" t="s">
        <v>394</v>
      </c>
      <c r="K336" s="69" t="s">
        <v>84</v>
      </c>
      <c r="L336" s="68" t="s">
        <v>22</v>
      </c>
      <c r="M336" s="68">
        <f>VLOOKUP(L336,코드!$B$3:$C$29,2,FALSE)</f>
        <v>4118701</v>
      </c>
      <c r="N336" s="69" t="s">
        <v>96</v>
      </c>
      <c r="O336" s="68" t="s">
        <v>68</v>
      </c>
      <c r="P336" s="75"/>
      <c r="Q336" s="75"/>
      <c r="R336" s="75"/>
      <c r="S336" s="76">
        <v>34968600</v>
      </c>
      <c r="T336" s="75"/>
      <c r="U336" s="75">
        <v>34968600</v>
      </c>
      <c r="V336" s="61" t="s">
        <v>67</v>
      </c>
      <c r="W336" s="60">
        <f t="shared" si="23"/>
        <v>1</v>
      </c>
      <c r="X336" s="46"/>
      <c r="Y336" s="74"/>
      <c r="Z336" s="46"/>
      <c r="AD336" s="46"/>
      <c r="AE336" s="46"/>
    </row>
    <row r="337" spans="1:31" s="59" customFormat="1" ht="17.25" customHeight="1">
      <c r="A337" s="59" t="s">
        <v>257</v>
      </c>
      <c r="B337" s="58" t="s">
        <v>338</v>
      </c>
      <c r="C337" s="155" t="s">
        <v>337</v>
      </c>
      <c r="D337" s="58" t="str">
        <f>VLOOKUP(C337,코드!$E$3:$F$30,2,FALSE)</f>
        <v>8639</v>
      </c>
      <c r="E337" s="58" t="str">
        <f t="shared" si="21"/>
        <v>[D-3]</v>
      </c>
      <c r="F337" s="65" t="s">
        <v>336</v>
      </c>
      <c r="G337" s="65" t="s">
        <v>374</v>
      </c>
      <c r="H337" s="66" t="s">
        <v>381</v>
      </c>
      <c r="I337" s="65" t="s">
        <v>390</v>
      </c>
      <c r="J337" s="65" t="s">
        <v>393</v>
      </c>
      <c r="K337" s="72" t="s">
        <v>130</v>
      </c>
      <c r="L337" s="72" t="s">
        <v>17</v>
      </c>
      <c r="M337" s="58">
        <f>VLOOKUP(L337,코드!$B$3:$C$29,2,FALSE)</f>
        <v>4241130</v>
      </c>
      <c r="N337" s="72" t="s">
        <v>259</v>
      </c>
      <c r="O337" s="130" t="s">
        <v>339</v>
      </c>
      <c r="P337" s="159">
        <v>30000</v>
      </c>
      <c r="Q337" s="75">
        <v>50</v>
      </c>
      <c r="R337" s="75">
        <v>3</v>
      </c>
      <c r="S337" s="76">
        <v>3000000</v>
      </c>
      <c r="T337" s="75"/>
      <c r="U337" s="82">
        <f>S337</f>
        <v>3000000</v>
      </c>
      <c r="V337" s="87" t="s">
        <v>153</v>
      </c>
      <c r="W337" s="60">
        <f t="shared" si="23"/>
        <v>1</v>
      </c>
      <c r="X337" s="46"/>
      <c r="Y337" s="74"/>
      <c r="Z337" s="46"/>
      <c r="AD337" s="46"/>
      <c r="AE337" s="46"/>
    </row>
    <row r="338" spans="1:31" s="59" customFormat="1" ht="17.25" customHeight="1">
      <c r="A338" s="59" t="s">
        <v>257</v>
      </c>
      <c r="B338" s="58" t="s">
        <v>338</v>
      </c>
      <c r="C338" s="155" t="s">
        <v>337</v>
      </c>
      <c r="D338" s="58" t="str">
        <f>VLOOKUP(C338,코드!$E$3:$F$30,2,FALSE)</f>
        <v>8639</v>
      </c>
      <c r="E338" s="58" t="str">
        <f t="shared" si="21"/>
        <v>[D-3]</v>
      </c>
      <c r="F338" s="65" t="s">
        <v>336</v>
      </c>
      <c r="G338" s="65" t="s">
        <v>374</v>
      </c>
      <c r="H338" s="66" t="s">
        <v>381</v>
      </c>
      <c r="I338" s="65" t="s">
        <v>390</v>
      </c>
      <c r="J338" s="65" t="s">
        <v>391</v>
      </c>
      <c r="K338" s="72" t="s">
        <v>130</v>
      </c>
      <c r="L338" s="72" t="s">
        <v>17</v>
      </c>
      <c r="M338" s="58">
        <f>VLOOKUP(L338,코드!$B$3:$C$29,2,FALSE)</f>
        <v>4241130</v>
      </c>
      <c r="N338" s="72" t="s">
        <v>262</v>
      </c>
      <c r="O338" s="130" t="s">
        <v>339</v>
      </c>
      <c r="P338" s="159"/>
      <c r="Q338" s="75"/>
      <c r="R338" s="75"/>
      <c r="S338" s="76">
        <v>1500000</v>
      </c>
      <c r="T338" s="75"/>
      <c r="U338" s="82">
        <f>S338</f>
        <v>1500000</v>
      </c>
      <c r="V338" s="87" t="s">
        <v>153</v>
      </c>
      <c r="W338" s="60">
        <f t="shared" si="23"/>
        <v>1</v>
      </c>
      <c r="X338" s="46"/>
      <c r="Y338" s="74"/>
      <c r="Z338" s="46"/>
      <c r="AD338" s="46"/>
      <c r="AE338" s="46"/>
    </row>
    <row r="339" spans="1:31" s="59" customFormat="1" ht="17.25" customHeight="1">
      <c r="A339" s="59" t="s">
        <v>257</v>
      </c>
      <c r="B339" s="58" t="s">
        <v>338</v>
      </c>
      <c r="C339" s="155" t="s">
        <v>337</v>
      </c>
      <c r="D339" s="58" t="str">
        <f>VLOOKUP(C339,코드!$E$3:$F$30,2,FALSE)</f>
        <v>8639</v>
      </c>
      <c r="E339" s="58" t="str">
        <f t="shared" si="21"/>
        <v>[D-3]</v>
      </c>
      <c r="F339" s="65" t="s">
        <v>336</v>
      </c>
      <c r="G339" s="65" t="s">
        <v>392</v>
      </c>
      <c r="H339" s="66" t="s">
        <v>381</v>
      </c>
      <c r="I339" s="65" t="s">
        <v>390</v>
      </c>
      <c r="J339" s="65" t="s">
        <v>391</v>
      </c>
      <c r="K339" s="72" t="s">
        <v>130</v>
      </c>
      <c r="L339" s="72" t="s">
        <v>33</v>
      </c>
      <c r="M339" s="58">
        <f>VLOOKUP(L339,코드!$B$3:$C$29,2,FALSE)</f>
        <v>1314903</v>
      </c>
      <c r="N339" s="72"/>
      <c r="O339" s="130"/>
      <c r="P339" s="159"/>
      <c r="Q339" s="75"/>
      <c r="R339" s="75"/>
      <c r="S339" s="76">
        <v>0</v>
      </c>
      <c r="T339" s="75"/>
      <c r="U339" s="78">
        <v>0</v>
      </c>
      <c r="V339" s="71"/>
      <c r="W339" s="60" t="e">
        <f t="shared" si="23"/>
        <v>#DIV/0!</v>
      </c>
      <c r="X339" s="46"/>
      <c r="Y339" s="74"/>
      <c r="Z339" s="46"/>
      <c r="AD339" s="46"/>
      <c r="AE339" s="46"/>
    </row>
    <row r="340" spans="1:31" s="59" customFormat="1" ht="17.25" customHeight="1">
      <c r="A340" s="59" t="s">
        <v>257</v>
      </c>
      <c r="B340" s="58" t="s">
        <v>338</v>
      </c>
      <c r="C340" s="155" t="s">
        <v>337</v>
      </c>
      <c r="D340" s="58" t="str">
        <f>VLOOKUP(C340,코드!$E$3:$F$30,2,FALSE)</f>
        <v>8639</v>
      </c>
      <c r="E340" s="58" t="str">
        <f t="shared" si="21"/>
        <v>[D-3]</v>
      </c>
      <c r="F340" s="65" t="s">
        <v>336</v>
      </c>
      <c r="G340" s="65" t="s">
        <v>374</v>
      </c>
      <c r="H340" s="66" t="s">
        <v>381</v>
      </c>
      <c r="I340" s="65" t="s">
        <v>390</v>
      </c>
      <c r="J340" s="65" t="s">
        <v>389</v>
      </c>
      <c r="K340" s="72" t="s">
        <v>130</v>
      </c>
      <c r="L340" s="72" t="s">
        <v>29</v>
      </c>
      <c r="M340" s="58">
        <f>VLOOKUP(L340,코드!$B$3:$C$29,2,FALSE)</f>
        <v>4113401</v>
      </c>
      <c r="N340" s="72" t="s">
        <v>356</v>
      </c>
      <c r="O340" s="130" t="s">
        <v>339</v>
      </c>
      <c r="P340" s="159">
        <v>200000</v>
      </c>
      <c r="Q340" s="75">
        <v>6</v>
      </c>
      <c r="R340" s="75">
        <v>1</v>
      </c>
      <c r="S340" s="76">
        <v>1200000</v>
      </c>
      <c r="T340" s="75"/>
      <c r="U340" s="82">
        <f>S340</f>
        <v>1200000</v>
      </c>
      <c r="V340" s="87" t="s">
        <v>153</v>
      </c>
      <c r="W340" s="60">
        <f t="shared" si="23"/>
        <v>1</v>
      </c>
      <c r="X340" s="46"/>
      <c r="Y340" s="74"/>
      <c r="Z340" s="46"/>
      <c r="AD340" s="46"/>
      <c r="AE340" s="46"/>
    </row>
    <row r="341" spans="1:31" s="59" customFormat="1" ht="17.25" customHeight="1">
      <c r="A341" s="59" t="s">
        <v>257</v>
      </c>
      <c r="B341" s="58" t="s">
        <v>338</v>
      </c>
      <c r="C341" s="155" t="s">
        <v>337</v>
      </c>
      <c r="D341" s="58" t="str">
        <f>VLOOKUP(C341,코드!$E$3:$F$30,2,FALSE)</f>
        <v>8639</v>
      </c>
      <c r="E341" s="58" t="str">
        <f t="shared" si="21"/>
        <v>[D-3]</v>
      </c>
      <c r="F341" s="65" t="s">
        <v>336</v>
      </c>
      <c r="G341" s="65" t="s">
        <v>374</v>
      </c>
      <c r="H341" s="66" t="s">
        <v>381</v>
      </c>
      <c r="I341" s="65" t="s">
        <v>386</v>
      </c>
      <c r="J341" s="65" t="s">
        <v>388</v>
      </c>
      <c r="K341" s="72" t="s">
        <v>101</v>
      </c>
      <c r="L341" s="72" t="s">
        <v>15</v>
      </c>
      <c r="M341" s="58">
        <f>VLOOKUP(L341,코드!$B$3:$C$29,2,FALSE)</f>
        <v>4321701</v>
      </c>
      <c r="N341" s="72" t="s">
        <v>349</v>
      </c>
      <c r="O341" s="130" t="s">
        <v>348</v>
      </c>
      <c r="P341" s="159">
        <v>100000</v>
      </c>
      <c r="Q341" s="75">
        <v>70</v>
      </c>
      <c r="R341" s="75">
        <v>1</v>
      </c>
      <c r="S341" s="76">
        <v>7000000</v>
      </c>
      <c r="T341" s="75"/>
      <c r="U341" s="82">
        <f>S341</f>
        <v>7000000</v>
      </c>
      <c r="V341" s="87" t="s">
        <v>153</v>
      </c>
      <c r="W341" s="60">
        <f t="shared" si="23"/>
        <v>1</v>
      </c>
      <c r="X341" s="46"/>
      <c r="Y341" s="74"/>
      <c r="Z341" s="46"/>
      <c r="AD341" s="46"/>
      <c r="AE341" s="46"/>
    </row>
    <row r="342" spans="1:31" s="59" customFormat="1" ht="17.25" customHeight="1">
      <c r="A342" s="59" t="s">
        <v>257</v>
      </c>
      <c r="B342" s="58" t="s">
        <v>338</v>
      </c>
      <c r="C342" s="155" t="s">
        <v>337</v>
      </c>
      <c r="D342" s="58" t="str">
        <f>VLOOKUP(C342,코드!$E$3:$F$30,2,FALSE)</f>
        <v>8639</v>
      </c>
      <c r="E342" s="58" t="str">
        <f t="shared" si="21"/>
        <v>[D-3]</v>
      </c>
      <c r="F342" s="65" t="s">
        <v>387</v>
      </c>
      <c r="G342" s="65" t="s">
        <v>374</v>
      </c>
      <c r="H342" s="66" t="s">
        <v>381</v>
      </c>
      <c r="I342" s="65" t="s">
        <v>386</v>
      </c>
      <c r="J342" s="65" t="s">
        <v>385</v>
      </c>
      <c r="K342" s="72" t="s">
        <v>101</v>
      </c>
      <c r="L342" s="72" t="s">
        <v>15</v>
      </c>
      <c r="M342" s="58">
        <f>VLOOKUP(L342,코드!$B$3:$C$29,2,FALSE)</f>
        <v>4321701</v>
      </c>
      <c r="N342" s="72" t="s">
        <v>100</v>
      </c>
      <c r="O342" s="130" t="s">
        <v>348</v>
      </c>
      <c r="P342" s="159">
        <v>10320</v>
      </c>
      <c r="Q342" s="75">
        <v>1</v>
      </c>
      <c r="R342" s="75">
        <v>700</v>
      </c>
      <c r="S342" s="76">
        <v>8824000</v>
      </c>
      <c r="T342" s="75"/>
      <c r="U342" s="82">
        <f>S342</f>
        <v>8824000</v>
      </c>
      <c r="V342" s="87" t="s">
        <v>153</v>
      </c>
      <c r="W342" s="60">
        <f t="shared" si="23"/>
        <v>1</v>
      </c>
      <c r="X342" s="46"/>
      <c r="Y342" s="74"/>
      <c r="Z342" s="46"/>
      <c r="AD342" s="46"/>
      <c r="AE342" s="46"/>
    </row>
    <row r="343" spans="1:31" s="59" customFormat="1" ht="17.25" customHeight="1">
      <c r="A343" s="59" t="s">
        <v>257</v>
      </c>
      <c r="B343" s="58" t="s">
        <v>338</v>
      </c>
      <c r="C343" s="155" t="s">
        <v>337</v>
      </c>
      <c r="D343" s="58" t="str">
        <f>VLOOKUP(C343,코드!$E$3:$F$30,2,FALSE)</f>
        <v>8639</v>
      </c>
      <c r="E343" s="58" t="str">
        <f t="shared" si="21"/>
        <v>[D-3]</v>
      </c>
      <c r="F343" s="65" t="s">
        <v>336</v>
      </c>
      <c r="G343" s="65" t="s">
        <v>374</v>
      </c>
      <c r="H343" s="66" t="s">
        <v>381</v>
      </c>
      <c r="I343" s="65" t="s">
        <v>384</v>
      </c>
      <c r="J343" s="65" t="s">
        <v>383</v>
      </c>
      <c r="K343" s="72" t="s">
        <v>130</v>
      </c>
      <c r="L343" s="72" t="s">
        <v>17</v>
      </c>
      <c r="M343" s="58">
        <f>VLOOKUP(L343,코드!$B$3:$C$29,2,FALSE)</f>
        <v>4241130</v>
      </c>
      <c r="N343" s="72" t="s">
        <v>288</v>
      </c>
      <c r="O343" s="130" t="s">
        <v>339</v>
      </c>
      <c r="P343" s="159"/>
      <c r="Q343" s="75"/>
      <c r="R343" s="75"/>
      <c r="S343" s="76"/>
      <c r="T343" s="75"/>
      <c r="U343" s="165"/>
      <c r="V343" s="71" t="s">
        <v>378</v>
      </c>
      <c r="W343" s="60" t="e">
        <f t="shared" si="23"/>
        <v>#DIV/0!</v>
      </c>
      <c r="X343" s="46"/>
      <c r="Y343" s="74"/>
      <c r="Z343" s="46"/>
      <c r="AD343" s="46"/>
      <c r="AE343" s="46"/>
    </row>
    <row r="344" spans="1:31" s="59" customFormat="1" ht="17.25" customHeight="1">
      <c r="A344" s="59" t="s">
        <v>257</v>
      </c>
      <c r="B344" s="58" t="s">
        <v>338</v>
      </c>
      <c r="C344" s="155" t="s">
        <v>337</v>
      </c>
      <c r="D344" s="58" t="str">
        <f>VLOOKUP(C344,코드!$E$3:$F$30,2,FALSE)</f>
        <v>8639</v>
      </c>
      <c r="E344" s="58" t="str">
        <f t="shared" si="21"/>
        <v>[D-3]</v>
      </c>
      <c r="F344" s="65" t="s">
        <v>336</v>
      </c>
      <c r="G344" s="65" t="s">
        <v>374</v>
      </c>
      <c r="H344" s="66" t="s">
        <v>381</v>
      </c>
      <c r="I344" s="65" t="s">
        <v>380</v>
      </c>
      <c r="J344" s="65" t="s">
        <v>382</v>
      </c>
      <c r="K344" s="72" t="s">
        <v>130</v>
      </c>
      <c r="L344" s="72" t="s">
        <v>17</v>
      </c>
      <c r="M344" s="58">
        <f>VLOOKUP(L344,코드!$B$3:$C$29,2,FALSE)</f>
        <v>4241130</v>
      </c>
      <c r="N344" s="72" t="s">
        <v>262</v>
      </c>
      <c r="O344" s="130" t="s">
        <v>339</v>
      </c>
      <c r="P344" s="159">
        <v>30000</v>
      </c>
      <c r="Q344" s="75">
        <v>20</v>
      </c>
      <c r="R344" s="75">
        <v>3</v>
      </c>
      <c r="S344" s="76">
        <v>1200000</v>
      </c>
      <c r="T344" s="75"/>
      <c r="U344" s="78">
        <v>1200000</v>
      </c>
      <c r="V344" s="71" t="s">
        <v>316</v>
      </c>
      <c r="W344" s="60">
        <f t="shared" si="23"/>
        <v>1</v>
      </c>
      <c r="X344" s="46"/>
      <c r="Y344" s="74"/>
      <c r="Z344" s="46"/>
      <c r="AD344" s="46"/>
      <c r="AE344" s="46"/>
    </row>
    <row r="345" spans="1:31" s="59" customFormat="1" ht="17.25" customHeight="1">
      <c r="A345" s="59" t="s">
        <v>257</v>
      </c>
      <c r="B345" s="58" t="s">
        <v>338</v>
      </c>
      <c r="C345" s="155" t="s">
        <v>337</v>
      </c>
      <c r="D345" s="58" t="str">
        <f>VLOOKUP(C345,코드!$E$3:$F$30,2,FALSE)</f>
        <v>8639</v>
      </c>
      <c r="E345" s="58" t="str">
        <f t="shared" si="21"/>
        <v>[D-3]</v>
      </c>
      <c r="F345" s="65" t="s">
        <v>336</v>
      </c>
      <c r="G345" s="65" t="s">
        <v>374</v>
      </c>
      <c r="H345" s="66" t="s">
        <v>381</v>
      </c>
      <c r="I345" s="65" t="s">
        <v>380</v>
      </c>
      <c r="J345" s="65" t="s">
        <v>379</v>
      </c>
      <c r="K345" s="72" t="s">
        <v>130</v>
      </c>
      <c r="L345" s="72" t="s">
        <v>17</v>
      </c>
      <c r="M345" s="58">
        <f>VLOOKUP(L345,코드!$B$3:$C$29,2,FALSE)</f>
        <v>4241130</v>
      </c>
      <c r="N345" s="72" t="s">
        <v>262</v>
      </c>
      <c r="O345" s="130" t="s">
        <v>339</v>
      </c>
      <c r="P345" s="159"/>
      <c r="Q345" s="75"/>
      <c r="R345" s="75"/>
      <c r="S345" s="76">
        <v>1000000</v>
      </c>
      <c r="T345" s="75"/>
      <c r="U345" s="78">
        <v>1000000</v>
      </c>
      <c r="V345" s="71" t="s">
        <v>316</v>
      </c>
      <c r="W345" s="60">
        <f t="shared" si="23"/>
        <v>1</v>
      </c>
      <c r="X345" s="46"/>
      <c r="Y345" s="74"/>
      <c r="Z345" s="46"/>
      <c r="AD345" s="46"/>
      <c r="AE345" s="46"/>
    </row>
    <row r="346" spans="1:31" s="59" customFormat="1" ht="17.25" customHeight="1">
      <c r="A346" s="59" t="s">
        <v>257</v>
      </c>
      <c r="B346" s="58" t="s">
        <v>338</v>
      </c>
      <c r="C346" s="155" t="s">
        <v>337</v>
      </c>
      <c r="D346" s="58" t="str">
        <f>VLOOKUP(C346,코드!$E$3:$F$30,2,FALSE)</f>
        <v>8639</v>
      </c>
      <c r="E346" s="58" t="str">
        <f t="shared" si="21"/>
        <v>[D-3]</v>
      </c>
      <c r="F346" s="65" t="s">
        <v>336</v>
      </c>
      <c r="G346" s="65" t="s">
        <v>374</v>
      </c>
      <c r="H346" s="66" t="s">
        <v>381</v>
      </c>
      <c r="I346" s="65" t="s">
        <v>380</v>
      </c>
      <c r="J346" s="65" t="s">
        <v>379</v>
      </c>
      <c r="K346" s="72" t="s">
        <v>130</v>
      </c>
      <c r="L346" s="72" t="s">
        <v>17</v>
      </c>
      <c r="M346" s="58">
        <f>VLOOKUP(L346,코드!$B$3:$C$29,2,FALSE)</f>
        <v>4241130</v>
      </c>
      <c r="N346" s="72" t="s">
        <v>107</v>
      </c>
      <c r="O346" s="130" t="s">
        <v>339</v>
      </c>
      <c r="P346" s="159"/>
      <c r="Q346" s="75"/>
      <c r="R346" s="75"/>
      <c r="S346" s="161">
        <v>200000</v>
      </c>
      <c r="T346" s="75"/>
      <c r="U346" s="162">
        <v>200000</v>
      </c>
      <c r="V346" s="71" t="s">
        <v>378</v>
      </c>
      <c r="W346" s="60">
        <f t="shared" si="23"/>
        <v>1</v>
      </c>
      <c r="X346" s="46"/>
      <c r="Y346" s="74"/>
      <c r="Z346" s="46"/>
      <c r="AD346" s="46"/>
      <c r="AE346" s="46"/>
    </row>
    <row r="347" spans="1:31" s="59" customFormat="1" ht="17.25" customHeight="1">
      <c r="A347" s="59" t="s">
        <v>257</v>
      </c>
      <c r="B347" s="58" t="s">
        <v>338</v>
      </c>
      <c r="C347" s="155" t="s">
        <v>337</v>
      </c>
      <c r="D347" s="58" t="str">
        <f>VLOOKUP(C347,코드!$E$3:$F$30,2,FALSE)</f>
        <v>8639</v>
      </c>
      <c r="E347" s="58" t="str">
        <f t="shared" si="21"/>
        <v>[D-3]</v>
      </c>
      <c r="F347" s="65" t="s">
        <v>336</v>
      </c>
      <c r="G347" s="65" t="s">
        <v>374</v>
      </c>
      <c r="H347" s="66" t="s">
        <v>373</v>
      </c>
      <c r="I347" s="65" t="s">
        <v>377</v>
      </c>
      <c r="J347" s="65" t="s">
        <v>376</v>
      </c>
      <c r="K347" s="72" t="s">
        <v>130</v>
      </c>
      <c r="L347" s="72" t="s">
        <v>29</v>
      </c>
      <c r="M347" s="58">
        <f>VLOOKUP(L347,코드!$B$3:$C$29,2,FALSE)</f>
        <v>4113401</v>
      </c>
      <c r="N347" s="72" t="s">
        <v>375</v>
      </c>
      <c r="O347" s="130" t="s">
        <v>339</v>
      </c>
      <c r="P347" s="159"/>
      <c r="Q347" s="75"/>
      <c r="R347" s="75"/>
      <c r="S347" s="76">
        <v>0</v>
      </c>
      <c r="T347" s="75"/>
      <c r="U347" s="78">
        <v>0</v>
      </c>
      <c r="V347" s="71"/>
      <c r="W347" s="60" t="e">
        <f t="shared" si="23"/>
        <v>#DIV/0!</v>
      </c>
      <c r="X347" s="46"/>
      <c r="Y347" s="74"/>
      <c r="Z347" s="46"/>
      <c r="AD347" s="46"/>
      <c r="AE347" s="46"/>
    </row>
    <row r="348" spans="1:31" s="59" customFormat="1" ht="17.25" customHeight="1">
      <c r="A348" s="59" t="s">
        <v>257</v>
      </c>
      <c r="B348" s="58" t="s">
        <v>338</v>
      </c>
      <c r="C348" s="155" t="s">
        <v>337</v>
      </c>
      <c r="D348" s="58" t="str">
        <f>VLOOKUP(C348,코드!$E$3:$F$30,2,FALSE)</f>
        <v>8639</v>
      </c>
      <c r="E348" s="58" t="str">
        <f t="shared" si="21"/>
        <v>[D-3]</v>
      </c>
      <c r="F348" s="65" t="s">
        <v>336</v>
      </c>
      <c r="G348" s="65" t="s">
        <v>374</v>
      </c>
      <c r="H348" s="66" t="s">
        <v>373</v>
      </c>
      <c r="I348" s="65" t="s">
        <v>372</v>
      </c>
      <c r="J348" s="65" t="s">
        <v>371</v>
      </c>
      <c r="K348" s="72" t="s">
        <v>130</v>
      </c>
      <c r="L348" s="72" t="s">
        <v>17</v>
      </c>
      <c r="M348" s="58">
        <f>VLOOKUP(L348,코드!$B$3:$C$29,2,FALSE)</f>
        <v>4241130</v>
      </c>
      <c r="N348" s="72" t="s">
        <v>259</v>
      </c>
      <c r="O348" s="130" t="s">
        <v>339</v>
      </c>
      <c r="P348" s="159">
        <v>1500000</v>
      </c>
      <c r="Q348" s="75">
        <v>1</v>
      </c>
      <c r="R348" s="75">
        <v>3</v>
      </c>
      <c r="S348" s="76">
        <v>3000000</v>
      </c>
      <c r="T348" s="75"/>
      <c r="U348" s="78">
        <v>3000000</v>
      </c>
      <c r="V348" s="71" t="s">
        <v>316</v>
      </c>
      <c r="W348" s="60">
        <f t="shared" si="23"/>
        <v>1</v>
      </c>
      <c r="X348" s="46"/>
      <c r="Y348" s="74"/>
      <c r="Z348" s="46"/>
      <c r="AD348" s="46"/>
      <c r="AE348" s="46"/>
    </row>
    <row r="349" spans="1:31" s="59" customFormat="1" ht="17.25" customHeight="1">
      <c r="A349" s="59" t="s">
        <v>257</v>
      </c>
      <c r="B349" s="58" t="s">
        <v>338</v>
      </c>
      <c r="C349" s="155" t="s">
        <v>370</v>
      </c>
      <c r="D349" s="58" t="str">
        <f>VLOOKUP(C349,코드!$E$3:$F$30,2,FALSE)</f>
        <v>8639</v>
      </c>
      <c r="E349" s="58" t="str">
        <f t="shared" si="21"/>
        <v>[D-3]</v>
      </c>
      <c r="F349" s="65" t="s">
        <v>336</v>
      </c>
      <c r="G349" s="65" t="s">
        <v>347</v>
      </c>
      <c r="H349" s="66" t="s">
        <v>360</v>
      </c>
      <c r="I349" s="65" t="s">
        <v>359</v>
      </c>
      <c r="J349" s="65" t="s">
        <v>369</v>
      </c>
      <c r="K349" s="72" t="s">
        <v>130</v>
      </c>
      <c r="L349" s="72" t="s">
        <v>17</v>
      </c>
      <c r="M349" s="58">
        <f>VLOOKUP(L349,코드!$B$3:$C$29,2,FALSE)</f>
        <v>4241130</v>
      </c>
      <c r="N349" s="72" t="s">
        <v>262</v>
      </c>
      <c r="O349" s="130" t="s">
        <v>339</v>
      </c>
      <c r="P349" s="159"/>
      <c r="Q349" s="75"/>
      <c r="R349" s="75"/>
      <c r="S349" s="76">
        <v>17538000</v>
      </c>
      <c r="T349" s="75"/>
      <c r="U349" s="78">
        <v>17538000</v>
      </c>
      <c r="V349" s="71" t="s">
        <v>316</v>
      </c>
      <c r="W349" s="60">
        <f t="shared" si="23"/>
        <v>1</v>
      </c>
      <c r="X349" s="46"/>
      <c r="Y349" s="74"/>
      <c r="Z349" s="46"/>
      <c r="AD349" s="46"/>
      <c r="AE349" s="46"/>
    </row>
    <row r="350" spans="1:31" s="59" customFormat="1" ht="17.25" customHeight="1">
      <c r="A350" s="59" t="s">
        <v>257</v>
      </c>
      <c r="B350" s="58" t="s">
        <v>338</v>
      </c>
      <c r="C350" s="155" t="s">
        <v>337</v>
      </c>
      <c r="D350" s="58" t="str">
        <f>VLOOKUP(C350,코드!$E$3:$F$30,2,FALSE)</f>
        <v>8639</v>
      </c>
      <c r="E350" s="58" t="str">
        <f t="shared" si="21"/>
        <v>[D-3]</v>
      </c>
      <c r="F350" s="65" t="s">
        <v>336</v>
      </c>
      <c r="G350" s="65" t="s">
        <v>347</v>
      </c>
      <c r="H350" s="66" t="s">
        <v>360</v>
      </c>
      <c r="I350" s="65" t="s">
        <v>359</v>
      </c>
      <c r="J350" s="65" t="s">
        <v>368</v>
      </c>
      <c r="K350" s="72" t="s">
        <v>130</v>
      </c>
      <c r="L350" s="72" t="s">
        <v>17</v>
      </c>
      <c r="M350" s="58">
        <f>VLOOKUP(L350,코드!$B$3:$C$29,2,FALSE)</f>
        <v>4241130</v>
      </c>
      <c r="N350" s="72" t="s">
        <v>259</v>
      </c>
      <c r="O350" s="130" t="s">
        <v>339</v>
      </c>
      <c r="P350" s="159">
        <v>5000000</v>
      </c>
      <c r="Q350" s="75">
        <v>2</v>
      </c>
      <c r="R350" s="75">
        <v>2</v>
      </c>
      <c r="S350" s="76">
        <v>20000000</v>
      </c>
      <c r="T350" s="75"/>
      <c r="U350" s="78">
        <v>20000000</v>
      </c>
      <c r="V350" s="71" t="s">
        <v>316</v>
      </c>
      <c r="W350" s="60">
        <f t="shared" si="23"/>
        <v>1</v>
      </c>
      <c r="X350" s="46"/>
      <c r="Y350" s="74"/>
      <c r="Z350" s="46"/>
      <c r="AD350" s="46"/>
      <c r="AE350" s="46"/>
    </row>
    <row r="351" spans="1:31" s="59" customFormat="1" ht="17.25" customHeight="1">
      <c r="A351" s="59" t="s">
        <v>257</v>
      </c>
      <c r="B351" s="58" t="s">
        <v>338</v>
      </c>
      <c r="C351" s="155" t="s">
        <v>337</v>
      </c>
      <c r="D351" s="58" t="str">
        <f>VLOOKUP(C351,코드!$E$3:$F$30,2,FALSE)</f>
        <v>8639</v>
      </c>
      <c r="E351" s="58" t="str">
        <f t="shared" si="21"/>
        <v>[D-3]</v>
      </c>
      <c r="F351" s="65" t="s">
        <v>336</v>
      </c>
      <c r="G351" s="65" t="s">
        <v>347</v>
      </c>
      <c r="H351" s="66" t="s">
        <v>360</v>
      </c>
      <c r="I351" s="65" t="s">
        <v>359</v>
      </c>
      <c r="J351" s="65" t="s">
        <v>367</v>
      </c>
      <c r="K351" s="72" t="s">
        <v>130</v>
      </c>
      <c r="L351" s="72" t="s">
        <v>17</v>
      </c>
      <c r="M351" s="58">
        <f>VLOOKUP(L351,코드!$B$3:$C$29,2,FALSE)</f>
        <v>4241130</v>
      </c>
      <c r="N351" s="72" t="s">
        <v>178</v>
      </c>
      <c r="O351" s="130" t="s">
        <v>339</v>
      </c>
      <c r="P351" s="159"/>
      <c r="Q351" s="75"/>
      <c r="R351" s="75"/>
      <c r="S351" s="161">
        <v>18432000</v>
      </c>
      <c r="T351" s="75"/>
      <c r="U351" s="162">
        <v>18432000</v>
      </c>
      <c r="V351" s="71" t="s">
        <v>316</v>
      </c>
      <c r="W351" s="60">
        <f t="shared" si="23"/>
        <v>1</v>
      </c>
      <c r="X351" s="46"/>
      <c r="Y351" s="74"/>
      <c r="Z351" s="46"/>
      <c r="AD351" s="46"/>
      <c r="AE351" s="46"/>
    </row>
    <row r="352" spans="1:31" s="59" customFormat="1" ht="17.25" customHeight="1">
      <c r="A352" s="59" t="s">
        <v>257</v>
      </c>
      <c r="B352" s="58" t="s">
        <v>338</v>
      </c>
      <c r="C352" s="155" t="s">
        <v>337</v>
      </c>
      <c r="D352" s="58" t="str">
        <f>VLOOKUP(C352,코드!$E$3:$F$30,2,FALSE)</f>
        <v>8639</v>
      </c>
      <c r="E352" s="58" t="str">
        <f t="shared" si="21"/>
        <v>[D-3]</v>
      </c>
      <c r="F352" s="65" t="s">
        <v>336</v>
      </c>
      <c r="G352" s="65" t="s">
        <v>347</v>
      </c>
      <c r="H352" s="66" t="s">
        <v>360</v>
      </c>
      <c r="I352" s="65" t="s">
        <v>359</v>
      </c>
      <c r="J352" s="65" t="s">
        <v>366</v>
      </c>
      <c r="K352" s="72" t="s">
        <v>130</v>
      </c>
      <c r="L352" s="72" t="s">
        <v>17</v>
      </c>
      <c r="M352" s="58">
        <f>VLOOKUP(L352,코드!$B$3:$C$29,2,FALSE)</f>
        <v>4241130</v>
      </c>
      <c r="N352" s="72" t="s">
        <v>365</v>
      </c>
      <c r="O352" s="130" t="s">
        <v>339</v>
      </c>
      <c r="P352" s="159">
        <v>40000</v>
      </c>
      <c r="Q352" s="75">
        <v>5</v>
      </c>
      <c r="R352" s="75">
        <v>35</v>
      </c>
      <c r="S352" s="161">
        <v>19000000</v>
      </c>
      <c r="T352" s="75"/>
      <c r="U352" s="162">
        <v>19000000</v>
      </c>
      <c r="V352" s="71" t="s">
        <v>316</v>
      </c>
      <c r="W352" s="60">
        <f t="shared" si="23"/>
        <v>1</v>
      </c>
      <c r="X352" s="46"/>
      <c r="Y352" s="74"/>
      <c r="Z352" s="46"/>
      <c r="AD352" s="46"/>
      <c r="AE352" s="46"/>
    </row>
    <row r="353" spans="1:31" s="59" customFormat="1" ht="17.25" customHeight="1">
      <c r="A353" s="59" t="s">
        <v>257</v>
      </c>
      <c r="B353" s="58" t="s">
        <v>338</v>
      </c>
      <c r="C353" s="155" t="s">
        <v>337</v>
      </c>
      <c r="D353" s="58" t="str">
        <f>VLOOKUP(C353,코드!$E$3:$F$30,2,FALSE)</f>
        <v>8639</v>
      </c>
      <c r="E353" s="58" t="str">
        <f t="shared" si="21"/>
        <v>[D-3]</v>
      </c>
      <c r="F353" s="65" t="s">
        <v>336</v>
      </c>
      <c r="G353" s="65" t="s">
        <v>347</v>
      </c>
      <c r="H353" s="66" t="s">
        <v>360</v>
      </c>
      <c r="I353" s="65" t="s">
        <v>364</v>
      </c>
      <c r="J353" s="155" t="s">
        <v>363</v>
      </c>
      <c r="K353" s="72" t="s">
        <v>60</v>
      </c>
      <c r="L353" s="72" t="s">
        <v>17</v>
      </c>
      <c r="M353" s="58">
        <f>VLOOKUP(L353,코드!$B$3:$C$29,2,FALSE)</f>
        <v>4241130</v>
      </c>
      <c r="N353" s="72" t="s">
        <v>356</v>
      </c>
      <c r="O353" s="130" t="s">
        <v>339</v>
      </c>
      <c r="P353" s="159">
        <v>300000</v>
      </c>
      <c r="Q353" s="75">
        <v>35</v>
      </c>
      <c r="R353" s="75">
        <v>1</v>
      </c>
      <c r="S353" s="161">
        <v>6300000</v>
      </c>
      <c r="T353" s="75"/>
      <c r="U353" s="160">
        <v>6300000</v>
      </c>
      <c r="V353" s="71" t="s">
        <v>316</v>
      </c>
      <c r="W353" s="60">
        <f t="shared" si="23"/>
        <v>1</v>
      </c>
      <c r="X353" s="46"/>
      <c r="Y353" s="74"/>
      <c r="Z353" s="46"/>
      <c r="AD353" s="46"/>
      <c r="AE353" s="46"/>
    </row>
    <row r="354" spans="1:31" s="59" customFormat="1" ht="17.25" customHeight="1">
      <c r="A354" s="59" t="s">
        <v>257</v>
      </c>
      <c r="B354" s="58" t="s">
        <v>338</v>
      </c>
      <c r="C354" s="155" t="s">
        <v>337</v>
      </c>
      <c r="D354" s="58" t="str">
        <f>VLOOKUP(C354,코드!$E$3:$F$30,2,FALSE)</f>
        <v>8639</v>
      </c>
      <c r="E354" s="58" t="str">
        <f t="shared" si="21"/>
        <v>[D-3]</v>
      </c>
      <c r="F354" s="65" t="s">
        <v>336</v>
      </c>
      <c r="G354" s="65" t="s">
        <v>355</v>
      </c>
      <c r="H354" s="66" t="s">
        <v>360</v>
      </c>
      <c r="I354" s="65" t="s">
        <v>359</v>
      </c>
      <c r="J354" s="65" t="s">
        <v>362</v>
      </c>
      <c r="K354" s="72" t="s">
        <v>130</v>
      </c>
      <c r="L354" s="72" t="s">
        <v>29</v>
      </c>
      <c r="M354" s="58">
        <f>VLOOKUP(L354,코드!$B$3:$C$29,2,FALSE)</f>
        <v>4113401</v>
      </c>
      <c r="N354" s="72" t="s">
        <v>356</v>
      </c>
      <c r="O354" s="130" t="s">
        <v>339</v>
      </c>
      <c r="P354" s="159">
        <v>100000</v>
      </c>
      <c r="Q354" s="75">
        <v>129</v>
      </c>
      <c r="R354" s="75">
        <v>1</v>
      </c>
      <c r="S354" s="76">
        <v>12900000</v>
      </c>
      <c r="T354" s="75"/>
      <c r="U354" s="78">
        <v>12900000</v>
      </c>
      <c r="V354" s="71" t="s">
        <v>316</v>
      </c>
      <c r="W354" s="60">
        <f t="shared" si="23"/>
        <v>1</v>
      </c>
      <c r="X354" s="46"/>
      <c r="Y354" s="74"/>
      <c r="Z354" s="46"/>
      <c r="AD354" s="46"/>
      <c r="AE354" s="46"/>
    </row>
    <row r="355" spans="1:31" s="59" customFormat="1" ht="17.25" customHeight="1">
      <c r="A355" s="59" t="s">
        <v>257</v>
      </c>
      <c r="B355" s="58" t="s">
        <v>338</v>
      </c>
      <c r="C355" s="155" t="s">
        <v>337</v>
      </c>
      <c r="D355" s="58" t="str">
        <f>VLOOKUP(C355,코드!$E$3:$F$30,2,FALSE)</f>
        <v>8639</v>
      </c>
      <c r="E355" s="58" t="str">
        <f t="shared" si="21"/>
        <v>[D-3]</v>
      </c>
      <c r="F355" s="65" t="s">
        <v>336</v>
      </c>
      <c r="G355" s="65" t="s">
        <v>347</v>
      </c>
      <c r="H355" s="66" t="s">
        <v>360</v>
      </c>
      <c r="I355" s="65" t="s">
        <v>359</v>
      </c>
      <c r="J355" s="65" t="s">
        <v>361</v>
      </c>
      <c r="K355" s="72" t="s">
        <v>101</v>
      </c>
      <c r="L355" s="72" t="s">
        <v>15</v>
      </c>
      <c r="M355" s="58">
        <f>VLOOKUP(L355,코드!$B$3:$C$29,2,FALSE)</f>
        <v>4321701</v>
      </c>
      <c r="N355" s="72" t="s">
        <v>100</v>
      </c>
      <c r="O355" s="130" t="s">
        <v>348</v>
      </c>
      <c r="P355" s="159"/>
      <c r="Q355" s="75"/>
      <c r="R355" s="75"/>
      <c r="S355" s="76">
        <v>29282000</v>
      </c>
      <c r="T355" s="75"/>
      <c r="U355" s="75">
        <v>29282000</v>
      </c>
      <c r="V355" s="71" t="s">
        <v>316</v>
      </c>
      <c r="W355" s="60">
        <f t="shared" si="23"/>
        <v>1</v>
      </c>
      <c r="X355" s="46"/>
      <c r="Y355" s="74"/>
      <c r="Z355" s="46"/>
      <c r="AD355" s="46"/>
      <c r="AE355" s="46"/>
    </row>
    <row r="356" spans="1:31" s="59" customFormat="1" ht="17.25" customHeight="1">
      <c r="A356" s="59" t="s">
        <v>257</v>
      </c>
      <c r="B356" s="58" t="s">
        <v>338</v>
      </c>
      <c r="C356" s="155" t="s">
        <v>337</v>
      </c>
      <c r="D356" s="58" t="str">
        <f>VLOOKUP(C356,코드!$E$3:$F$30,2,FALSE)</f>
        <v>8639</v>
      </c>
      <c r="E356" s="58" t="str">
        <f t="shared" si="21"/>
        <v>[D-3]</v>
      </c>
      <c r="F356" s="65" t="s">
        <v>336</v>
      </c>
      <c r="G356" s="65" t="s">
        <v>347</v>
      </c>
      <c r="H356" s="66" t="s">
        <v>360</v>
      </c>
      <c r="I356" s="65" t="s">
        <v>359</v>
      </c>
      <c r="J356" s="155" t="s">
        <v>358</v>
      </c>
      <c r="K356" s="72" t="s">
        <v>101</v>
      </c>
      <c r="L356" s="72" t="s">
        <v>15</v>
      </c>
      <c r="M356" s="58">
        <f>VLOOKUP(L356,코드!$B$3:$C$29,2,FALSE)</f>
        <v>4321701</v>
      </c>
      <c r="N356" s="72" t="s">
        <v>349</v>
      </c>
      <c r="O356" s="130" t="s">
        <v>348</v>
      </c>
      <c r="P356" s="159">
        <v>100000</v>
      </c>
      <c r="Q356" s="75">
        <v>30</v>
      </c>
      <c r="R356" s="75">
        <v>1</v>
      </c>
      <c r="S356" s="158">
        <v>2150000</v>
      </c>
      <c r="T356" s="157"/>
      <c r="U356" s="164">
        <v>2150000</v>
      </c>
      <c r="V356" s="71" t="s">
        <v>316</v>
      </c>
      <c r="W356" s="60">
        <f t="shared" si="23"/>
        <v>1</v>
      </c>
      <c r="X356" s="46"/>
      <c r="Y356" s="74"/>
      <c r="Z356" s="46"/>
      <c r="AD356" s="46"/>
      <c r="AE356" s="46"/>
    </row>
    <row r="357" spans="1:31" s="59" customFormat="1" ht="17.25" customHeight="1">
      <c r="A357" s="59" t="s">
        <v>257</v>
      </c>
      <c r="B357" s="58" t="s">
        <v>338</v>
      </c>
      <c r="C357" s="155" t="s">
        <v>337</v>
      </c>
      <c r="D357" s="58" t="str">
        <f>VLOOKUP(C357,코드!$E$3:$F$30,2,FALSE)</f>
        <v>8639</v>
      </c>
      <c r="E357" s="58" t="str">
        <f t="shared" si="21"/>
        <v>[D-3]</v>
      </c>
      <c r="F357" s="65" t="s">
        <v>336</v>
      </c>
      <c r="G357" s="65" t="s">
        <v>347</v>
      </c>
      <c r="H357" s="66" t="s">
        <v>346</v>
      </c>
      <c r="I357" s="65" t="s">
        <v>351</v>
      </c>
      <c r="J357" s="163" t="s">
        <v>357</v>
      </c>
      <c r="K357" s="72" t="s">
        <v>130</v>
      </c>
      <c r="L357" s="72" t="s">
        <v>17</v>
      </c>
      <c r="M357" s="58">
        <f>VLOOKUP(L357,코드!$B$3:$C$29,2,FALSE)</f>
        <v>4241130</v>
      </c>
      <c r="N357" s="72" t="s">
        <v>356</v>
      </c>
      <c r="O357" s="130" t="s">
        <v>339</v>
      </c>
      <c r="P357" s="159">
        <v>200000</v>
      </c>
      <c r="Q357" s="75">
        <v>68</v>
      </c>
      <c r="R357" s="75">
        <v>1</v>
      </c>
      <c r="S357" s="161">
        <v>6100000</v>
      </c>
      <c r="T357" s="75"/>
      <c r="U357" s="162">
        <v>6100000</v>
      </c>
      <c r="V357" s="71" t="s">
        <v>316</v>
      </c>
      <c r="W357" s="60">
        <f t="shared" si="23"/>
        <v>1</v>
      </c>
      <c r="X357" s="46"/>
      <c r="Y357" s="74"/>
      <c r="Z357" s="46"/>
      <c r="AD357" s="46"/>
      <c r="AE357" s="46"/>
    </row>
    <row r="358" spans="1:31" s="59" customFormat="1" ht="17.25" customHeight="1">
      <c r="A358" s="59" t="s">
        <v>257</v>
      </c>
      <c r="B358" s="58" t="s">
        <v>338</v>
      </c>
      <c r="C358" s="155" t="s">
        <v>337</v>
      </c>
      <c r="D358" s="58" t="str">
        <f>VLOOKUP(C358,코드!$E$3:$F$30,2,FALSE)</f>
        <v>8639</v>
      </c>
      <c r="E358" s="58" t="str">
        <f t="shared" si="21"/>
        <v>[D-3]</v>
      </c>
      <c r="F358" s="65" t="s">
        <v>336</v>
      </c>
      <c r="G358" s="65" t="s">
        <v>355</v>
      </c>
      <c r="H358" s="66" t="s">
        <v>346</v>
      </c>
      <c r="I358" s="65" t="s">
        <v>351</v>
      </c>
      <c r="J358" s="65" t="s">
        <v>354</v>
      </c>
      <c r="K358" s="72" t="s">
        <v>130</v>
      </c>
      <c r="L358" s="72" t="s">
        <v>17</v>
      </c>
      <c r="M358" s="58">
        <f>VLOOKUP(L358,코드!$B$3:$C$29,2,FALSE)</f>
        <v>4241130</v>
      </c>
      <c r="N358" s="72" t="s">
        <v>262</v>
      </c>
      <c r="O358" s="130" t="s">
        <v>339</v>
      </c>
      <c r="P358" s="159"/>
      <c r="Q358" s="75"/>
      <c r="R358" s="75"/>
      <c r="S358" s="76">
        <v>500000</v>
      </c>
      <c r="T358" s="75"/>
      <c r="U358" s="78">
        <v>500000</v>
      </c>
      <c r="V358" s="71" t="s">
        <v>316</v>
      </c>
      <c r="W358" s="60">
        <f t="shared" si="23"/>
        <v>1</v>
      </c>
      <c r="X358" s="46"/>
      <c r="Y358" s="74"/>
      <c r="Z358" s="46"/>
      <c r="AD358" s="46"/>
      <c r="AE358" s="46"/>
    </row>
    <row r="359" spans="1:31" s="59" customFormat="1" ht="17.25" customHeight="1">
      <c r="A359" s="59" t="s">
        <v>257</v>
      </c>
      <c r="B359" s="58" t="s">
        <v>338</v>
      </c>
      <c r="C359" s="155" t="s">
        <v>337</v>
      </c>
      <c r="D359" s="58" t="str">
        <f>VLOOKUP(C359,코드!$E$3:$F$30,2,FALSE)</f>
        <v>8639</v>
      </c>
      <c r="E359" s="58" t="str">
        <f t="shared" si="21"/>
        <v>[D-3]</v>
      </c>
      <c r="F359" s="65" t="s">
        <v>336</v>
      </c>
      <c r="G359" s="65" t="s">
        <v>347</v>
      </c>
      <c r="H359" s="66" t="s">
        <v>346</v>
      </c>
      <c r="I359" s="65" t="s">
        <v>351</v>
      </c>
      <c r="J359" s="65" t="s">
        <v>353</v>
      </c>
      <c r="K359" s="72" t="s">
        <v>130</v>
      </c>
      <c r="L359" s="72" t="s">
        <v>15</v>
      </c>
      <c r="M359" s="58">
        <f>VLOOKUP(L359,코드!$B$3:$C$29,2,FALSE)</f>
        <v>4321701</v>
      </c>
      <c r="N359" s="72" t="s">
        <v>352</v>
      </c>
      <c r="O359" s="130" t="s">
        <v>339</v>
      </c>
      <c r="P359" s="159">
        <v>400000</v>
      </c>
      <c r="Q359" s="75">
        <v>68</v>
      </c>
      <c r="R359" s="75">
        <v>1</v>
      </c>
      <c r="S359" s="76">
        <v>27200000</v>
      </c>
      <c r="T359" s="75"/>
      <c r="U359" s="75">
        <v>27200000</v>
      </c>
      <c r="V359" s="71" t="s">
        <v>316</v>
      </c>
      <c r="W359" s="60">
        <f t="shared" si="23"/>
        <v>1</v>
      </c>
      <c r="X359" s="46"/>
      <c r="Y359" s="74"/>
      <c r="Z359" s="46"/>
      <c r="AD359" s="46"/>
      <c r="AE359" s="46"/>
    </row>
    <row r="360" spans="1:31" s="59" customFormat="1" ht="17.25" customHeight="1">
      <c r="A360" s="59" t="s">
        <v>257</v>
      </c>
      <c r="B360" s="58" t="s">
        <v>338</v>
      </c>
      <c r="C360" s="155" t="s">
        <v>337</v>
      </c>
      <c r="D360" s="58" t="str">
        <f>VLOOKUP(C360,코드!$E$3:$F$30,2,FALSE)</f>
        <v>8639</v>
      </c>
      <c r="E360" s="58" t="str">
        <f t="shared" si="21"/>
        <v>[D-3]</v>
      </c>
      <c r="F360" s="65" t="s">
        <v>336</v>
      </c>
      <c r="G360" s="65" t="s">
        <v>347</v>
      </c>
      <c r="H360" s="66" t="s">
        <v>346</v>
      </c>
      <c r="I360" s="65" t="s">
        <v>351</v>
      </c>
      <c r="J360" s="65" t="s">
        <v>350</v>
      </c>
      <c r="K360" s="72" t="s">
        <v>101</v>
      </c>
      <c r="L360" s="72" t="s">
        <v>15</v>
      </c>
      <c r="M360" s="58">
        <f>VLOOKUP(L360,코드!$B$3:$C$29,2,FALSE)</f>
        <v>4321701</v>
      </c>
      <c r="N360" s="72" t="s">
        <v>349</v>
      </c>
      <c r="O360" s="130" t="s">
        <v>348</v>
      </c>
      <c r="P360" s="159">
        <v>100000</v>
      </c>
      <c r="Q360" s="75">
        <v>68</v>
      </c>
      <c r="R360" s="75">
        <v>1</v>
      </c>
      <c r="S360" s="161">
        <v>3600000</v>
      </c>
      <c r="T360" s="75"/>
      <c r="U360" s="160">
        <v>3600000</v>
      </c>
      <c r="V360" s="71" t="s">
        <v>316</v>
      </c>
      <c r="W360" s="60">
        <f t="shared" si="23"/>
        <v>1</v>
      </c>
      <c r="X360" s="46"/>
      <c r="Y360" s="74"/>
      <c r="Z360" s="46"/>
      <c r="AD360" s="46"/>
      <c r="AE360" s="46"/>
    </row>
    <row r="361" spans="1:31" s="59" customFormat="1" ht="17.25" customHeight="1">
      <c r="A361" s="59" t="s">
        <v>257</v>
      </c>
      <c r="B361" s="58" t="s">
        <v>338</v>
      </c>
      <c r="C361" s="155" t="s">
        <v>337</v>
      </c>
      <c r="D361" s="58" t="str">
        <f>VLOOKUP(C361,코드!$E$3:$F$30,2,FALSE)</f>
        <v>8639</v>
      </c>
      <c r="E361" s="58" t="str">
        <f t="shared" si="21"/>
        <v>[D-3]</v>
      </c>
      <c r="F361" s="65" t="s">
        <v>336</v>
      </c>
      <c r="G361" s="65" t="s">
        <v>347</v>
      </c>
      <c r="H361" s="66" t="s">
        <v>346</v>
      </c>
      <c r="I361" s="65" t="s">
        <v>345</v>
      </c>
      <c r="J361" s="65" t="s">
        <v>344</v>
      </c>
      <c r="K361" s="72" t="s">
        <v>130</v>
      </c>
      <c r="L361" s="72" t="s">
        <v>17</v>
      </c>
      <c r="M361" s="58">
        <f>VLOOKUP(L361,코드!$B$3:$C$29,2,FALSE)</f>
        <v>4241130</v>
      </c>
      <c r="N361" s="72"/>
      <c r="O361" s="130"/>
      <c r="P361" s="159">
        <v>0</v>
      </c>
      <c r="Q361" s="75">
        <v>1</v>
      </c>
      <c r="R361" s="75">
        <v>1</v>
      </c>
      <c r="S361" s="76">
        <v>0</v>
      </c>
      <c r="T361" s="75"/>
      <c r="U361" s="78">
        <v>0</v>
      </c>
      <c r="V361" s="71"/>
      <c r="W361" s="60" t="e">
        <f t="shared" si="23"/>
        <v>#DIV/0!</v>
      </c>
      <c r="X361" s="46"/>
      <c r="Y361" s="74"/>
      <c r="Z361" s="46"/>
      <c r="AD361" s="46"/>
      <c r="AE361" s="46"/>
    </row>
    <row r="362" spans="1:31" s="59" customFormat="1" ht="17.25" customHeight="1">
      <c r="A362" s="59" t="s">
        <v>257</v>
      </c>
      <c r="B362" s="58" t="s">
        <v>338</v>
      </c>
      <c r="C362" s="155" t="s">
        <v>337</v>
      </c>
      <c r="D362" s="58" t="str">
        <f>VLOOKUP(C362,코드!$E$3:$F$30,2,FALSE)</f>
        <v>8639</v>
      </c>
      <c r="E362" s="58" t="str">
        <f t="shared" si="21"/>
        <v>[D-3]</v>
      </c>
      <c r="F362" s="65" t="s">
        <v>336</v>
      </c>
      <c r="G362" s="65" t="s">
        <v>335</v>
      </c>
      <c r="H362" s="66" t="s">
        <v>342</v>
      </c>
      <c r="I362" s="65" t="s">
        <v>341</v>
      </c>
      <c r="J362" s="65" t="s">
        <v>343</v>
      </c>
      <c r="K362" s="72" t="s">
        <v>130</v>
      </c>
      <c r="L362" s="72" t="s">
        <v>17</v>
      </c>
      <c r="M362" s="58">
        <f>VLOOKUP(L362,코드!$B$3:$C$29,2,FALSE)</f>
        <v>4241130</v>
      </c>
      <c r="N362" s="72" t="s">
        <v>262</v>
      </c>
      <c r="O362" s="130" t="s">
        <v>339</v>
      </c>
      <c r="P362" s="75">
        <v>10000</v>
      </c>
      <c r="Q362" s="75">
        <v>900</v>
      </c>
      <c r="R362" s="75">
        <v>1</v>
      </c>
      <c r="S362" s="76">
        <v>7000000</v>
      </c>
      <c r="T362" s="75"/>
      <c r="U362" s="78">
        <v>7000000</v>
      </c>
      <c r="V362" s="71" t="s">
        <v>316</v>
      </c>
      <c r="W362" s="60">
        <f t="shared" si="23"/>
        <v>1</v>
      </c>
      <c r="X362" s="46"/>
      <c r="Y362" s="74"/>
      <c r="Z362" s="46"/>
      <c r="AD362" s="46"/>
      <c r="AE362" s="46"/>
    </row>
    <row r="363" spans="1:31" s="59" customFormat="1" ht="17.25" customHeight="1">
      <c r="A363" s="59" t="s">
        <v>257</v>
      </c>
      <c r="B363" s="58" t="s">
        <v>338</v>
      </c>
      <c r="C363" s="155" t="s">
        <v>337</v>
      </c>
      <c r="D363" s="58" t="str">
        <f>VLOOKUP(C363,코드!$E$3:$F$30,2,FALSE)</f>
        <v>8639</v>
      </c>
      <c r="E363" s="58" t="str">
        <f t="shared" si="21"/>
        <v>[D-3]</v>
      </c>
      <c r="F363" s="65" t="s">
        <v>336</v>
      </c>
      <c r="G363" s="65" t="s">
        <v>335</v>
      </c>
      <c r="H363" s="66" t="s">
        <v>342</v>
      </c>
      <c r="I363" s="65" t="s">
        <v>341</v>
      </c>
      <c r="J363" s="65" t="s">
        <v>340</v>
      </c>
      <c r="K363" s="72" t="s">
        <v>130</v>
      </c>
      <c r="L363" s="72" t="s">
        <v>17</v>
      </c>
      <c r="M363" s="58">
        <f>VLOOKUP(L363,코드!$B$3:$C$29,2,FALSE)</f>
        <v>4241130</v>
      </c>
      <c r="N363" s="72" t="s">
        <v>288</v>
      </c>
      <c r="O363" s="130" t="s">
        <v>339</v>
      </c>
      <c r="P363" s="75">
        <v>500000</v>
      </c>
      <c r="Q363" s="75">
        <v>4</v>
      </c>
      <c r="R363" s="75">
        <v>1</v>
      </c>
      <c r="S363" s="158">
        <v>2230000</v>
      </c>
      <c r="T363" s="157"/>
      <c r="U363" s="156">
        <v>2230000</v>
      </c>
      <c r="V363" s="71" t="s">
        <v>316</v>
      </c>
      <c r="W363" s="60">
        <f t="shared" si="23"/>
        <v>1</v>
      </c>
      <c r="X363" s="46"/>
      <c r="Y363" s="74"/>
      <c r="Z363" s="46"/>
      <c r="AD363" s="46"/>
      <c r="AE363" s="46"/>
    </row>
    <row r="364" spans="1:31" s="59" customFormat="1" ht="17.25" customHeight="1">
      <c r="A364" s="59" t="s">
        <v>257</v>
      </c>
      <c r="B364" s="58" t="s">
        <v>338</v>
      </c>
      <c r="C364" s="155" t="s">
        <v>337</v>
      </c>
      <c r="D364" s="58" t="str">
        <f>VLOOKUP(C364,코드!$E$3:$F$30,2,FALSE)</f>
        <v>8639</v>
      </c>
      <c r="E364" s="58" t="str">
        <f t="shared" si="21"/>
        <v>[D-3]</v>
      </c>
      <c r="F364" s="65" t="s">
        <v>336</v>
      </c>
      <c r="G364" s="65" t="s">
        <v>335</v>
      </c>
      <c r="H364" s="66" t="s">
        <v>334</v>
      </c>
      <c r="I364" s="65" t="s">
        <v>333</v>
      </c>
      <c r="J364" s="65" t="s">
        <v>332</v>
      </c>
      <c r="K364" s="72"/>
      <c r="L364" s="72"/>
      <c r="M364" s="58" t="e">
        <f>VLOOKUP(L364,코드!$B$3:$C$29,2,FALSE)</f>
        <v>#N/A</v>
      </c>
      <c r="N364" s="72"/>
      <c r="O364" s="130"/>
      <c r="P364" s="75"/>
      <c r="Q364" s="75"/>
      <c r="R364" s="75"/>
      <c r="S364" s="76"/>
      <c r="T364" s="75"/>
      <c r="U364" s="78">
        <v>0</v>
      </c>
      <c r="V364" s="71"/>
      <c r="W364" s="60" t="e">
        <f t="shared" si="23"/>
        <v>#DIV/0!</v>
      </c>
      <c r="X364" s="46"/>
      <c r="Y364" s="74"/>
      <c r="Z364" s="46"/>
      <c r="AD364" s="46"/>
      <c r="AE364" s="46"/>
    </row>
    <row r="365" spans="1:31" ht="17.25" customHeight="1">
      <c r="A365" s="59" t="s">
        <v>257</v>
      </c>
      <c r="B365" s="58" t="s">
        <v>256</v>
      </c>
      <c r="C365" s="65" t="s">
        <v>331</v>
      </c>
      <c r="D365" s="58" t="str">
        <f>VLOOKUP(C365,코드!$E$3:$F$30,2,FALSE)</f>
        <v>8631</v>
      </c>
      <c r="E365" s="58" t="str">
        <f t="shared" si="21"/>
        <v>[E-1]</v>
      </c>
      <c r="F365" s="65" t="s">
        <v>330</v>
      </c>
      <c r="G365" s="65" t="s">
        <v>329</v>
      </c>
      <c r="H365" s="66" t="s">
        <v>328</v>
      </c>
      <c r="I365" s="65" t="s">
        <v>327</v>
      </c>
      <c r="J365" s="65" t="s">
        <v>326</v>
      </c>
      <c r="K365" s="58" t="s">
        <v>60</v>
      </c>
      <c r="L365" s="58" t="s">
        <v>17</v>
      </c>
      <c r="M365" s="58">
        <f>VLOOKUP(L365,코드!$B$3:$C$29,2,FALSE)</f>
        <v>4241130</v>
      </c>
      <c r="N365" s="58" t="s">
        <v>129</v>
      </c>
      <c r="O365" s="130" t="s">
        <v>323</v>
      </c>
      <c r="P365" s="63">
        <v>30000</v>
      </c>
      <c r="Q365" s="63">
        <v>20</v>
      </c>
      <c r="R365" s="63">
        <v>5</v>
      </c>
      <c r="S365" s="64">
        <v>2970000</v>
      </c>
      <c r="T365" s="63"/>
      <c r="U365" s="82">
        <f>S365</f>
        <v>2970000</v>
      </c>
      <c r="V365" s="87" t="s">
        <v>153</v>
      </c>
      <c r="W365" s="60">
        <f t="shared" ref="W365:W396" si="24">U365/S365</f>
        <v>1</v>
      </c>
    </row>
    <row r="366" spans="1:31" ht="17.25" customHeight="1">
      <c r="A366" s="59" t="s">
        <v>257</v>
      </c>
      <c r="B366" s="58" t="s">
        <v>256</v>
      </c>
      <c r="C366" s="65" t="s">
        <v>133</v>
      </c>
      <c r="D366" s="58" t="str">
        <f>VLOOKUP(C366,코드!$E$3:$F$30,2,FALSE)</f>
        <v>8621</v>
      </c>
      <c r="E366" s="58" t="str">
        <f t="shared" si="21"/>
        <v>[E-1]</v>
      </c>
      <c r="F366" s="66" t="s">
        <v>325</v>
      </c>
      <c r="G366" s="65" t="s">
        <v>324</v>
      </c>
      <c r="H366" s="81"/>
      <c r="I366" s="80"/>
      <c r="J366" s="80"/>
      <c r="K366" s="58" t="s">
        <v>130</v>
      </c>
      <c r="L366" s="58" t="s">
        <v>17</v>
      </c>
      <c r="M366" s="58">
        <f>VLOOKUP(L366,코드!$B$3:$C$29,2,FALSE)</f>
        <v>4241130</v>
      </c>
      <c r="N366" s="58" t="s">
        <v>262</v>
      </c>
      <c r="O366" s="130" t="s">
        <v>323</v>
      </c>
      <c r="P366" s="63">
        <v>1000000</v>
      </c>
      <c r="Q366" s="63">
        <v>1</v>
      </c>
      <c r="R366" s="63">
        <v>1</v>
      </c>
      <c r="S366" s="64">
        <v>1500000</v>
      </c>
      <c r="T366" s="63"/>
      <c r="U366" s="62">
        <v>1500000</v>
      </c>
      <c r="V366" s="61" t="s">
        <v>127</v>
      </c>
      <c r="W366" s="60">
        <f t="shared" si="24"/>
        <v>1</v>
      </c>
    </row>
    <row r="367" spans="1:31" ht="17.25" customHeight="1">
      <c r="A367" s="59" t="s">
        <v>257</v>
      </c>
      <c r="B367" s="67" t="s">
        <v>256</v>
      </c>
      <c r="C367" s="153" t="s">
        <v>133</v>
      </c>
      <c r="D367" s="152" t="str">
        <f>VLOOKUP(C367,[1]코드!$E$3:$F$29,2,FALSE)</f>
        <v>8621</v>
      </c>
      <c r="E367" s="58" t="str">
        <f t="shared" si="21"/>
        <v>[E-2]</v>
      </c>
      <c r="F367" s="154" t="s">
        <v>301</v>
      </c>
      <c r="G367" s="153" t="s">
        <v>322</v>
      </c>
      <c r="H367" s="154"/>
      <c r="I367" s="153"/>
      <c r="J367" s="153"/>
      <c r="K367" s="67"/>
      <c r="L367" s="67"/>
      <c r="M367" s="152"/>
      <c r="N367" s="67"/>
      <c r="O367" s="67"/>
      <c r="P367" s="151"/>
      <c r="Q367" s="151"/>
      <c r="R367" s="151"/>
      <c r="S367" s="150"/>
      <c r="T367" s="63"/>
      <c r="U367" s="149">
        <v>0</v>
      </c>
      <c r="V367" s="148"/>
      <c r="W367" s="60" t="e">
        <f t="shared" si="24"/>
        <v>#DIV/0!</v>
      </c>
    </row>
    <row r="368" spans="1:31" ht="17.25" customHeight="1">
      <c r="A368" s="59" t="s">
        <v>257</v>
      </c>
      <c r="B368" s="58" t="s">
        <v>256</v>
      </c>
      <c r="C368" s="65" t="s">
        <v>188</v>
      </c>
      <c r="D368" s="58" t="str">
        <f>VLOOKUP(C368,코드!$E$3:$F$30,2,FALSE)</f>
        <v>8725</v>
      </c>
      <c r="E368" s="58" t="str">
        <f t="shared" si="21"/>
        <v>[E-2]</v>
      </c>
      <c r="F368" s="66" t="s">
        <v>301</v>
      </c>
      <c r="G368" s="65" t="s">
        <v>318</v>
      </c>
      <c r="H368" s="66" t="s">
        <v>321</v>
      </c>
      <c r="I368" s="65" t="s">
        <v>320</v>
      </c>
      <c r="J368" s="65" t="s">
        <v>319</v>
      </c>
      <c r="K368" s="58" t="s">
        <v>205</v>
      </c>
      <c r="L368" s="58" t="s">
        <v>20</v>
      </c>
      <c r="M368" s="58">
        <f>VLOOKUP(L368,코드!$B$3:$C$29,2,FALSE)</f>
        <v>4211402</v>
      </c>
      <c r="N368" s="58" t="s">
        <v>204</v>
      </c>
      <c r="O368" s="130" t="s">
        <v>298</v>
      </c>
      <c r="P368" s="63">
        <v>30000000</v>
      </c>
      <c r="Q368" s="63">
        <v>1</v>
      </c>
      <c r="R368" s="63">
        <v>1</v>
      </c>
      <c r="S368" s="64">
        <v>30000000</v>
      </c>
      <c r="T368" s="63"/>
      <c r="U368" s="82">
        <f>S368</f>
        <v>30000000</v>
      </c>
      <c r="V368" s="87" t="s">
        <v>153</v>
      </c>
      <c r="W368" s="60">
        <f t="shared" si="24"/>
        <v>1</v>
      </c>
      <c r="X368" s="146">
        <v>46185</v>
      </c>
    </row>
    <row r="369" spans="1:31" ht="17.25" customHeight="1">
      <c r="A369" s="59" t="s">
        <v>257</v>
      </c>
      <c r="B369" s="58" t="s">
        <v>256</v>
      </c>
      <c r="C369" s="65" t="s">
        <v>88</v>
      </c>
      <c r="D369" s="58">
        <f>VLOOKUP(C369,코드!$E$3:$F$30,2,FALSE)</f>
        <v>8719</v>
      </c>
      <c r="E369" s="58" t="str">
        <f t="shared" si="21"/>
        <v>[E-2]</v>
      </c>
      <c r="F369" s="66" t="s">
        <v>301</v>
      </c>
      <c r="G369" s="65" t="s">
        <v>318</v>
      </c>
      <c r="H369" s="66" t="s">
        <v>317</v>
      </c>
      <c r="I369" s="65" t="s">
        <v>317</v>
      </c>
      <c r="J369" s="65" t="s">
        <v>317</v>
      </c>
      <c r="K369" s="58" t="s">
        <v>205</v>
      </c>
      <c r="L369" s="58" t="s">
        <v>148</v>
      </c>
      <c r="M369" s="58">
        <f>VLOOKUP(L369,코드!$B$3:$C$29,2,FALSE)</f>
        <v>1314901</v>
      </c>
      <c r="N369" s="58" t="s">
        <v>204</v>
      </c>
      <c r="O369" s="130" t="s">
        <v>298</v>
      </c>
      <c r="P369" s="63">
        <v>76000000</v>
      </c>
      <c r="Q369" s="63">
        <v>1</v>
      </c>
      <c r="R369" s="63">
        <v>1</v>
      </c>
      <c r="S369" s="64">
        <v>76000000</v>
      </c>
      <c r="T369" s="63"/>
      <c r="U369" s="62">
        <v>76000000</v>
      </c>
      <c r="V369" s="61" t="s">
        <v>316</v>
      </c>
      <c r="W369" s="60">
        <f t="shared" si="24"/>
        <v>1</v>
      </c>
      <c r="X369" s="5">
        <v>73500000</v>
      </c>
      <c r="Y369" s="6" t="s">
        <v>315</v>
      </c>
    </row>
    <row r="370" spans="1:31" ht="17.25" customHeight="1">
      <c r="A370" s="59" t="s">
        <v>257</v>
      </c>
      <c r="B370" s="58" t="s">
        <v>256</v>
      </c>
      <c r="C370" s="65" t="s">
        <v>314</v>
      </c>
      <c r="D370" s="58">
        <f>VLOOKUP(C370,코드!$E$3:$F$30,2,FALSE)</f>
        <v>8693</v>
      </c>
      <c r="E370" s="58" t="str">
        <f t="shared" si="21"/>
        <v>[E-2]</v>
      </c>
      <c r="F370" s="66" t="s">
        <v>301</v>
      </c>
      <c r="G370" s="65" t="s">
        <v>300</v>
      </c>
      <c r="H370" s="66" t="s">
        <v>313</v>
      </c>
      <c r="I370" s="65" t="s">
        <v>312</v>
      </c>
      <c r="J370" s="65" t="s">
        <v>311</v>
      </c>
      <c r="K370" s="58" t="s">
        <v>205</v>
      </c>
      <c r="L370" s="147" t="s">
        <v>114</v>
      </c>
      <c r="M370" s="58">
        <f>VLOOKUP(L370,코드!$B$3:$C$29,2,FALSE)</f>
        <v>1314903</v>
      </c>
      <c r="N370" s="58" t="s">
        <v>204</v>
      </c>
      <c r="O370" s="130" t="s">
        <v>298</v>
      </c>
      <c r="P370" s="63">
        <v>500000000</v>
      </c>
      <c r="Q370" s="63">
        <v>1</v>
      </c>
      <c r="R370" s="63">
        <v>1</v>
      </c>
      <c r="S370" s="64">
        <v>500000000</v>
      </c>
      <c r="T370" s="63"/>
      <c r="U370" s="62">
        <v>500000000</v>
      </c>
      <c r="V370" s="61" t="s">
        <v>127</v>
      </c>
      <c r="W370" s="60">
        <f t="shared" si="24"/>
        <v>1</v>
      </c>
    </row>
    <row r="371" spans="1:31" ht="17.25" customHeight="1">
      <c r="A371" s="59" t="s">
        <v>257</v>
      </c>
      <c r="B371" s="58" t="s">
        <v>256</v>
      </c>
      <c r="C371" s="65" t="s">
        <v>210</v>
      </c>
      <c r="D371" s="58" t="str">
        <f>VLOOKUP(C371,코드!$E$3:$F$30,2,FALSE)</f>
        <v>8673</v>
      </c>
      <c r="E371" s="58" t="str">
        <f t="shared" si="21"/>
        <v>[E-2]</v>
      </c>
      <c r="F371" s="66" t="s">
        <v>301</v>
      </c>
      <c r="G371" s="65" t="s">
        <v>300</v>
      </c>
      <c r="H371" s="66" t="s">
        <v>309</v>
      </c>
      <c r="I371" s="66" t="s">
        <v>309</v>
      </c>
      <c r="J371" s="65" t="s">
        <v>308</v>
      </c>
      <c r="K371" s="58" t="s">
        <v>205</v>
      </c>
      <c r="L371" s="58" t="s">
        <v>20</v>
      </c>
      <c r="M371" s="58">
        <v>4211402</v>
      </c>
      <c r="N371" s="58" t="s">
        <v>204</v>
      </c>
      <c r="O371" s="130" t="s">
        <v>298</v>
      </c>
      <c r="P371" s="63">
        <v>5500000</v>
      </c>
      <c r="Q371" s="63">
        <v>1</v>
      </c>
      <c r="R371" s="63">
        <v>1</v>
      </c>
      <c r="S371" s="64">
        <v>5500000</v>
      </c>
      <c r="T371" s="63"/>
      <c r="U371" s="62">
        <f>Q371*R371*S371</f>
        <v>5500000</v>
      </c>
      <c r="V371" s="61" t="s">
        <v>306</v>
      </c>
      <c r="W371" s="60">
        <f t="shared" si="24"/>
        <v>1</v>
      </c>
      <c r="X371" s="146">
        <v>46218</v>
      </c>
    </row>
    <row r="372" spans="1:31" ht="17.25" customHeight="1">
      <c r="A372" s="59" t="s">
        <v>257</v>
      </c>
      <c r="B372" s="58" t="s">
        <v>256</v>
      </c>
      <c r="C372" s="65" t="s">
        <v>210</v>
      </c>
      <c r="D372" s="58" t="str">
        <f>VLOOKUP(C372,코드!$E$3:$F$30,2,FALSE)</f>
        <v>8673</v>
      </c>
      <c r="E372" s="58" t="str">
        <f t="shared" si="21"/>
        <v>[E-2]</v>
      </c>
      <c r="F372" s="66" t="s">
        <v>301</v>
      </c>
      <c r="G372" s="65" t="s">
        <v>300</v>
      </c>
      <c r="H372" s="66" t="s">
        <v>309</v>
      </c>
      <c r="I372" s="66" t="s">
        <v>309</v>
      </c>
      <c r="J372" s="65" t="s">
        <v>308</v>
      </c>
      <c r="K372" s="58" t="s">
        <v>205</v>
      </c>
      <c r="L372" s="58" t="s">
        <v>310</v>
      </c>
      <c r="M372" s="58">
        <v>4223401</v>
      </c>
      <c r="N372" s="58" t="s">
        <v>204</v>
      </c>
      <c r="O372" s="130" t="s">
        <v>298</v>
      </c>
      <c r="P372" s="63">
        <v>7160000</v>
      </c>
      <c r="Q372" s="63">
        <v>1</v>
      </c>
      <c r="R372" s="63">
        <v>1</v>
      </c>
      <c r="S372" s="64">
        <v>7160000</v>
      </c>
      <c r="T372" s="63"/>
      <c r="U372" s="62">
        <f>Q372*R372*S372</f>
        <v>7160000</v>
      </c>
      <c r="V372" s="61" t="s">
        <v>306</v>
      </c>
      <c r="W372" s="60">
        <f t="shared" si="24"/>
        <v>1</v>
      </c>
      <c r="X372" s="146">
        <v>46218</v>
      </c>
    </row>
    <row r="373" spans="1:31" ht="17.25" customHeight="1">
      <c r="A373" s="59" t="s">
        <v>257</v>
      </c>
      <c r="B373" s="58" t="s">
        <v>256</v>
      </c>
      <c r="C373" s="65" t="s">
        <v>210</v>
      </c>
      <c r="D373" s="58" t="str">
        <f>VLOOKUP(C373,코드!$E$3:$F$30,2,FALSE)</f>
        <v>8673</v>
      </c>
      <c r="E373" s="58" t="str">
        <f t="shared" si="21"/>
        <v>[E-2]</v>
      </c>
      <c r="F373" s="66" t="s">
        <v>301</v>
      </c>
      <c r="G373" s="65" t="s">
        <v>300</v>
      </c>
      <c r="H373" s="66" t="s">
        <v>309</v>
      </c>
      <c r="I373" s="66" t="s">
        <v>309</v>
      </c>
      <c r="J373" s="65" t="s">
        <v>308</v>
      </c>
      <c r="K373" s="58" t="s">
        <v>205</v>
      </c>
      <c r="L373" s="58" t="s">
        <v>307</v>
      </c>
      <c r="M373" s="58">
        <v>1315901</v>
      </c>
      <c r="N373" s="58" t="s">
        <v>204</v>
      </c>
      <c r="O373" s="130" t="s">
        <v>298</v>
      </c>
      <c r="P373" s="63">
        <v>14520000</v>
      </c>
      <c r="Q373" s="63">
        <v>1</v>
      </c>
      <c r="R373" s="63">
        <v>1</v>
      </c>
      <c r="S373" s="64">
        <v>14520000</v>
      </c>
      <c r="T373" s="63"/>
      <c r="U373" s="62">
        <f>Q373*R373*S373</f>
        <v>14520000</v>
      </c>
      <c r="V373" s="61" t="s">
        <v>306</v>
      </c>
      <c r="W373" s="60">
        <f t="shared" si="24"/>
        <v>1</v>
      </c>
      <c r="X373" s="146">
        <v>46218</v>
      </c>
    </row>
    <row r="374" spans="1:31" ht="17.25" customHeight="1">
      <c r="A374" s="59" t="s">
        <v>257</v>
      </c>
      <c r="B374" s="58" t="s">
        <v>256</v>
      </c>
      <c r="C374" s="65" t="s">
        <v>305</v>
      </c>
      <c r="D374" s="58">
        <v>8692</v>
      </c>
      <c r="E374" s="58" t="str">
        <f t="shared" si="21"/>
        <v>[E-2]</v>
      </c>
      <c r="F374" s="66" t="s">
        <v>301</v>
      </c>
      <c r="G374" s="65" t="s">
        <v>300</v>
      </c>
      <c r="H374" s="66"/>
      <c r="I374" s="65"/>
      <c r="J374" s="65"/>
      <c r="K374" s="58" t="s">
        <v>205</v>
      </c>
      <c r="L374" s="58" t="s">
        <v>114</v>
      </c>
      <c r="M374" s="58">
        <v>1315901</v>
      </c>
      <c r="N374" s="58" t="s">
        <v>147</v>
      </c>
      <c r="O374" s="130" t="s">
        <v>298</v>
      </c>
      <c r="P374" s="63"/>
      <c r="Q374" s="63"/>
      <c r="R374" s="63"/>
      <c r="S374" s="64">
        <v>100000000</v>
      </c>
      <c r="T374" s="63"/>
      <c r="U374" s="82">
        <f>S374</f>
        <v>100000000</v>
      </c>
      <c r="V374" s="87" t="s">
        <v>153</v>
      </c>
      <c r="W374" s="145">
        <f t="shared" si="24"/>
        <v>1</v>
      </c>
      <c r="X374" s="144"/>
      <c r="Z374" s="44"/>
      <c r="AD374" s="44"/>
    </row>
    <row r="375" spans="1:31" s="5" customFormat="1" ht="17.25" customHeight="1">
      <c r="A375" s="59" t="s">
        <v>257</v>
      </c>
      <c r="B375" s="58" t="s">
        <v>256</v>
      </c>
      <c r="C375" s="65" t="s">
        <v>303</v>
      </c>
      <c r="D375" s="58" t="str">
        <f>VLOOKUP(C375,코드!$E$3:$F$30,2,FALSE)</f>
        <v>8671</v>
      </c>
      <c r="E375" s="58" t="str">
        <f t="shared" si="21"/>
        <v>[E-2]</v>
      </c>
      <c r="F375" s="66" t="s">
        <v>301</v>
      </c>
      <c r="G375" s="65" t="s">
        <v>300</v>
      </c>
      <c r="H375" s="81"/>
      <c r="I375" s="80"/>
      <c r="J375" s="65" t="s">
        <v>304</v>
      </c>
      <c r="K375" s="58" t="s">
        <v>58</v>
      </c>
      <c r="L375" s="58" t="s">
        <v>20</v>
      </c>
      <c r="M375" s="58">
        <f>VLOOKUP(L375,코드!$B$3:$C$29,2,FALSE)</f>
        <v>4211402</v>
      </c>
      <c r="N375" s="58" t="s">
        <v>204</v>
      </c>
      <c r="O375" s="130" t="s">
        <v>298</v>
      </c>
      <c r="P375" s="63">
        <v>400000000</v>
      </c>
      <c r="Q375" s="63">
        <v>1</v>
      </c>
      <c r="R375" s="63">
        <v>1</v>
      </c>
      <c r="S375" s="64">
        <v>400000000</v>
      </c>
      <c r="T375" s="63"/>
      <c r="U375" s="82">
        <f>S375</f>
        <v>400000000</v>
      </c>
      <c r="V375" s="87" t="s">
        <v>153</v>
      </c>
      <c r="W375" s="60">
        <f t="shared" si="24"/>
        <v>1</v>
      </c>
      <c r="Y375" s="6"/>
    </row>
    <row r="376" spans="1:31" s="5" customFormat="1" ht="17.25" customHeight="1">
      <c r="A376" s="59" t="s">
        <v>257</v>
      </c>
      <c r="B376" s="58" t="s">
        <v>256</v>
      </c>
      <c r="C376" s="65" t="s">
        <v>303</v>
      </c>
      <c r="D376" s="58" t="str">
        <f>VLOOKUP(C376,코드!$E$3:$F$30,2,FALSE)</f>
        <v>8671</v>
      </c>
      <c r="E376" s="58" t="str">
        <f t="shared" si="21"/>
        <v>[E-2]</v>
      </c>
      <c r="F376" s="66" t="s">
        <v>301</v>
      </c>
      <c r="G376" s="65" t="s">
        <v>300</v>
      </c>
      <c r="H376" s="81"/>
      <c r="I376" s="80"/>
      <c r="J376" s="65" t="s">
        <v>302</v>
      </c>
      <c r="K376" s="58" t="s">
        <v>58</v>
      </c>
      <c r="L376" s="58" t="s">
        <v>20</v>
      </c>
      <c r="M376" s="58">
        <f>VLOOKUP(L376,코드!$B$3:$C$29,2,FALSE)</f>
        <v>4211402</v>
      </c>
      <c r="N376" s="58" t="s">
        <v>204</v>
      </c>
      <c r="O376" s="130" t="s">
        <v>298</v>
      </c>
      <c r="P376" s="63">
        <v>400000000</v>
      </c>
      <c r="Q376" s="63">
        <v>1</v>
      </c>
      <c r="R376" s="63">
        <v>1</v>
      </c>
      <c r="S376" s="64">
        <v>72000000</v>
      </c>
      <c r="T376" s="63"/>
      <c r="U376" s="82">
        <f>S376</f>
        <v>72000000</v>
      </c>
      <c r="V376" s="87" t="s">
        <v>153</v>
      </c>
      <c r="W376" s="60">
        <f t="shared" si="24"/>
        <v>1</v>
      </c>
      <c r="Y376" s="6"/>
    </row>
    <row r="377" spans="1:31" s="134" customFormat="1" ht="17.25" customHeight="1">
      <c r="A377" s="59" t="s">
        <v>257</v>
      </c>
      <c r="B377" s="141" t="s">
        <v>256</v>
      </c>
      <c r="C377" s="142" t="s">
        <v>88</v>
      </c>
      <c r="D377" s="141">
        <f>VLOOKUP(C377,코드!$E$3:$F$30,2,FALSE)</f>
        <v>8719</v>
      </c>
      <c r="E377" s="141" t="str">
        <f t="shared" si="21"/>
        <v>[E-2]</v>
      </c>
      <c r="F377" s="143" t="s">
        <v>301</v>
      </c>
      <c r="G377" s="142" t="s">
        <v>300</v>
      </c>
      <c r="H377" s="143" t="s">
        <v>299</v>
      </c>
      <c r="I377" s="142" t="s">
        <v>86</v>
      </c>
      <c r="J377" s="142"/>
      <c r="K377" s="141" t="s">
        <v>58</v>
      </c>
      <c r="L377" s="141" t="s">
        <v>179</v>
      </c>
      <c r="M377" s="141">
        <v>4241130</v>
      </c>
      <c r="N377" s="141"/>
      <c r="O377" s="141" t="s">
        <v>298</v>
      </c>
      <c r="P377" s="139">
        <v>70000000</v>
      </c>
      <c r="Q377" s="139">
        <v>1</v>
      </c>
      <c r="R377" s="139">
        <v>1</v>
      </c>
      <c r="S377" s="140">
        <v>37537780</v>
      </c>
      <c r="T377" s="139"/>
      <c r="U377" s="138"/>
      <c r="V377" s="137"/>
      <c r="W377" s="136">
        <f t="shared" si="24"/>
        <v>0</v>
      </c>
      <c r="X377" s="135" t="s">
        <v>297</v>
      </c>
      <c r="Y377" s="13"/>
      <c r="Z377" s="135"/>
      <c r="AD377" s="135"/>
      <c r="AE377" s="135"/>
    </row>
    <row r="378" spans="1:31" s="134" customFormat="1" ht="17.25" customHeight="1">
      <c r="A378" s="59" t="s">
        <v>257</v>
      </c>
      <c r="B378" s="141" t="s">
        <v>256</v>
      </c>
      <c r="C378" s="142" t="s">
        <v>88</v>
      </c>
      <c r="D378" s="141">
        <f>VLOOKUP(C378,코드!$E$3:$F$30,2,FALSE)</f>
        <v>8719</v>
      </c>
      <c r="E378" s="141" t="str">
        <f t="shared" si="21"/>
        <v>[E-2]</v>
      </c>
      <c r="F378" s="143" t="s">
        <v>301</v>
      </c>
      <c r="G378" s="142" t="s">
        <v>300</v>
      </c>
      <c r="H378" s="143" t="s">
        <v>299</v>
      </c>
      <c r="I378" s="142" t="s">
        <v>86</v>
      </c>
      <c r="J378" s="142"/>
      <c r="K378" s="141" t="s">
        <v>41</v>
      </c>
      <c r="L378" s="141" t="s">
        <v>148</v>
      </c>
      <c r="M378" s="141">
        <f>VLOOKUP(L378,코드!$B$3:$C$29,2,FALSE)</f>
        <v>1314901</v>
      </c>
      <c r="N378" s="141"/>
      <c r="O378" s="141" t="s">
        <v>298</v>
      </c>
      <c r="P378" s="139">
        <v>77017652</v>
      </c>
      <c r="Q378" s="139">
        <v>1</v>
      </c>
      <c r="R378" s="139">
        <v>1</v>
      </c>
      <c r="S378" s="140">
        <v>31323000</v>
      </c>
      <c r="T378" s="139"/>
      <c r="U378" s="138"/>
      <c r="V378" s="137"/>
      <c r="W378" s="136">
        <f t="shared" si="24"/>
        <v>0</v>
      </c>
      <c r="X378" s="135" t="s">
        <v>297</v>
      </c>
      <c r="Y378" s="13"/>
      <c r="Z378" s="135"/>
      <c r="AD378" s="135"/>
      <c r="AE378" s="135"/>
    </row>
    <row r="379" spans="1:31" s="59" customFormat="1" ht="17.25" customHeight="1">
      <c r="A379" s="59" t="s">
        <v>257</v>
      </c>
      <c r="B379" s="79" t="s">
        <v>256</v>
      </c>
      <c r="C379" s="71" t="s">
        <v>255</v>
      </c>
      <c r="D379" s="79" t="str">
        <f>VLOOKUP(C379,[1]코드!$E$3:$F$29,2,FALSE)</f>
        <v>8623</v>
      </c>
      <c r="E379" s="58" t="str">
        <f t="shared" si="21"/>
        <v>[E-3]</v>
      </c>
      <c r="F379" s="61" t="s">
        <v>254</v>
      </c>
      <c r="G379" s="61" t="s">
        <v>296</v>
      </c>
      <c r="H379" s="61" t="s">
        <v>295</v>
      </c>
      <c r="I379" s="61" t="s">
        <v>294</v>
      </c>
      <c r="J379" s="61" t="s">
        <v>293</v>
      </c>
      <c r="K379" s="79" t="s">
        <v>130</v>
      </c>
      <c r="L379" s="79" t="s">
        <v>17</v>
      </c>
      <c r="M379" s="79">
        <f>VLOOKUP(L379,[1]코드!$B$3:$C$29,2,FALSE)</f>
        <v>4241130</v>
      </c>
      <c r="N379" s="79" t="s">
        <v>262</v>
      </c>
      <c r="O379" s="130" t="s">
        <v>258</v>
      </c>
      <c r="P379" s="82">
        <v>300000</v>
      </c>
      <c r="Q379" s="82">
        <v>1</v>
      </c>
      <c r="R379" s="82">
        <v>1</v>
      </c>
      <c r="S379" s="127">
        <v>1500000</v>
      </c>
      <c r="T379" s="82"/>
      <c r="U379" s="129">
        <v>1500000</v>
      </c>
      <c r="V379" s="71" t="s">
        <v>127</v>
      </c>
      <c r="W379" s="60">
        <f t="shared" si="24"/>
        <v>1</v>
      </c>
      <c r="X379" s="46"/>
      <c r="Y379" s="74"/>
      <c r="Z379" s="46"/>
      <c r="AD379" s="46"/>
      <c r="AE379" s="46"/>
    </row>
    <row r="380" spans="1:31" s="59" customFormat="1" ht="17.25" customHeight="1">
      <c r="A380" s="59" t="s">
        <v>257</v>
      </c>
      <c r="B380" s="79" t="s">
        <v>256</v>
      </c>
      <c r="C380" s="71" t="s">
        <v>255</v>
      </c>
      <c r="D380" s="79" t="str">
        <f>VLOOKUP(C380,[1]코드!$E$3:$F$29,2,FALSE)</f>
        <v>8623</v>
      </c>
      <c r="E380" s="58" t="str">
        <f t="shared" si="21"/>
        <v>[E-3]</v>
      </c>
      <c r="F380" s="61" t="s">
        <v>254</v>
      </c>
      <c r="G380" s="61" t="s">
        <v>292</v>
      </c>
      <c r="H380" s="61" t="s">
        <v>291</v>
      </c>
      <c r="I380" s="61" t="s">
        <v>290</v>
      </c>
      <c r="J380" s="61" t="s">
        <v>289</v>
      </c>
      <c r="K380" s="79" t="s">
        <v>130</v>
      </c>
      <c r="L380" s="79" t="s">
        <v>17</v>
      </c>
      <c r="M380" s="79">
        <f>VLOOKUP(L380,[1]코드!$B$3:$C$29,2,FALSE)</f>
        <v>4241130</v>
      </c>
      <c r="N380" s="79" t="s">
        <v>288</v>
      </c>
      <c r="O380" s="130" t="s">
        <v>258</v>
      </c>
      <c r="P380" s="82">
        <v>1200000</v>
      </c>
      <c r="Q380" s="82">
        <v>1</v>
      </c>
      <c r="R380" s="82">
        <v>1</v>
      </c>
      <c r="S380" s="127">
        <v>3900000</v>
      </c>
      <c r="T380" s="82"/>
      <c r="U380" s="82">
        <f t="shared" ref="U380:U387" si="25">S380</f>
        <v>3900000</v>
      </c>
      <c r="V380" s="87" t="s">
        <v>153</v>
      </c>
      <c r="W380" s="60">
        <f t="shared" si="24"/>
        <v>1</v>
      </c>
      <c r="X380" s="46"/>
      <c r="Y380" s="74"/>
      <c r="Z380" s="46"/>
      <c r="AD380" s="46"/>
      <c r="AE380" s="46"/>
    </row>
    <row r="381" spans="1:31" s="59" customFormat="1" ht="17.25" customHeight="1">
      <c r="A381" s="59" t="s">
        <v>257</v>
      </c>
      <c r="B381" s="79" t="s">
        <v>256</v>
      </c>
      <c r="C381" s="71" t="s">
        <v>255</v>
      </c>
      <c r="D381" s="79" t="str">
        <f>VLOOKUP(C381,[1]코드!$E$3:$F$29,2,FALSE)</f>
        <v>8623</v>
      </c>
      <c r="E381" s="58" t="str">
        <f t="shared" si="21"/>
        <v>[E-3]</v>
      </c>
      <c r="F381" s="61" t="s">
        <v>254</v>
      </c>
      <c r="G381" s="61" t="s">
        <v>274</v>
      </c>
      <c r="H381" s="61" t="s">
        <v>279</v>
      </c>
      <c r="I381" s="61" t="s">
        <v>286</v>
      </c>
      <c r="J381" s="61" t="s">
        <v>287</v>
      </c>
      <c r="K381" s="79" t="s">
        <v>130</v>
      </c>
      <c r="L381" s="79" t="s">
        <v>17</v>
      </c>
      <c r="M381" s="79">
        <f>VLOOKUP(L381,[1]코드!$B$3:$C$29,2,FALSE)</f>
        <v>4241130</v>
      </c>
      <c r="N381" s="79" t="s">
        <v>262</v>
      </c>
      <c r="O381" s="130" t="s">
        <v>258</v>
      </c>
      <c r="P381" s="82">
        <v>3000000</v>
      </c>
      <c r="Q381" s="82">
        <v>1</v>
      </c>
      <c r="R381" s="82">
        <v>1</v>
      </c>
      <c r="S381" s="127">
        <v>7700000</v>
      </c>
      <c r="T381" s="82"/>
      <c r="U381" s="82">
        <f t="shared" si="25"/>
        <v>7700000</v>
      </c>
      <c r="V381" s="87" t="s">
        <v>153</v>
      </c>
      <c r="W381" s="60">
        <f t="shared" si="24"/>
        <v>1</v>
      </c>
      <c r="X381" s="46"/>
      <c r="Y381" s="74"/>
      <c r="Z381" s="46"/>
      <c r="AD381" s="46"/>
      <c r="AE381" s="46"/>
    </row>
    <row r="382" spans="1:31" s="59" customFormat="1" ht="17.25" customHeight="1">
      <c r="A382" s="59" t="s">
        <v>257</v>
      </c>
      <c r="B382" s="79" t="s">
        <v>256</v>
      </c>
      <c r="C382" s="71" t="s">
        <v>255</v>
      </c>
      <c r="D382" s="79" t="str">
        <f>VLOOKUP(C382,[1]코드!$E$3:$F$29,2,FALSE)</f>
        <v>8623</v>
      </c>
      <c r="E382" s="58" t="str">
        <f t="shared" si="21"/>
        <v>[E-3]</v>
      </c>
      <c r="F382" s="61" t="s">
        <v>254</v>
      </c>
      <c r="G382" s="61" t="s">
        <v>274</v>
      </c>
      <c r="H382" s="61" t="s">
        <v>279</v>
      </c>
      <c r="I382" s="61" t="s">
        <v>286</v>
      </c>
      <c r="J382" s="61" t="s">
        <v>285</v>
      </c>
      <c r="K382" s="79" t="s">
        <v>130</v>
      </c>
      <c r="L382" s="79" t="s">
        <v>18</v>
      </c>
      <c r="M382" s="79">
        <f>VLOOKUP(L382,[1]코드!$B$3:$C$29,2,FALSE)</f>
        <v>4233201</v>
      </c>
      <c r="N382" s="79" t="s">
        <v>266</v>
      </c>
      <c r="O382" s="130" t="s">
        <v>258</v>
      </c>
      <c r="P382" s="82">
        <v>85000</v>
      </c>
      <c r="Q382" s="82">
        <v>1</v>
      </c>
      <c r="R382" s="82">
        <v>2</v>
      </c>
      <c r="S382" s="127">
        <v>5500000</v>
      </c>
      <c r="T382" s="82"/>
      <c r="U382" s="82">
        <f t="shared" si="25"/>
        <v>5500000</v>
      </c>
      <c r="V382" s="87" t="s">
        <v>153</v>
      </c>
      <c r="W382" s="60">
        <f t="shared" si="24"/>
        <v>1</v>
      </c>
      <c r="X382" s="46"/>
      <c r="Y382" s="74"/>
      <c r="Z382" s="46"/>
      <c r="AD382" s="46"/>
      <c r="AE382" s="46"/>
    </row>
    <row r="383" spans="1:31" s="59" customFormat="1" ht="17.25" customHeight="1">
      <c r="A383" s="59" t="s">
        <v>257</v>
      </c>
      <c r="B383" s="79" t="s">
        <v>256</v>
      </c>
      <c r="C383" s="71" t="s">
        <v>255</v>
      </c>
      <c r="D383" s="79" t="str">
        <f>VLOOKUP(C383,[1]코드!$E$3:$F$29,2,FALSE)</f>
        <v>8623</v>
      </c>
      <c r="E383" s="58" t="str">
        <f t="shared" si="21"/>
        <v>[E-3]</v>
      </c>
      <c r="F383" s="61" t="s">
        <v>254</v>
      </c>
      <c r="G383" s="61" t="s">
        <v>284</v>
      </c>
      <c r="H383" s="61" t="s">
        <v>283</v>
      </c>
      <c r="I383" s="61" t="s">
        <v>282</v>
      </c>
      <c r="J383" s="61" t="s">
        <v>281</v>
      </c>
      <c r="K383" s="72" t="s">
        <v>130</v>
      </c>
      <c r="L383" s="79" t="s">
        <v>17</v>
      </c>
      <c r="M383" s="79">
        <f>VLOOKUP(L383,[1]코드!$B$3:$C$29,2,FALSE)</f>
        <v>4241130</v>
      </c>
      <c r="N383" s="79" t="s">
        <v>280</v>
      </c>
      <c r="O383" s="130" t="s">
        <v>258</v>
      </c>
      <c r="P383" s="131">
        <v>0</v>
      </c>
      <c r="Q383" s="82">
        <v>1</v>
      </c>
      <c r="R383" s="82">
        <v>1</v>
      </c>
      <c r="S383" s="76">
        <v>1180000</v>
      </c>
      <c r="T383" s="131"/>
      <c r="U383" s="82">
        <f t="shared" si="25"/>
        <v>1180000</v>
      </c>
      <c r="V383" s="87" t="s">
        <v>153</v>
      </c>
      <c r="W383" s="60">
        <f t="shared" si="24"/>
        <v>1</v>
      </c>
      <c r="X383" s="46"/>
      <c r="Y383" s="74"/>
      <c r="Z383" s="46"/>
      <c r="AD383" s="46"/>
      <c r="AE383" s="46"/>
    </row>
    <row r="384" spans="1:31" s="59" customFormat="1" ht="17.25" customHeight="1">
      <c r="A384" s="59" t="s">
        <v>257</v>
      </c>
      <c r="B384" s="79" t="s">
        <v>256</v>
      </c>
      <c r="C384" s="71" t="s">
        <v>255</v>
      </c>
      <c r="D384" s="79" t="str">
        <f>VLOOKUP(C384,[1]코드!$E$3:$F$29,2,FALSE)</f>
        <v>8623</v>
      </c>
      <c r="E384" s="58" t="str">
        <f t="shared" si="21"/>
        <v>[E-3]</v>
      </c>
      <c r="F384" s="61" t="s">
        <v>254</v>
      </c>
      <c r="G384" s="61" t="s">
        <v>274</v>
      </c>
      <c r="H384" s="61" t="s">
        <v>279</v>
      </c>
      <c r="I384" s="61" t="s">
        <v>278</v>
      </c>
      <c r="J384" s="61" t="s">
        <v>277</v>
      </c>
      <c r="K384" s="79" t="s">
        <v>205</v>
      </c>
      <c r="L384" s="79" t="s">
        <v>32</v>
      </c>
      <c r="M384" s="79">
        <f>VLOOKUP(L384,[1]코드!$B$3:$C$29,2,FALSE)</f>
        <v>1315903</v>
      </c>
      <c r="N384" s="79" t="s">
        <v>276</v>
      </c>
      <c r="O384" s="130" t="s">
        <v>270</v>
      </c>
      <c r="P384" s="131">
        <v>0</v>
      </c>
      <c r="Q384" s="82">
        <v>1</v>
      </c>
      <c r="R384" s="82">
        <v>1</v>
      </c>
      <c r="S384" s="132">
        <v>4000000</v>
      </c>
      <c r="T384" s="131"/>
      <c r="U384" s="82">
        <f t="shared" si="25"/>
        <v>4000000</v>
      </c>
      <c r="V384" s="87" t="s">
        <v>153</v>
      </c>
      <c r="W384" s="60">
        <f t="shared" si="24"/>
        <v>1</v>
      </c>
      <c r="X384" s="46"/>
      <c r="Y384" s="74"/>
      <c r="Z384" s="46"/>
      <c r="AD384" s="46"/>
      <c r="AE384" s="46"/>
    </row>
    <row r="385" spans="1:31" s="59" customFormat="1" ht="17.25" customHeight="1">
      <c r="A385" s="59" t="s">
        <v>257</v>
      </c>
      <c r="B385" s="79" t="s">
        <v>256</v>
      </c>
      <c r="C385" s="71" t="s">
        <v>255</v>
      </c>
      <c r="D385" s="79" t="str">
        <f>VLOOKUP(C385,[1]코드!$E$3:$F$29,2,FALSE)</f>
        <v>8623</v>
      </c>
      <c r="E385" s="58" t="str">
        <f t="shared" si="21"/>
        <v>[E-3]</v>
      </c>
      <c r="F385" s="61" t="s">
        <v>275</v>
      </c>
      <c r="G385" s="61" t="s">
        <v>274</v>
      </c>
      <c r="H385" s="61" t="s">
        <v>273</v>
      </c>
      <c r="I385" s="61" t="s">
        <v>272</v>
      </c>
      <c r="J385" s="61" t="s">
        <v>271</v>
      </c>
      <c r="K385" s="133" t="s">
        <v>205</v>
      </c>
      <c r="L385" s="79" t="s">
        <v>33</v>
      </c>
      <c r="M385" s="79">
        <f>VLOOKUP(L385,[1]코드!$B$3:$C$29,2,FALSE)</f>
        <v>1314903</v>
      </c>
      <c r="N385" s="79" t="s">
        <v>147</v>
      </c>
      <c r="O385" s="130" t="s">
        <v>270</v>
      </c>
      <c r="P385" s="131">
        <v>20000000</v>
      </c>
      <c r="Q385" s="82">
        <v>1</v>
      </c>
      <c r="R385" s="82">
        <v>1</v>
      </c>
      <c r="S385" s="132">
        <v>9000000</v>
      </c>
      <c r="T385" s="131"/>
      <c r="U385" s="82">
        <f t="shared" si="25"/>
        <v>9000000</v>
      </c>
      <c r="V385" s="87" t="s">
        <v>153</v>
      </c>
      <c r="W385" s="60">
        <f t="shared" si="24"/>
        <v>1</v>
      </c>
      <c r="X385" s="46"/>
      <c r="Y385" s="74"/>
      <c r="Z385" s="46"/>
      <c r="AD385" s="46"/>
      <c r="AE385" s="46"/>
    </row>
    <row r="386" spans="1:31" s="59" customFormat="1" ht="17.25" customHeight="1">
      <c r="A386" s="59" t="s">
        <v>257</v>
      </c>
      <c r="B386" s="79" t="s">
        <v>256</v>
      </c>
      <c r="C386" s="71" t="s">
        <v>255</v>
      </c>
      <c r="D386" s="79" t="str">
        <f>VLOOKUP(C386,[1]코드!$E$3:$F$29,2,FALSE)</f>
        <v>8623</v>
      </c>
      <c r="E386" s="58" t="str">
        <f t="shared" si="21"/>
        <v>[E-3]</v>
      </c>
      <c r="F386" s="61" t="s">
        <v>254</v>
      </c>
      <c r="G386" s="61" t="s">
        <v>253</v>
      </c>
      <c r="H386" s="61" t="s">
        <v>269</v>
      </c>
      <c r="I386" s="61" t="s">
        <v>268</v>
      </c>
      <c r="J386" s="61" t="s">
        <v>267</v>
      </c>
      <c r="K386" s="79" t="s">
        <v>130</v>
      </c>
      <c r="L386" s="79" t="s">
        <v>18</v>
      </c>
      <c r="M386" s="79">
        <f>VLOOKUP(L386,[1]코드!$B$3:$C$29,2,FALSE)</f>
        <v>4233201</v>
      </c>
      <c r="N386" s="79" t="s">
        <v>266</v>
      </c>
      <c r="O386" s="130" t="s">
        <v>258</v>
      </c>
      <c r="P386" s="82">
        <v>3000000</v>
      </c>
      <c r="Q386" s="82">
        <v>1</v>
      </c>
      <c r="R386" s="82">
        <v>1</v>
      </c>
      <c r="S386" s="127">
        <v>75000000</v>
      </c>
      <c r="T386" s="82"/>
      <c r="U386" s="82">
        <f t="shared" si="25"/>
        <v>75000000</v>
      </c>
      <c r="V386" s="87" t="s">
        <v>153</v>
      </c>
      <c r="W386" s="60">
        <f t="shared" si="24"/>
        <v>1</v>
      </c>
      <c r="X386" s="46"/>
      <c r="Y386" s="74"/>
      <c r="Z386" s="46"/>
      <c r="AD386" s="46"/>
      <c r="AE386" s="46"/>
    </row>
    <row r="387" spans="1:31" s="59" customFormat="1" ht="17.25" customHeight="1">
      <c r="A387" s="59" t="s">
        <v>257</v>
      </c>
      <c r="B387" s="79" t="s">
        <v>256</v>
      </c>
      <c r="C387" s="71" t="s">
        <v>255</v>
      </c>
      <c r="D387" s="79" t="str">
        <f>VLOOKUP(C387,[1]코드!$E$3:$F$29,2,FALSE)</f>
        <v>8623</v>
      </c>
      <c r="E387" s="58" t="str">
        <f t="shared" ref="E387:E452" si="26">LEFT(F387, 5)</f>
        <v>[E-3]</v>
      </c>
      <c r="F387" s="61" t="s">
        <v>254</v>
      </c>
      <c r="G387" s="61" t="s">
        <v>253</v>
      </c>
      <c r="H387" s="61" t="s">
        <v>265</v>
      </c>
      <c r="I387" s="61" t="s">
        <v>264</v>
      </c>
      <c r="J387" s="61" t="s">
        <v>263</v>
      </c>
      <c r="K387" s="79" t="s">
        <v>130</v>
      </c>
      <c r="L387" s="79" t="s">
        <v>17</v>
      </c>
      <c r="M387" s="79">
        <f>VLOOKUP(L387,[1]코드!$B$3:$C$29,2,FALSE)</f>
        <v>4241130</v>
      </c>
      <c r="N387" s="79" t="s">
        <v>262</v>
      </c>
      <c r="O387" s="130" t="s">
        <v>258</v>
      </c>
      <c r="P387" s="82">
        <v>2000000</v>
      </c>
      <c r="Q387" s="82">
        <v>1</v>
      </c>
      <c r="R387" s="82">
        <v>1</v>
      </c>
      <c r="S387" s="127">
        <v>4380000</v>
      </c>
      <c r="T387" s="82"/>
      <c r="U387" s="82">
        <f t="shared" si="25"/>
        <v>4380000</v>
      </c>
      <c r="V387" s="87" t="s">
        <v>153</v>
      </c>
      <c r="W387" s="60">
        <f t="shared" si="24"/>
        <v>1</v>
      </c>
      <c r="X387" s="46"/>
      <c r="Y387" s="74"/>
      <c r="Z387" s="46"/>
      <c r="AD387" s="46"/>
      <c r="AE387" s="46"/>
    </row>
    <row r="388" spans="1:31" s="59" customFormat="1" ht="17.25" customHeight="1">
      <c r="A388" s="59" t="s">
        <v>257</v>
      </c>
      <c r="B388" s="79" t="s">
        <v>256</v>
      </c>
      <c r="C388" s="71" t="s">
        <v>255</v>
      </c>
      <c r="D388" s="79" t="str">
        <f>VLOOKUP(C388,[1]코드!$E$3:$F$29,2,FALSE)</f>
        <v>8623</v>
      </c>
      <c r="E388" s="58" t="str">
        <f t="shared" si="26"/>
        <v>[E-3]</v>
      </c>
      <c r="F388" s="61" t="s">
        <v>254</v>
      </c>
      <c r="G388" s="61" t="s">
        <v>253</v>
      </c>
      <c r="H388" s="61" t="s">
        <v>252</v>
      </c>
      <c r="I388" s="61" t="s">
        <v>261</v>
      </c>
      <c r="J388" s="61" t="s">
        <v>260</v>
      </c>
      <c r="K388" s="79" t="s">
        <v>130</v>
      </c>
      <c r="L388" s="79" t="s">
        <v>17</v>
      </c>
      <c r="M388" s="79"/>
      <c r="N388" s="79" t="s">
        <v>259</v>
      </c>
      <c r="O388" s="130" t="s">
        <v>258</v>
      </c>
      <c r="P388" s="82"/>
      <c r="Q388" s="82"/>
      <c r="R388" s="82"/>
      <c r="S388" s="127">
        <v>2000000</v>
      </c>
      <c r="T388" s="82"/>
      <c r="U388" s="129">
        <v>2000000</v>
      </c>
      <c r="V388" s="87" t="s">
        <v>127</v>
      </c>
      <c r="W388" s="60">
        <f t="shared" si="24"/>
        <v>1</v>
      </c>
      <c r="X388" s="46"/>
      <c r="Y388" s="74"/>
      <c r="Z388" s="46"/>
      <c r="AD388" s="46"/>
      <c r="AE388" s="46"/>
    </row>
    <row r="389" spans="1:31" s="59" customFormat="1" ht="17.25" customHeight="1">
      <c r="A389" s="59" t="s">
        <v>257</v>
      </c>
      <c r="B389" s="79" t="s">
        <v>256</v>
      </c>
      <c r="C389" s="71" t="s">
        <v>255</v>
      </c>
      <c r="D389" s="79" t="str">
        <f>VLOOKUP(C389,[1]코드!$E$3:$F$29,2,FALSE)</f>
        <v>8623</v>
      </c>
      <c r="E389" s="58" t="str">
        <f t="shared" si="26"/>
        <v>[E-3]</v>
      </c>
      <c r="F389" s="61" t="s">
        <v>254</v>
      </c>
      <c r="G389" s="61" t="s">
        <v>253</v>
      </c>
      <c r="H389" s="61" t="s">
        <v>252</v>
      </c>
      <c r="I389" s="70" t="s">
        <v>251</v>
      </c>
      <c r="J389" s="70" t="s">
        <v>250</v>
      </c>
      <c r="K389" s="128" t="s">
        <v>84</v>
      </c>
      <c r="L389" s="68" t="s">
        <v>22</v>
      </c>
      <c r="M389" s="68">
        <f>VLOOKUP(L389,코드!$B$3:$C$29,2,FALSE)</f>
        <v>4118701</v>
      </c>
      <c r="N389" s="69" t="s">
        <v>96</v>
      </c>
      <c r="O389" s="68" t="s">
        <v>68</v>
      </c>
      <c r="P389" s="82"/>
      <c r="Q389" s="82"/>
      <c r="R389" s="82"/>
      <c r="S389" s="127">
        <v>38018400</v>
      </c>
      <c r="T389" s="82"/>
      <c r="U389" s="82">
        <v>38018400</v>
      </c>
      <c r="V389" s="61" t="s">
        <v>67</v>
      </c>
      <c r="W389" s="60">
        <f t="shared" si="24"/>
        <v>1</v>
      </c>
      <c r="X389" s="46"/>
      <c r="Y389" s="74"/>
      <c r="Z389" s="46"/>
      <c r="AD389" s="46"/>
      <c r="AE389" s="46"/>
    </row>
    <row r="390" spans="1:31" ht="17.25" customHeight="1">
      <c r="A390" s="4" t="s">
        <v>135</v>
      </c>
      <c r="B390" s="120" t="s">
        <v>134</v>
      </c>
      <c r="C390" s="123" t="s">
        <v>88</v>
      </c>
      <c r="D390" s="120">
        <f>VLOOKUP(C390,코드!$E$3:$F$30,2,FALSE)</f>
        <v>8719</v>
      </c>
      <c r="E390" s="58" t="str">
        <f t="shared" si="26"/>
        <v>[F-1]</v>
      </c>
      <c r="F390" s="124" t="s">
        <v>230</v>
      </c>
      <c r="G390" s="123" t="s">
        <v>249</v>
      </c>
      <c r="H390" s="124"/>
      <c r="I390" s="123"/>
      <c r="J390" s="122"/>
      <c r="K390" s="121" t="s">
        <v>130</v>
      </c>
      <c r="L390" s="121" t="s">
        <v>17</v>
      </c>
      <c r="M390" s="121">
        <f>VLOOKUP(L390,[1]코드!$B$3:$C$29,2,FALSE)</f>
        <v>4241130</v>
      </c>
      <c r="N390" s="120"/>
      <c r="O390" s="120"/>
      <c r="P390" s="119">
        <v>0</v>
      </c>
      <c r="Q390" s="119">
        <v>0</v>
      </c>
      <c r="R390" s="119">
        <v>0</v>
      </c>
      <c r="S390" s="118">
        <v>0</v>
      </c>
      <c r="T390" s="63"/>
      <c r="U390" s="126"/>
      <c r="V390" s="125"/>
      <c r="W390" s="117" t="e">
        <f t="shared" si="24"/>
        <v>#DIV/0!</v>
      </c>
    </row>
    <row r="391" spans="1:31" ht="17.25" customHeight="1">
      <c r="A391" s="4" t="s">
        <v>135</v>
      </c>
      <c r="B391" s="120" t="s">
        <v>134</v>
      </c>
      <c r="C391" s="123" t="s">
        <v>88</v>
      </c>
      <c r="D391" s="120">
        <f>VLOOKUP(C391,코드!$E$3:$F$30,2,FALSE)</f>
        <v>8719</v>
      </c>
      <c r="E391" s="58" t="str">
        <f t="shared" si="26"/>
        <v>[F-1]</v>
      </c>
      <c r="F391" s="124" t="s">
        <v>230</v>
      </c>
      <c r="G391" s="123" t="s">
        <v>248</v>
      </c>
      <c r="H391" s="124"/>
      <c r="I391" s="123"/>
      <c r="J391" s="122"/>
      <c r="K391" s="121" t="s">
        <v>130</v>
      </c>
      <c r="L391" s="121" t="s">
        <v>17</v>
      </c>
      <c r="M391" s="121">
        <f>VLOOKUP(L391,[1]코드!$B$3:$C$29,2,FALSE)</f>
        <v>4241130</v>
      </c>
      <c r="N391" s="120"/>
      <c r="O391" s="120"/>
      <c r="P391" s="119">
        <v>0</v>
      </c>
      <c r="Q391" s="119">
        <v>0</v>
      </c>
      <c r="R391" s="119">
        <v>0</v>
      </c>
      <c r="S391" s="118">
        <v>0</v>
      </c>
      <c r="T391" s="63"/>
      <c r="U391" s="126">
        <v>0</v>
      </c>
      <c r="V391" s="125"/>
      <c r="W391" s="117" t="e">
        <f t="shared" si="24"/>
        <v>#DIV/0!</v>
      </c>
    </row>
    <row r="392" spans="1:31" ht="17.25" customHeight="1">
      <c r="A392" s="4" t="s">
        <v>135</v>
      </c>
      <c r="B392" s="120" t="s">
        <v>134</v>
      </c>
      <c r="C392" s="123" t="s">
        <v>247</v>
      </c>
      <c r="D392" s="120" t="str">
        <f>VLOOKUP(C392,코드!$E$3:$F$30,2,FALSE)</f>
        <v>8711</v>
      </c>
      <c r="E392" s="58" t="str">
        <f t="shared" si="26"/>
        <v>[F-1]</v>
      </c>
      <c r="F392" s="124" t="s">
        <v>246</v>
      </c>
      <c r="G392" s="123" t="s">
        <v>234</v>
      </c>
      <c r="H392" s="124"/>
      <c r="I392" s="123"/>
      <c r="J392" s="122"/>
      <c r="K392" s="121" t="s">
        <v>130</v>
      </c>
      <c r="L392" s="121" t="s">
        <v>17</v>
      </c>
      <c r="M392" s="121">
        <f>VLOOKUP(L392,[1]코드!$B$3:$C$29,2,FALSE)</f>
        <v>4241130</v>
      </c>
      <c r="N392" s="120"/>
      <c r="O392" s="120" t="s">
        <v>245</v>
      </c>
      <c r="P392" s="119">
        <v>3000000</v>
      </c>
      <c r="Q392" s="119">
        <v>1</v>
      </c>
      <c r="R392" s="119">
        <v>1</v>
      </c>
      <c r="S392" s="118">
        <v>3000000</v>
      </c>
      <c r="T392" s="63"/>
      <c r="U392" s="82">
        <f t="shared" ref="U392:U398" si="27">S392</f>
        <v>3000000</v>
      </c>
      <c r="V392" s="87" t="s">
        <v>153</v>
      </c>
      <c r="W392" s="117">
        <f t="shared" si="24"/>
        <v>1</v>
      </c>
    </row>
    <row r="393" spans="1:31" ht="17.25" customHeight="1">
      <c r="A393" s="4" t="s">
        <v>135</v>
      </c>
      <c r="B393" s="58" t="s">
        <v>134</v>
      </c>
      <c r="C393" s="65" t="s">
        <v>88</v>
      </c>
      <c r="D393" s="58">
        <f>VLOOKUP(C393,코드!$E$3:$F$30,2,FALSE)</f>
        <v>8719</v>
      </c>
      <c r="E393" s="58" t="str">
        <f t="shared" si="26"/>
        <v>[F-1]</v>
      </c>
      <c r="F393" s="66" t="s">
        <v>230</v>
      </c>
      <c r="G393" s="65" t="s">
        <v>229</v>
      </c>
      <c r="H393" s="66" t="s">
        <v>243</v>
      </c>
      <c r="I393" s="65" t="s">
        <v>242</v>
      </c>
      <c r="J393" s="65" t="s">
        <v>244</v>
      </c>
      <c r="K393" s="58" t="s">
        <v>130</v>
      </c>
      <c r="L393" s="58" t="s">
        <v>179</v>
      </c>
      <c r="M393" s="58">
        <f>VLOOKUP(L393,코드!$B$3:$C$29,2,FALSE)</f>
        <v>4233201</v>
      </c>
      <c r="N393" s="58" t="s">
        <v>120</v>
      </c>
      <c r="O393" s="58" t="s">
        <v>231</v>
      </c>
      <c r="P393" s="63">
        <v>10000000</v>
      </c>
      <c r="Q393" s="63">
        <v>1</v>
      </c>
      <c r="R393" s="63">
        <v>6</v>
      </c>
      <c r="S393" s="64">
        <v>55000000</v>
      </c>
      <c r="T393" s="63"/>
      <c r="U393" s="82">
        <f t="shared" si="27"/>
        <v>55000000</v>
      </c>
      <c r="V393" s="87" t="s">
        <v>153</v>
      </c>
      <c r="W393" s="60">
        <f t="shared" si="24"/>
        <v>1</v>
      </c>
    </row>
    <row r="394" spans="1:31" ht="17.25" customHeight="1">
      <c r="A394" s="4" t="s">
        <v>135</v>
      </c>
      <c r="B394" s="58" t="s">
        <v>134</v>
      </c>
      <c r="C394" s="65" t="s">
        <v>88</v>
      </c>
      <c r="D394" s="58">
        <f>VLOOKUP(C394,코드!$E$3:$F$30,2,FALSE)</f>
        <v>8719</v>
      </c>
      <c r="E394" s="58" t="str">
        <f t="shared" si="26"/>
        <v>[F-1]</v>
      </c>
      <c r="F394" s="66" t="s">
        <v>230</v>
      </c>
      <c r="G394" s="65" t="s">
        <v>229</v>
      </c>
      <c r="H394" s="66" t="s">
        <v>243</v>
      </c>
      <c r="I394" s="65" t="s">
        <v>242</v>
      </c>
      <c r="J394" s="65" t="s">
        <v>241</v>
      </c>
      <c r="K394" s="58" t="s">
        <v>130</v>
      </c>
      <c r="L394" s="58" t="s">
        <v>17</v>
      </c>
      <c r="M394" s="58">
        <f>VLOOKUP(L394,코드!$B$3:$C$29,2,FALSE)</f>
        <v>4241130</v>
      </c>
      <c r="N394" s="58" t="s">
        <v>129</v>
      </c>
      <c r="O394" s="58" t="s">
        <v>231</v>
      </c>
      <c r="P394" s="63"/>
      <c r="Q394" s="63"/>
      <c r="R394" s="63"/>
      <c r="S394" s="64">
        <v>10000000</v>
      </c>
      <c r="T394" s="63"/>
      <c r="U394" s="82">
        <f t="shared" si="27"/>
        <v>10000000</v>
      </c>
      <c r="V394" s="87" t="s">
        <v>153</v>
      </c>
      <c r="W394" s="60">
        <f t="shared" si="24"/>
        <v>1</v>
      </c>
    </row>
    <row r="395" spans="1:31" ht="17.25" customHeight="1">
      <c r="A395" s="4" t="s">
        <v>135</v>
      </c>
      <c r="B395" s="58" t="s">
        <v>134</v>
      </c>
      <c r="C395" s="65" t="s">
        <v>88</v>
      </c>
      <c r="D395" s="58">
        <f>VLOOKUP(C395,코드!$E$3:$F$30,2,FALSE)</f>
        <v>8719</v>
      </c>
      <c r="E395" s="58" t="str">
        <f t="shared" si="26"/>
        <v>[F-1]</v>
      </c>
      <c r="F395" s="66" t="s">
        <v>230</v>
      </c>
      <c r="G395" s="65" t="s">
        <v>229</v>
      </c>
      <c r="H395" s="66" t="s">
        <v>228</v>
      </c>
      <c r="I395" s="65" t="s">
        <v>237</v>
      </c>
      <c r="J395" s="65" t="s">
        <v>240</v>
      </c>
      <c r="K395" s="58" t="s">
        <v>130</v>
      </c>
      <c r="L395" s="58" t="s">
        <v>17</v>
      </c>
      <c r="M395" s="58">
        <f>VLOOKUP(L395,코드!$B$3:$C$29,2,FALSE)</f>
        <v>4241130</v>
      </c>
      <c r="N395" s="58" t="s">
        <v>129</v>
      </c>
      <c r="O395" s="58" t="s">
        <v>231</v>
      </c>
      <c r="P395" s="63">
        <v>3200000</v>
      </c>
      <c r="Q395" s="63">
        <v>1</v>
      </c>
      <c r="R395" s="63">
        <v>1</v>
      </c>
      <c r="S395" s="64">
        <v>5000000</v>
      </c>
      <c r="T395" s="63"/>
      <c r="U395" s="82">
        <f t="shared" si="27"/>
        <v>5000000</v>
      </c>
      <c r="V395" s="87" t="s">
        <v>153</v>
      </c>
      <c r="W395" s="60">
        <f t="shared" si="24"/>
        <v>1</v>
      </c>
    </row>
    <row r="396" spans="1:31" ht="17.25" customHeight="1">
      <c r="A396" s="4" t="s">
        <v>135</v>
      </c>
      <c r="B396" s="58" t="s">
        <v>134</v>
      </c>
      <c r="C396" s="65" t="s">
        <v>88</v>
      </c>
      <c r="D396" s="58">
        <f>VLOOKUP(C396,코드!$E$3:$F$30,2,FALSE)</f>
        <v>8719</v>
      </c>
      <c r="E396" s="58" t="str">
        <f t="shared" si="26"/>
        <v>[F-1]</v>
      </c>
      <c r="F396" s="66" t="s">
        <v>230</v>
      </c>
      <c r="G396" s="65" t="s">
        <v>229</v>
      </c>
      <c r="H396" s="66" t="s">
        <v>228</v>
      </c>
      <c r="I396" s="65" t="s">
        <v>237</v>
      </c>
      <c r="J396" s="65" t="s">
        <v>239</v>
      </c>
      <c r="K396" s="58" t="s">
        <v>130</v>
      </c>
      <c r="L396" s="58" t="s">
        <v>17</v>
      </c>
      <c r="M396" s="58">
        <f>VLOOKUP(L396,코드!$B$3:$C$29,2,FALSE)</f>
        <v>4241130</v>
      </c>
      <c r="N396" s="58" t="s">
        <v>129</v>
      </c>
      <c r="O396" s="58" t="s">
        <v>231</v>
      </c>
      <c r="P396" s="63"/>
      <c r="Q396" s="63"/>
      <c r="R396" s="63"/>
      <c r="S396" s="64">
        <v>1400000</v>
      </c>
      <c r="T396" s="63"/>
      <c r="U396" s="82">
        <f t="shared" si="27"/>
        <v>1400000</v>
      </c>
      <c r="V396" s="87" t="s">
        <v>153</v>
      </c>
      <c r="W396" s="60">
        <f t="shared" si="24"/>
        <v>1</v>
      </c>
    </row>
    <row r="397" spans="1:31" ht="17.25" customHeight="1">
      <c r="A397" s="4" t="s">
        <v>135</v>
      </c>
      <c r="B397" s="58" t="s">
        <v>134</v>
      </c>
      <c r="C397" s="65" t="s">
        <v>88</v>
      </c>
      <c r="D397" s="58">
        <f>VLOOKUP(C397,코드!$E$3:$F$30,2,FALSE)</f>
        <v>8719</v>
      </c>
      <c r="E397" s="58" t="str">
        <f t="shared" si="26"/>
        <v>[F-1]</v>
      </c>
      <c r="F397" s="66" t="s">
        <v>230</v>
      </c>
      <c r="G397" s="65" t="s">
        <v>234</v>
      </c>
      <c r="H397" s="66" t="s">
        <v>228</v>
      </c>
      <c r="I397" s="65" t="s">
        <v>237</v>
      </c>
      <c r="J397" s="65" t="s">
        <v>238</v>
      </c>
      <c r="K397" s="58" t="s">
        <v>130</v>
      </c>
      <c r="L397" s="58" t="s">
        <v>11</v>
      </c>
      <c r="M397" s="58">
        <f>VLOOKUP(L397,코드!$B$3:$C$29,2,FALSE)</f>
        <v>4113401</v>
      </c>
      <c r="N397" s="58" t="s">
        <v>107</v>
      </c>
      <c r="O397" s="58" t="s">
        <v>231</v>
      </c>
      <c r="P397" s="63"/>
      <c r="Q397" s="63"/>
      <c r="R397" s="63"/>
      <c r="S397" s="64">
        <v>600000</v>
      </c>
      <c r="T397" s="63"/>
      <c r="U397" s="82">
        <f t="shared" si="27"/>
        <v>600000</v>
      </c>
      <c r="V397" s="87" t="s">
        <v>153</v>
      </c>
      <c r="W397" s="60">
        <f t="shared" ref="W397:W426" si="28">U397/S397</f>
        <v>1</v>
      </c>
    </row>
    <row r="398" spans="1:31" ht="17.25" customHeight="1">
      <c r="A398" s="4" t="s">
        <v>135</v>
      </c>
      <c r="B398" s="58" t="s">
        <v>134</v>
      </c>
      <c r="C398" s="65" t="s">
        <v>88</v>
      </c>
      <c r="D398" s="58">
        <f>VLOOKUP(C398,코드!$E$3:$F$30,2,FALSE)</f>
        <v>8719</v>
      </c>
      <c r="E398" s="58" t="str">
        <f t="shared" si="26"/>
        <v>[F-1]</v>
      </c>
      <c r="F398" s="66" t="s">
        <v>230</v>
      </c>
      <c r="G398" s="65" t="s">
        <v>229</v>
      </c>
      <c r="H398" s="66" t="s">
        <v>228</v>
      </c>
      <c r="I398" s="65" t="s">
        <v>237</v>
      </c>
      <c r="J398" s="65" t="s">
        <v>236</v>
      </c>
      <c r="K398" s="58" t="s">
        <v>101</v>
      </c>
      <c r="L398" s="58" t="s">
        <v>9</v>
      </c>
      <c r="M398" s="58">
        <f>VLOOKUP(L398,코드!$B$3:$C$29,2,FALSE)</f>
        <v>4321701</v>
      </c>
      <c r="N398" s="58" t="s">
        <v>235</v>
      </c>
      <c r="O398" s="58" t="s">
        <v>224</v>
      </c>
      <c r="P398" s="63"/>
      <c r="Q398" s="63"/>
      <c r="R398" s="63"/>
      <c r="S398" s="64">
        <v>3000000</v>
      </c>
      <c r="T398" s="63"/>
      <c r="U398" s="82">
        <f t="shared" si="27"/>
        <v>3000000</v>
      </c>
      <c r="V398" s="87" t="s">
        <v>153</v>
      </c>
      <c r="W398" s="60">
        <f t="shared" si="28"/>
        <v>1</v>
      </c>
    </row>
    <row r="399" spans="1:31" ht="17.25" customHeight="1">
      <c r="A399" s="4" t="s">
        <v>135</v>
      </c>
      <c r="B399" s="58" t="s">
        <v>134</v>
      </c>
      <c r="C399" s="65" t="s">
        <v>88</v>
      </c>
      <c r="D399" s="58">
        <f>VLOOKUP(C399,코드!$E$3:$F$30,2,FALSE)</f>
        <v>8719</v>
      </c>
      <c r="E399" s="58" t="str">
        <f t="shared" si="26"/>
        <v>[F-1]</v>
      </c>
      <c r="F399" s="66" t="s">
        <v>230</v>
      </c>
      <c r="G399" s="65" t="s">
        <v>229</v>
      </c>
      <c r="H399" s="66" t="s">
        <v>228</v>
      </c>
      <c r="I399" s="65" t="s">
        <v>227</v>
      </c>
      <c r="J399" s="65" t="s">
        <v>233</v>
      </c>
      <c r="K399" s="58" t="s">
        <v>130</v>
      </c>
      <c r="L399" s="58" t="s">
        <v>17</v>
      </c>
      <c r="M399" s="58">
        <f>VLOOKUP(L399,코드!$B$3:$C$29,2,FALSE)</f>
        <v>4241130</v>
      </c>
      <c r="N399" s="58" t="s">
        <v>217</v>
      </c>
      <c r="O399" s="58" t="s">
        <v>231</v>
      </c>
      <c r="P399" s="63">
        <v>3000</v>
      </c>
      <c r="Q399" s="63">
        <v>1</v>
      </c>
      <c r="R399" s="63">
        <v>1000</v>
      </c>
      <c r="S399" s="64">
        <v>3000000</v>
      </c>
      <c r="T399" s="63"/>
      <c r="U399" s="62">
        <v>3000000</v>
      </c>
      <c r="V399" s="61"/>
      <c r="W399" s="60">
        <f t="shared" si="28"/>
        <v>1</v>
      </c>
    </row>
    <row r="400" spans="1:31" ht="17.25" customHeight="1">
      <c r="A400" s="4" t="s">
        <v>135</v>
      </c>
      <c r="B400" s="58" t="s">
        <v>134</v>
      </c>
      <c r="C400" s="65" t="s">
        <v>88</v>
      </c>
      <c r="D400" s="58">
        <f>VLOOKUP(C400,코드!$E$3:$F$30,2,FALSE)</f>
        <v>8719</v>
      </c>
      <c r="E400" s="58" t="str">
        <f t="shared" si="26"/>
        <v>[F-1]</v>
      </c>
      <c r="F400" s="66" t="s">
        <v>230</v>
      </c>
      <c r="G400" s="65" t="s">
        <v>234</v>
      </c>
      <c r="H400" s="66" t="s">
        <v>228</v>
      </c>
      <c r="I400" s="65" t="s">
        <v>227</v>
      </c>
      <c r="J400" s="65" t="s">
        <v>233</v>
      </c>
      <c r="K400" s="58" t="s">
        <v>130</v>
      </c>
      <c r="L400" s="58" t="s">
        <v>17</v>
      </c>
      <c r="M400" s="58">
        <f>VLOOKUP(L400,코드!$B$3:$C$29,2,FALSE)</f>
        <v>4241130</v>
      </c>
      <c r="N400" s="58" t="s">
        <v>232</v>
      </c>
      <c r="O400" s="58" t="s">
        <v>231</v>
      </c>
      <c r="P400" s="63">
        <v>150000</v>
      </c>
      <c r="Q400" s="63">
        <v>2</v>
      </c>
      <c r="R400" s="63">
        <v>5</v>
      </c>
      <c r="S400" s="64">
        <v>1500000</v>
      </c>
      <c r="T400" s="63"/>
      <c r="U400" s="62">
        <v>1500000</v>
      </c>
      <c r="V400" s="61"/>
      <c r="W400" s="60">
        <f t="shared" si="28"/>
        <v>1</v>
      </c>
    </row>
    <row r="401" spans="1:31" ht="17.25" customHeight="1">
      <c r="A401" s="4" t="s">
        <v>135</v>
      </c>
      <c r="B401" s="58" t="s">
        <v>134</v>
      </c>
      <c r="C401" s="65" t="s">
        <v>88</v>
      </c>
      <c r="D401" s="58">
        <f>VLOOKUP(C401,코드!$E$3:$F$30,2,FALSE)</f>
        <v>8719</v>
      </c>
      <c r="E401" s="58" t="str">
        <f t="shared" si="26"/>
        <v>[F-1]</v>
      </c>
      <c r="F401" s="66" t="s">
        <v>230</v>
      </c>
      <c r="G401" s="65" t="s">
        <v>229</v>
      </c>
      <c r="H401" s="66" t="s">
        <v>228</v>
      </c>
      <c r="I401" s="65" t="s">
        <v>227</v>
      </c>
      <c r="J401" s="65" t="s">
        <v>226</v>
      </c>
      <c r="K401" s="58" t="s">
        <v>101</v>
      </c>
      <c r="L401" s="58" t="s">
        <v>15</v>
      </c>
      <c r="M401" s="58">
        <f>VLOOKUP(L401,코드!$B$3:$C$29,2,FALSE)</f>
        <v>4321701</v>
      </c>
      <c r="N401" s="58" t="s">
        <v>225</v>
      </c>
      <c r="O401" s="58" t="s">
        <v>224</v>
      </c>
      <c r="P401" s="63">
        <v>440000</v>
      </c>
      <c r="Q401" s="63">
        <v>5</v>
      </c>
      <c r="R401" s="63">
        <v>2</v>
      </c>
      <c r="S401" s="64">
        <v>4400000</v>
      </c>
      <c r="T401" s="63"/>
      <c r="U401" s="62">
        <v>4400000</v>
      </c>
      <c r="V401" s="61"/>
      <c r="W401" s="60">
        <f t="shared" si="28"/>
        <v>1</v>
      </c>
    </row>
    <row r="402" spans="1:31" s="113" customFormat="1" ht="17.25" customHeight="1">
      <c r="A402" s="4" t="s">
        <v>135</v>
      </c>
      <c r="B402" s="58" t="s">
        <v>134</v>
      </c>
      <c r="C402" s="65" t="s">
        <v>214</v>
      </c>
      <c r="D402" s="58" t="str">
        <f>VLOOKUP(C402,코드!$E$3:$F$30,2,FALSE)</f>
        <v>8655</v>
      </c>
      <c r="E402" s="58" t="str">
        <f t="shared" si="26"/>
        <v>[F-2]</v>
      </c>
      <c r="F402" s="65" t="s">
        <v>166</v>
      </c>
      <c r="G402" s="65" t="s">
        <v>208</v>
      </c>
      <c r="H402" s="66" t="s">
        <v>213</v>
      </c>
      <c r="I402" s="65" t="s">
        <v>212</v>
      </c>
      <c r="J402" s="65" t="s">
        <v>223</v>
      </c>
      <c r="K402" s="58" t="s">
        <v>130</v>
      </c>
      <c r="L402" s="58" t="s">
        <v>17</v>
      </c>
      <c r="M402" s="58">
        <f>VLOOKUP(L402,코드!$B$3:$C$29,2,FALSE)</f>
        <v>4241130</v>
      </c>
      <c r="N402" s="58" t="s">
        <v>129</v>
      </c>
      <c r="O402" s="58" t="s">
        <v>161</v>
      </c>
      <c r="P402" s="63">
        <v>30000</v>
      </c>
      <c r="Q402" s="63">
        <v>8</v>
      </c>
      <c r="R402" s="63">
        <v>10</v>
      </c>
      <c r="S402" s="64">
        <v>2400000</v>
      </c>
      <c r="T402" s="63"/>
      <c r="U402" s="116">
        <v>2400000</v>
      </c>
      <c r="V402" s="112" t="s">
        <v>194</v>
      </c>
      <c r="W402" s="60">
        <f t="shared" si="28"/>
        <v>1</v>
      </c>
      <c r="X402" s="114"/>
      <c r="Y402" s="115"/>
      <c r="Z402" s="114"/>
      <c r="AD402" s="114"/>
      <c r="AE402" s="114"/>
    </row>
    <row r="403" spans="1:31" s="113" customFormat="1" ht="17.25" customHeight="1">
      <c r="A403" s="4" t="s">
        <v>135</v>
      </c>
      <c r="B403" s="58" t="s">
        <v>134</v>
      </c>
      <c r="C403" s="65" t="s">
        <v>214</v>
      </c>
      <c r="D403" s="58" t="str">
        <f>VLOOKUP(C403,코드!$E$3:$F$30,2,FALSE)</f>
        <v>8655</v>
      </c>
      <c r="E403" s="58" t="str">
        <f t="shared" si="26"/>
        <v>[F-2]</v>
      </c>
      <c r="F403" s="65" t="s">
        <v>166</v>
      </c>
      <c r="G403" s="65" t="s">
        <v>208</v>
      </c>
      <c r="H403" s="66" t="s">
        <v>213</v>
      </c>
      <c r="I403" s="65" t="s">
        <v>212</v>
      </c>
      <c r="J403" s="65" t="s">
        <v>222</v>
      </c>
      <c r="K403" s="58" t="s">
        <v>130</v>
      </c>
      <c r="L403" s="58" t="s">
        <v>17</v>
      </c>
      <c r="M403" s="58">
        <f>VLOOKUP(L403,코드!$B$3:$C$29,2,FALSE)</f>
        <v>4241130</v>
      </c>
      <c r="N403" s="58" t="s">
        <v>107</v>
      </c>
      <c r="O403" s="58" t="s">
        <v>161</v>
      </c>
      <c r="P403" s="63">
        <v>300000</v>
      </c>
      <c r="Q403" s="63">
        <v>2</v>
      </c>
      <c r="R403" s="63">
        <v>2</v>
      </c>
      <c r="S403" s="64">
        <v>1200000</v>
      </c>
      <c r="T403" s="63"/>
      <c r="U403" s="116">
        <v>1200000</v>
      </c>
      <c r="V403" s="112" t="s">
        <v>194</v>
      </c>
      <c r="W403" s="60">
        <f t="shared" si="28"/>
        <v>1</v>
      </c>
      <c r="X403" s="114"/>
      <c r="Y403" s="115"/>
      <c r="Z403" s="114"/>
      <c r="AD403" s="114"/>
      <c r="AE403" s="114"/>
    </row>
    <row r="404" spans="1:31" s="113" customFormat="1" ht="17.25" customHeight="1">
      <c r="A404" s="4" t="s">
        <v>135</v>
      </c>
      <c r="B404" s="58" t="s">
        <v>134</v>
      </c>
      <c r="C404" s="65" t="s">
        <v>214</v>
      </c>
      <c r="D404" s="58" t="str">
        <f>VLOOKUP(C404,코드!$E$3:$F$30,2,FALSE)</f>
        <v>8655</v>
      </c>
      <c r="E404" s="58" t="str">
        <f t="shared" si="26"/>
        <v>[F-2]</v>
      </c>
      <c r="F404" s="65" t="s">
        <v>166</v>
      </c>
      <c r="G404" s="65" t="s">
        <v>208</v>
      </c>
      <c r="H404" s="66" t="s">
        <v>213</v>
      </c>
      <c r="I404" s="65" t="s">
        <v>212</v>
      </c>
      <c r="J404" s="65" t="s">
        <v>221</v>
      </c>
      <c r="K404" s="58" t="s">
        <v>130</v>
      </c>
      <c r="L404" s="58" t="s">
        <v>17</v>
      </c>
      <c r="M404" s="58">
        <f>VLOOKUP(L404,코드!$B$3:$C$29,2,FALSE)</f>
        <v>4241130</v>
      </c>
      <c r="N404" s="58" t="s">
        <v>129</v>
      </c>
      <c r="O404" s="58" t="s">
        <v>161</v>
      </c>
      <c r="P404" s="63">
        <v>30000</v>
      </c>
      <c r="Q404" s="63">
        <v>3</v>
      </c>
      <c r="R404" s="63">
        <v>10</v>
      </c>
      <c r="S404" s="64">
        <v>900000</v>
      </c>
      <c r="T404" s="63"/>
      <c r="U404" s="116">
        <v>900000</v>
      </c>
      <c r="V404" s="112" t="s">
        <v>194</v>
      </c>
      <c r="W404" s="60">
        <f t="shared" si="28"/>
        <v>1</v>
      </c>
      <c r="X404" s="114"/>
      <c r="Y404" s="115"/>
      <c r="Z404" s="114"/>
      <c r="AD404" s="114"/>
      <c r="AE404" s="114"/>
    </row>
    <row r="405" spans="1:31" s="113" customFormat="1" ht="17.25" customHeight="1">
      <c r="A405" s="4" t="s">
        <v>135</v>
      </c>
      <c r="B405" s="58" t="s">
        <v>134</v>
      </c>
      <c r="C405" s="65" t="s">
        <v>214</v>
      </c>
      <c r="D405" s="58" t="str">
        <f>VLOOKUP(C405,코드!$E$3:$F$30,2,FALSE)</f>
        <v>8655</v>
      </c>
      <c r="E405" s="58" t="str">
        <f t="shared" si="26"/>
        <v>[F-2]</v>
      </c>
      <c r="F405" s="65" t="s">
        <v>166</v>
      </c>
      <c r="G405" s="65" t="s">
        <v>208</v>
      </c>
      <c r="H405" s="66" t="s">
        <v>213</v>
      </c>
      <c r="I405" s="65" t="s">
        <v>212</v>
      </c>
      <c r="J405" s="65" t="s">
        <v>220</v>
      </c>
      <c r="K405" s="58" t="s">
        <v>130</v>
      </c>
      <c r="L405" s="58" t="s">
        <v>17</v>
      </c>
      <c r="M405" s="58">
        <f>VLOOKUP(L405,코드!$B$3:$C$29,2,FALSE)</f>
        <v>4241130</v>
      </c>
      <c r="N405" s="58" t="s">
        <v>107</v>
      </c>
      <c r="O405" s="58" t="s">
        <v>161</v>
      </c>
      <c r="P405" s="63">
        <v>300000</v>
      </c>
      <c r="Q405" s="63">
        <v>1</v>
      </c>
      <c r="R405" s="63">
        <v>7</v>
      </c>
      <c r="S405" s="64">
        <v>2100000</v>
      </c>
      <c r="T405" s="63"/>
      <c r="U405" s="116">
        <v>2100000</v>
      </c>
      <c r="V405" s="112" t="s">
        <v>194</v>
      </c>
      <c r="W405" s="60">
        <f t="shared" si="28"/>
        <v>1</v>
      </c>
      <c r="X405" s="114"/>
      <c r="Y405" s="115"/>
      <c r="Z405" s="114"/>
      <c r="AD405" s="114"/>
      <c r="AE405" s="114"/>
    </row>
    <row r="406" spans="1:31" s="113" customFormat="1" ht="17.25" customHeight="1">
      <c r="A406" s="4" t="s">
        <v>135</v>
      </c>
      <c r="B406" s="58" t="s">
        <v>134</v>
      </c>
      <c r="C406" s="65" t="s">
        <v>214</v>
      </c>
      <c r="D406" s="58" t="str">
        <f>VLOOKUP(C406,코드!$E$3:$F$30,2,FALSE)</f>
        <v>8655</v>
      </c>
      <c r="E406" s="58" t="str">
        <f t="shared" si="26"/>
        <v>[F-2]</v>
      </c>
      <c r="F406" s="65" t="s">
        <v>166</v>
      </c>
      <c r="G406" s="65" t="s">
        <v>208</v>
      </c>
      <c r="H406" s="66" t="s">
        <v>213</v>
      </c>
      <c r="I406" s="65" t="s">
        <v>216</v>
      </c>
      <c r="J406" s="65" t="s">
        <v>219</v>
      </c>
      <c r="K406" s="58" t="s">
        <v>130</v>
      </c>
      <c r="L406" s="58" t="s">
        <v>17</v>
      </c>
      <c r="M406" s="58">
        <f>VLOOKUP(L406,코드!$B$3:$C$29,2,FALSE)</f>
        <v>4241130</v>
      </c>
      <c r="N406" s="58" t="s">
        <v>129</v>
      </c>
      <c r="O406" s="58" t="s">
        <v>161</v>
      </c>
      <c r="P406" s="63">
        <v>30000</v>
      </c>
      <c r="Q406" s="63">
        <v>3</v>
      </c>
      <c r="R406" s="63">
        <v>2</v>
      </c>
      <c r="S406" s="64">
        <v>180000</v>
      </c>
      <c r="T406" s="63"/>
      <c r="U406" s="116">
        <v>180000</v>
      </c>
      <c r="V406" s="112" t="s">
        <v>194</v>
      </c>
      <c r="W406" s="60">
        <f t="shared" si="28"/>
        <v>1</v>
      </c>
      <c r="X406" s="114"/>
      <c r="Y406" s="115"/>
      <c r="Z406" s="114"/>
      <c r="AD406" s="114"/>
      <c r="AE406" s="114"/>
    </row>
    <row r="407" spans="1:31" s="113" customFormat="1" ht="17.25" customHeight="1">
      <c r="A407" s="4" t="s">
        <v>135</v>
      </c>
      <c r="B407" s="58" t="s">
        <v>134</v>
      </c>
      <c r="C407" s="65" t="s">
        <v>214</v>
      </c>
      <c r="D407" s="58" t="str">
        <f>VLOOKUP(C407,코드!$E$3:$F$30,2,FALSE)</f>
        <v>8655</v>
      </c>
      <c r="E407" s="58" t="str">
        <f t="shared" si="26"/>
        <v>[F-2]</v>
      </c>
      <c r="F407" s="65" t="s">
        <v>166</v>
      </c>
      <c r="G407" s="65" t="s">
        <v>208</v>
      </c>
      <c r="H407" s="66" t="s">
        <v>213</v>
      </c>
      <c r="I407" s="65" t="s">
        <v>216</v>
      </c>
      <c r="J407" s="65" t="s">
        <v>218</v>
      </c>
      <c r="K407" s="58" t="s">
        <v>130</v>
      </c>
      <c r="L407" s="58" t="s">
        <v>17</v>
      </c>
      <c r="M407" s="58">
        <f>VLOOKUP(L407,코드!$B$3:$C$29,2,FALSE)</f>
        <v>4241130</v>
      </c>
      <c r="N407" s="58" t="s">
        <v>217</v>
      </c>
      <c r="O407" s="58" t="s">
        <v>161</v>
      </c>
      <c r="P407" s="63">
        <v>40000</v>
      </c>
      <c r="Q407" s="63">
        <v>20</v>
      </c>
      <c r="R407" s="63">
        <v>2</v>
      </c>
      <c r="S407" s="64">
        <v>1600000</v>
      </c>
      <c r="T407" s="63"/>
      <c r="U407" s="116">
        <v>1600000</v>
      </c>
      <c r="V407" s="112" t="s">
        <v>194</v>
      </c>
      <c r="W407" s="60">
        <f t="shared" si="28"/>
        <v>1</v>
      </c>
      <c r="X407" s="114"/>
      <c r="Y407" s="115"/>
      <c r="Z407" s="114"/>
      <c r="AD407" s="114"/>
      <c r="AE407" s="114"/>
    </row>
    <row r="408" spans="1:31" s="113" customFormat="1" ht="17.25" customHeight="1">
      <c r="A408" s="4" t="s">
        <v>135</v>
      </c>
      <c r="B408" s="58" t="s">
        <v>134</v>
      </c>
      <c r="C408" s="65" t="s">
        <v>214</v>
      </c>
      <c r="D408" s="58" t="str">
        <f>VLOOKUP(C408,코드!$E$3:$F$30,2,FALSE)</f>
        <v>8655</v>
      </c>
      <c r="E408" s="58" t="str">
        <f t="shared" si="26"/>
        <v>[F-2]</v>
      </c>
      <c r="F408" s="65" t="s">
        <v>166</v>
      </c>
      <c r="G408" s="65" t="s">
        <v>208</v>
      </c>
      <c r="H408" s="66" t="s">
        <v>213</v>
      </c>
      <c r="I408" s="65" t="s">
        <v>216</v>
      </c>
      <c r="J408" s="65" t="s">
        <v>215</v>
      </c>
      <c r="K408" s="58" t="s">
        <v>130</v>
      </c>
      <c r="L408" s="58" t="s">
        <v>17</v>
      </c>
      <c r="M408" s="58">
        <f>VLOOKUP(L408,코드!$B$3:$C$29,2,FALSE)</f>
        <v>4241130</v>
      </c>
      <c r="N408" s="58" t="s">
        <v>129</v>
      </c>
      <c r="O408" s="58" t="s">
        <v>161</v>
      </c>
      <c r="P408" s="63">
        <v>300000</v>
      </c>
      <c r="Q408" s="63">
        <v>1</v>
      </c>
      <c r="R408" s="63">
        <v>2</v>
      </c>
      <c r="S408" s="64">
        <v>600000</v>
      </c>
      <c r="T408" s="63"/>
      <c r="U408" s="116">
        <v>600000</v>
      </c>
      <c r="V408" s="112" t="s">
        <v>194</v>
      </c>
      <c r="W408" s="60">
        <f t="shared" si="28"/>
        <v>1</v>
      </c>
      <c r="X408" s="114"/>
      <c r="Y408" s="115"/>
      <c r="Z408" s="114"/>
      <c r="AD408" s="114"/>
      <c r="AE408" s="114"/>
    </row>
    <row r="409" spans="1:31" s="113" customFormat="1" ht="17.25" customHeight="1">
      <c r="A409" s="4" t="s">
        <v>135</v>
      </c>
      <c r="B409" s="58" t="s">
        <v>134</v>
      </c>
      <c r="C409" s="65" t="s">
        <v>214</v>
      </c>
      <c r="D409" s="58" t="str">
        <f>VLOOKUP(C409,코드!$E$3:$F$30,2,FALSE)</f>
        <v>8655</v>
      </c>
      <c r="E409" s="58" t="str">
        <f t="shared" si="26"/>
        <v>[F-2]</v>
      </c>
      <c r="F409" s="65" t="s">
        <v>166</v>
      </c>
      <c r="G409" s="65" t="s">
        <v>208</v>
      </c>
      <c r="H409" s="66" t="s">
        <v>213</v>
      </c>
      <c r="I409" s="65" t="s">
        <v>212</v>
      </c>
      <c r="J409" s="65" t="s">
        <v>211</v>
      </c>
      <c r="K409" s="58" t="s">
        <v>130</v>
      </c>
      <c r="L409" s="58" t="s">
        <v>17</v>
      </c>
      <c r="M409" s="58">
        <f>VLOOKUP(L409,코드!$B$3:$C$29,2,FALSE)</f>
        <v>4241130</v>
      </c>
      <c r="N409" s="58" t="s">
        <v>129</v>
      </c>
      <c r="O409" s="58" t="s">
        <v>161</v>
      </c>
      <c r="P409" s="63">
        <v>400</v>
      </c>
      <c r="Q409" s="63">
        <v>1500</v>
      </c>
      <c r="R409" s="63">
        <v>1</v>
      </c>
      <c r="S409" s="64">
        <v>600000</v>
      </c>
      <c r="T409" s="63"/>
      <c r="U409" s="116">
        <v>600000</v>
      </c>
      <c r="V409" s="112" t="s">
        <v>194</v>
      </c>
      <c r="W409" s="60">
        <f t="shared" si="28"/>
        <v>1</v>
      </c>
      <c r="X409" s="114"/>
      <c r="Y409" s="115"/>
      <c r="Z409" s="114"/>
      <c r="AD409" s="114"/>
      <c r="AE409" s="114"/>
    </row>
    <row r="410" spans="1:31" s="5" customFormat="1" ht="17.25" customHeight="1">
      <c r="A410" s="4" t="s">
        <v>135</v>
      </c>
      <c r="B410" s="58" t="s">
        <v>134</v>
      </c>
      <c r="C410" s="65" t="s">
        <v>210</v>
      </c>
      <c r="D410" s="58" t="str">
        <f>VLOOKUP(C410,코드!$E$3:$F$30,2,FALSE)</f>
        <v>8673</v>
      </c>
      <c r="E410" s="58" t="str">
        <f t="shared" si="26"/>
        <v>[F-2]</v>
      </c>
      <c r="F410" s="66" t="s">
        <v>209</v>
      </c>
      <c r="G410" s="65" t="s">
        <v>208</v>
      </c>
      <c r="H410" s="66" t="s">
        <v>207</v>
      </c>
      <c r="I410" s="80"/>
      <c r="J410" s="65" t="s">
        <v>206</v>
      </c>
      <c r="K410" s="58" t="s">
        <v>205</v>
      </c>
      <c r="L410" s="58" t="s">
        <v>20</v>
      </c>
      <c r="M410" s="58">
        <f>VLOOKUP(L410,코드!$B$3:$C$29,2,FALSE)</f>
        <v>4211402</v>
      </c>
      <c r="N410" s="58" t="s">
        <v>204</v>
      </c>
      <c r="O410" s="58" t="s">
        <v>203</v>
      </c>
      <c r="P410" s="63">
        <v>60000000</v>
      </c>
      <c r="Q410" s="63">
        <v>1</v>
      </c>
      <c r="R410" s="63">
        <v>1</v>
      </c>
      <c r="S410" s="64">
        <v>60000000</v>
      </c>
      <c r="T410" s="63"/>
      <c r="U410" s="62">
        <v>60000000</v>
      </c>
      <c r="V410" s="61" t="s">
        <v>202</v>
      </c>
      <c r="W410" s="60">
        <f t="shared" si="28"/>
        <v>1</v>
      </c>
      <c r="Y410" s="6"/>
    </row>
    <row r="411" spans="1:31" s="5" customFormat="1" ht="17.25" customHeight="1">
      <c r="A411" s="4" t="s">
        <v>135</v>
      </c>
      <c r="B411" s="58" t="s">
        <v>134</v>
      </c>
      <c r="C411" s="65" t="s">
        <v>197</v>
      </c>
      <c r="D411" s="58" t="str">
        <f>VLOOKUP(C411,코드!$E$3:$F$30,2,FALSE)</f>
        <v>8752</v>
      </c>
      <c r="E411" s="58" t="str">
        <f t="shared" si="26"/>
        <v>[F-2]</v>
      </c>
      <c r="F411" s="66" t="s">
        <v>166</v>
      </c>
      <c r="G411" s="65" t="s">
        <v>191</v>
      </c>
      <c r="H411" s="66" t="s">
        <v>201</v>
      </c>
      <c r="I411" s="65" t="s">
        <v>201</v>
      </c>
      <c r="J411" s="65" t="s">
        <v>200</v>
      </c>
      <c r="K411" s="58" t="s">
        <v>130</v>
      </c>
      <c r="L411" s="58" t="s">
        <v>17</v>
      </c>
      <c r="M411" s="58">
        <f>VLOOKUP(L411,코드!$B$3:$C$29,2,FALSE)</f>
        <v>4241130</v>
      </c>
      <c r="N411" s="58" t="s">
        <v>129</v>
      </c>
      <c r="O411" s="58" t="s">
        <v>177</v>
      </c>
      <c r="P411" s="63">
        <v>4750000</v>
      </c>
      <c r="Q411" s="63">
        <v>1</v>
      </c>
      <c r="R411" s="63">
        <v>3</v>
      </c>
      <c r="S411" s="64">
        <v>14250000</v>
      </c>
      <c r="T411" s="63"/>
      <c r="U411" s="62">
        <v>14250000</v>
      </c>
      <c r="V411" s="112" t="s">
        <v>194</v>
      </c>
      <c r="W411" s="60">
        <f t="shared" si="28"/>
        <v>1</v>
      </c>
      <c r="Y411" s="6"/>
    </row>
    <row r="412" spans="1:31" s="5" customFormat="1" ht="17.25" customHeight="1">
      <c r="A412" s="4" t="s">
        <v>135</v>
      </c>
      <c r="B412" s="58" t="s">
        <v>134</v>
      </c>
      <c r="C412" s="65" t="s">
        <v>197</v>
      </c>
      <c r="D412" s="58" t="str">
        <f>VLOOKUP(C412,코드!$E$3:$F$30,2,FALSE)</f>
        <v>8752</v>
      </c>
      <c r="E412" s="58" t="str">
        <f t="shared" si="26"/>
        <v>[F-2]</v>
      </c>
      <c r="F412" s="66" t="s">
        <v>166</v>
      </c>
      <c r="G412" s="65" t="s">
        <v>191</v>
      </c>
      <c r="H412" s="66" t="s">
        <v>199</v>
      </c>
      <c r="I412" s="65" t="s">
        <v>199</v>
      </c>
      <c r="J412" s="65" t="s">
        <v>198</v>
      </c>
      <c r="K412" s="58" t="s">
        <v>130</v>
      </c>
      <c r="L412" s="58" t="s">
        <v>17</v>
      </c>
      <c r="M412" s="58">
        <f>VLOOKUP(L412,코드!$B$3:$C$29,2,FALSE)</f>
        <v>4241130</v>
      </c>
      <c r="N412" s="58" t="s">
        <v>107</v>
      </c>
      <c r="O412" s="58" t="s">
        <v>161</v>
      </c>
      <c r="P412" s="63">
        <v>450000</v>
      </c>
      <c r="Q412" s="63">
        <v>1</v>
      </c>
      <c r="R412" s="63">
        <v>1</v>
      </c>
      <c r="S412" s="64">
        <v>450000</v>
      </c>
      <c r="T412" s="63"/>
      <c r="U412" s="62">
        <v>450000</v>
      </c>
      <c r="V412" s="112" t="s">
        <v>194</v>
      </c>
      <c r="W412" s="60">
        <f t="shared" si="28"/>
        <v>1</v>
      </c>
      <c r="Y412" s="6"/>
    </row>
    <row r="413" spans="1:31" s="5" customFormat="1" ht="17.25" customHeight="1">
      <c r="A413" s="4" t="s">
        <v>135</v>
      </c>
      <c r="B413" s="58" t="s">
        <v>134</v>
      </c>
      <c r="C413" s="65" t="s">
        <v>197</v>
      </c>
      <c r="D413" s="58" t="str">
        <f>VLOOKUP(C413,코드!$E$3:$F$30,2,FALSE)</f>
        <v>8752</v>
      </c>
      <c r="E413" s="58" t="str">
        <f t="shared" si="26"/>
        <v>[F-2]</v>
      </c>
      <c r="F413" s="66" t="s">
        <v>166</v>
      </c>
      <c r="G413" s="65" t="s">
        <v>191</v>
      </c>
      <c r="H413" s="66" t="s">
        <v>196</v>
      </c>
      <c r="I413" s="65" t="s">
        <v>196</v>
      </c>
      <c r="J413" s="65" t="s">
        <v>195</v>
      </c>
      <c r="K413" s="58" t="s">
        <v>130</v>
      </c>
      <c r="L413" s="58" t="s">
        <v>17</v>
      </c>
      <c r="M413" s="58">
        <f>VLOOKUP(L413,코드!$B$3:$C$29,2,FALSE)</f>
        <v>4241130</v>
      </c>
      <c r="N413" s="58" t="s">
        <v>120</v>
      </c>
      <c r="O413" s="58" t="s">
        <v>161</v>
      </c>
      <c r="P413" s="63">
        <v>150000</v>
      </c>
      <c r="Q413" s="63">
        <v>1</v>
      </c>
      <c r="R413" s="63">
        <v>2</v>
      </c>
      <c r="S413" s="64">
        <v>300000</v>
      </c>
      <c r="T413" s="63"/>
      <c r="U413" s="62">
        <v>300000</v>
      </c>
      <c r="V413" s="112" t="s">
        <v>194</v>
      </c>
      <c r="W413" s="60">
        <f t="shared" si="28"/>
        <v>1</v>
      </c>
      <c r="Y413" s="6"/>
    </row>
    <row r="414" spans="1:31" s="5" customFormat="1" ht="17.25" customHeight="1">
      <c r="A414" s="4" t="s">
        <v>135</v>
      </c>
      <c r="B414" s="58" t="s">
        <v>134</v>
      </c>
      <c r="C414" s="65" t="s">
        <v>193</v>
      </c>
      <c r="D414" s="58" t="str">
        <f>VLOOKUP(C414,코드!$E$3:$F$30,2,FALSE)</f>
        <v>8627</v>
      </c>
      <c r="E414" s="58" t="str">
        <f t="shared" si="26"/>
        <v>[F-2]</v>
      </c>
      <c r="F414" s="66" t="s">
        <v>166</v>
      </c>
      <c r="G414" s="65" t="s">
        <v>191</v>
      </c>
      <c r="H414" s="66" t="s">
        <v>192</v>
      </c>
      <c r="I414" s="65" t="s">
        <v>192</v>
      </c>
      <c r="J414" s="65" t="s">
        <v>192</v>
      </c>
      <c r="K414" s="58" t="s">
        <v>130</v>
      </c>
      <c r="L414" s="58" t="s">
        <v>17</v>
      </c>
      <c r="M414" s="58">
        <f>VLOOKUP(L414,코드!$B$3:$C$29,2,FALSE)</f>
        <v>4241130</v>
      </c>
      <c r="N414" s="58" t="s">
        <v>120</v>
      </c>
      <c r="O414" s="58" t="s">
        <v>177</v>
      </c>
      <c r="P414" s="63">
        <v>90000000</v>
      </c>
      <c r="Q414" s="63">
        <v>1</v>
      </c>
      <c r="R414" s="63">
        <v>1</v>
      </c>
      <c r="S414" s="64">
        <v>90000000</v>
      </c>
      <c r="T414" s="63"/>
      <c r="U414" s="111">
        <v>90000000</v>
      </c>
      <c r="V414" s="61" t="s">
        <v>127</v>
      </c>
      <c r="W414" s="60">
        <f t="shared" si="28"/>
        <v>1</v>
      </c>
      <c r="Y414" s="6"/>
    </row>
    <row r="415" spans="1:31" s="100" customFormat="1" ht="17.25" customHeight="1">
      <c r="A415" s="110" t="s">
        <v>135</v>
      </c>
      <c r="B415" s="107" t="s">
        <v>134</v>
      </c>
      <c r="C415" s="109" t="s">
        <v>88</v>
      </c>
      <c r="D415" s="107">
        <f>VLOOKUP(C415,코드!$E$3:$F$30,2,FALSE)</f>
        <v>8719</v>
      </c>
      <c r="E415" s="58" t="str">
        <f t="shared" si="26"/>
        <v>[F-2]</v>
      </c>
      <c r="F415" s="108" t="s">
        <v>166</v>
      </c>
      <c r="G415" s="109" t="s">
        <v>191</v>
      </c>
      <c r="H415" s="108" t="s">
        <v>190</v>
      </c>
      <c r="I415" s="108" t="s">
        <v>190</v>
      </c>
      <c r="J415" s="108" t="s">
        <v>190</v>
      </c>
      <c r="K415" s="107" t="s">
        <v>42</v>
      </c>
      <c r="L415" s="107" t="s">
        <v>15</v>
      </c>
      <c r="M415" s="107">
        <f>VLOOKUP(L415,코드!$B$3:$C$29,2,FALSE)</f>
        <v>4321701</v>
      </c>
      <c r="N415" s="107" t="s">
        <v>42</v>
      </c>
      <c r="O415" s="107" t="s">
        <v>189</v>
      </c>
      <c r="P415" s="105">
        <v>86000000</v>
      </c>
      <c r="Q415" s="105">
        <v>1</v>
      </c>
      <c r="R415" s="105">
        <v>1</v>
      </c>
      <c r="S415" s="106">
        <v>78057280</v>
      </c>
      <c r="T415" s="105"/>
      <c r="U415" s="104"/>
      <c r="V415" s="103"/>
      <c r="W415" s="102">
        <f t="shared" si="28"/>
        <v>0</v>
      </c>
      <c r="Y415" s="101"/>
    </row>
    <row r="416" spans="1:31" s="5" customFormat="1" ht="17.25" customHeight="1">
      <c r="A416" s="4" t="s">
        <v>135</v>
      </c>
      <c r="B416" s="58" t="s">
        <v>134</v>
      </c>
      <c r="C416" s="99" t="s">
        <v>188</v>
      </c>
      <c r="D416" s="58" t="str">
        <f>VLOOKUP(C416,코드!$E$3:$F$30,2,FALSE)</f>
        <v>8725</v>
      </c>
      <c r="E416" s="58" t="str">
        <f t="shared" si="26"/>
        <v>[F-2]</v>
      </c>
      <c r="F416" s="66" t="s">
        <v>166</v>
      </c>
      <c r="G416" s="65" t="s">
        <v>187</v>
      </c>
      <c r="H416" s="66" t="s">
        <v>186</v>
      </c>
      <c r="I416" s="65" t="s">
        <v>185</v>
      </c>
      <c r="J416" s="65" t="s">
        <v>184</v>
      </c>
      <c r="K416" s="58" t="s">
        <v>130</v>
      </c>
      <c r="L416" s="98" t="s">
        <v>18</v>
      </c>
      <c r="M416" s="98">
        <f>VLOOKUP(L416,코드!$B$3:$C$29,2,FALSE)</f>
        <v>4233201</v>
      </c>
      <c r="N416" s="58" t="s">
        <v>120</v>
      </c>
      <c r="O416" s="58" t="s">
        <v>177</v>
      </c>
      <c r="P416" s="63">
        <v>150000000</v>
      </c>
      <c r="Q416" s="63">
        <v>1</v>
      </c>
      <c r="R416" s="63">
        <v>1</v>
      </c>
      <c r="S416" s="64">
        <v>150000000</v>
      </c>
      <c r="T416" s="63"/>
      <c r="U416" s="97">
        <v>150000000</v>
      </c>
      <c r="V416" s="61" t="s">
        <v>145</v>
      </c>
      <c r="W416" s="60">
        <f t="shared" si="28"/>
        <v>1</v>
      </c>
      <c r="Y416" s="6"/>
    </row>
    <row r="417" spans="1:31" s="5" customFormat="1" ht="17.25" customHeight="1">
      <c r="A417" s="4" t="s">
        <v>135</v>
      </c>
      <c r="B417" s="58" t="s">
        <v>134</v>
      </c>
      <c r="C417" s="65" t="s">
        <v>88</v>
      </c>
      <c r="D417" s="58">
        <f>VLOOKUP(C417,코드!$E$3:$F$30,2,FALSE)</f>
        <v>8719</v>
      </c>
      <c r="E417" s="58" t="str">
        <f t="shared" si="26"/>
        <v>[F-2]</v>
      </c>
      <c r="F417" s="66" t="s">
        <v>166</v>
      </c>
      <c r="G417" s="65" t="s">
        <v>165</v>
      </c>
      <c r="H417" s="66" t="s">
        <v>183</v>
      </c>
      <c r="I417" s="80"/>
      <c r="J417" s="65" t="s">
        <v>182</v>
      </c>
      <c r="K417" s="58" t="s">
        <v>130</v>
      </c>
      <c r="L417" s="58" t="s">
        <v>18</v>
      </c>
      <c r="M417" s="58">
        <f>VLOOKUP(L417,코드!$B$3:$C$29,2,FALSE)</f>
        <v>4233201</v>
      </c>
      <c r="N417" s="58" t="s">
        <v>178</v>
      </c>
      <c r="O417" s="58" t="s">
        <v>177</v>
      </c>
      <c r="P417" s="63">
        <v>75900000</v>
      </c>
      <c r="Q417" s="63">
        <v>1</v>
      </c>
      <c r="R417" s="63">
        <v>1</v>
      </c>
      <c r="S417" s="64">
        <v>66000000</v>
      </c>
      <c r="T417" s="63"/>
      <c r="U417" s="62">
        <v>66000000</v>
      </c>
      <c r="V417" s="61"/>
      <c r="W417" s="60">
        <f t="shared" si="28"/>
        <v>1</v>
      </c>
      <c r="Y417" s="6"/>
    </row>
    <row r="418" spans="1:31" ht="17.25" customHeight="1">
      <c r="A418" s="4" t="s">
        <v>135</v>
      </c>
      <c r="B418" s="58" t="s">
        <v>134</v>
      </c>
      <c r="C418" s="65" t="s">
        <v>133</v>
      </c>
      <c r="D418" s="58" t="str">
        <f>VLOOKUP(C418,코드!$E$3:$F$30,2,FALSE)</f>
        <v>8621</v>
      </c>
      <c r="E418" s="58" t="str">
        <f t="shared" si="26"/>
        <v>[F-2]</v>
      </c>
      <c r="F418" s="66" t="s">
        <v>166</v>
      </c>
      <c r="G418" s="65" t="s">
        <v>165</v>
      </c>
      <c r="H418" s="81" t="s">
        <v>181</v>
      </c>
      <c r="I418" s="80"/>
      <c r="J418" s="65" t="s">
        <v>180</v>
      </c>
      <c r="K418" s="58" t="s">
        <v>130</v>
      </c>
      <c r="L418" s="58" t="s">
        <v>179</v>
      </c>
      <c r="M418" s="58">
        <f>VLOOKUP(L418,코드!$B$3:$C$29,2,FALSE)</f>
        <v>4233201</v>
      </c>
      <c r="N418" s="58" t="s">
        <v>178</v>
      </c>
      <c r="O418" s="58" t="s">
        <v>177</v>
      </c>
      <c r="P418" s="63">
        <v>110000000</v>
      </c>
      <c r="Q418" s="63">
        <v>1</v>
      </c>
      <c r="R418" s="63">
        <v>1</v>
      </c>
      <c r="S418" s="64">
        <v>110000000</v>
      </c>
      <c r="T418" s="63"/>
      <c r="U418" s="62">
        <v>110000000</v>
      </c>
      <c r="V418" s="61" t="s">
        <v>136</v>
      </c>
      <c r="W418" s="60">
        <f t="shared" si="28"/>
        <v>1</v>
      </c>
      <c r="X418" s="44"/>
      <c r="Z418" s="4"/>
      <c r="AD418" s="4"/>
    </row>
    <row r="419" spans="1:31" ht="17.25" customHeight="1">
      <c r="A419" s="4" t="s">
        <v>135</v>
      </c>
      <c r="B419" s="58" t="s">
        <v>168</v>
      </c>
      <c r="C419" s="65" t="s">
        <v>167</v>
      </c>
      <c r="D419" s="58" t="str">
        <f>VLOOKUP(C419,코드!$E$3:$F$30,2,FALSE)</f>
        <v>8651</v>
      </c>
      <c r="E419" s="58" t="str">
        <f t="shared" si="26"/>
        <v>[F-2]</v>
      </c>
      <c r="F419" s="66" t="s">
        <v>166</v>
      </c>
      <c r="G419" s="65" t="s">
        <v>165</v>
      </c>
      <c r="H419" s="66" t="s">
        <v>164</v>
      </c>
      <c r="I419" s="65" t="s">
        <v>170</v>
      </c>
      <c r="J419" s="96" t="s">
        <v>176</v>
      </c>
      <c r="K419" s="58" t="s">
        <v>130</v>
      </c>
      <c r="L419" s="58" t="s">
        <v>17</v>
      </c>
      <c r="M419" s="58">
        <f>VLOOKUP(L419,코드!$B$3:$C$29,2,FALSE)</f>
        <v>4241130</v>
      </c>
      <c r="N419" s="58" t="s">
        <v>129</v>
      </c>
      <c r="O419" s="58" t="s">
        <v>161</v>
      </c>
      <c r="P419" s="63">
        <v>50000</v>
      </c>
      <c r="Q419" s="63">
        <v>1</v>
      </c>
      <c r="R419" s="63">
        <v>50</v>
      </c>
      <c r="S419" s="64">
        <v>2500000</v>
      </c>
      <c r="T419" s="63"/>
      <c r="U419" s="62">
        <v>2500000</v>
      </c>
      <c r="V419" s="61" t="s">
        <v>127</v>
      </c>
      <c r="W419" s="60">
        <f t="shared" si="28"/>
        <v>1</v>
      </c>
    </row>
    <row r="420" spans="1:31" ht="17.25" customHeight="1">
      <c r="A420" s="4" t="s">
        <v>135</v>
      </c>
      <c r="B420" s="58" t="s">
        <v>168</v>
      </c>
      <c r="C420" s="65" t="s">
        <v>167</v>
      </c>
      <c r="D420" s="58" t="str">
        <f>VLOOKUP(C420,코드!$E$3:$F$30,2,FALSE)</f>
        <v>8651</v>
      </c>
      <c r="E420" s="58" t="str">
        <f t="shared" si="26"/>
        <v>[F-2]</v>
      </c>
      <c r="F420" s="66" t="s">
        <v>166</v>
      </c>
      <c r="G420" s="65" t="s">
        <v>165</v>
      </c>
      <c r="H420" s="66" t="s">
        <v>164</v>
      </c>
      <c r="I420" s="65" t="s">
        <v>170</v>
      </c>
      <c r="J420" s="65" t="s">
        <v>175</v>
      </c>
      <c r="K420" s="58" t="s">
        <v>130</v>
      </c>
      <c r="L420" s="58" t="s">
        <v>17</v>
      </c>
      <c r="M420" s="58">
        <f>VLOOKUP(L420,코드!$B$3:$C$29,2,FALSE)</f>
        <v>4241130</v>
      </c>
      <c r="N420" s="58" t="s">
        <v>129</v>
      </c>
      <c r="O420" s="58" t="s">
        <v>161</v>
      </c>
      <c r="P420" s="63">
        <v>100000</v>
      </c>
      <c r="Q420" s="63">
        <v>1</v>
      </c>
      <c r="R420" s="63">
        <v>20</v>
      </c>
      <c r="S420" s="64">
        <v>2750000</v>
      </c>
      <c r="T420" s="63"/>
      <c r="U420" s="62">
        <v>2750000</v>
      </c>
      <c r="V420" s="61" t="s">
        <v>127</v>
      </c>
      <c r="W420" s="60">
        <f t="shared" si="28"/>
        <v>1</v>
      </c>
      <c r="X420" s="5">
        <v>1000000</v>
      </c>
    </row>
    <row r="421" spans="1:31" ht="17.25" customHeight="1">
      <c r="A421" s="4" t="s">
        <v>135</v>
      </c>
      <c r="B421" s="58" t="s">
        <v>168</v>
      </c>
      <c r="C421" s="65" t="s">
        <v>167</v>
      </c>
      <c r="D421" s="58" t="str">
        <f>VLOOKUP(C421,코드!$E$3:$F$30,2,FALSE)</f>
        <v>8651</v>
      </c>
      <c r="E421" s="58" t="str">
        <f t="shared" si="26"/>
        <v>[F-2]</v>
      </c>
      <c r="F421" s="66" t="s">
        <v>166</v>
      </c>
      <c r="G421" s="65" t="s">
        <v>165</v>
      </c>
      <c r="H421" s="66" t="s">
        <v>164</v>
      </c>
      <c r="I421" s="65" t="s">
        <v>170</v>
      </c>
      <c r="J421" s="65" t="s">
        <v>174</v>
      </c>
      <c r="K421" s="58" t="s">
        <v>130</v>
      </c>
      <c r="L421" s="58" t="s">
        <v>17</v>
      </c>
      <c r="M421" s="58">
        <f>VLOOKUP(L421,코드!$B$3:$C$29,2,FALSE)</f>
        <v>4241130</v>
      </c>
      <c r="N421" s="58" t="s">
        <v>107</v>
      </c>
      <c r="O421" s="58" t="s">
        <v>161</v>
      </c>
      <c r="P421" s="63">
        <v>100000</v>
      </c>
      <c r="Q421" s="63">
        <v>1</v>
      </c>
      <c r="R421" s="63">
        <v>30</v>
      </c>
      <c r="S421" s="64">
        <v>750000</v>
      </c>
      <c r="T421" s="63"/>
      <c r="U421" s="62">
        <v>750000</v>
      </c>
      <c r="V421" s="61" t="s">
        <v>127</v>
      </c>
      <c r="W421" s="60">
        <f t="shared" si="28"/>
        <v>1</v>
      </c>
      <c r="X421" s="5" t="s">
        <v>173</v>
      </c>
    </row>
    <row r="422" spans="1:31" ht="17.25" customHeight="1">
      <c r="A422" s="4" t="s">
        <v>135</v>
      </c>
      <c r="B422" s="58" t="s">
        <v>168</v>
      </c>
      <c r="C422" s="65" t="s">
        <v>167</v>
      </c>
      <c r="D422" s="58" t="str">
        <f>VLOOKUP(C422,코드!$E$3:$F$30,2,FALSE)</f>
        <v>8651</v>
      </c>
      <c r="E422" s="58" t="str">
        <f t="shared" si="26"/>
        <v>[F-2]</v>
      </c>
      <c r="F422" s="66" t="s">
        <v>166</v>
      </c>
      <c r="G422" s="65" t="s">
        <v>165</v>
      </c>
      <c r="H422" s="66" t="s">
        <v>164</v>
      </c>
      <c r="I422" s="65" t="s">
        <v>170</v>
      </c>
      <c r="J422" s="65" t="s">
        <v>172</v>
      </c>
      <c r="K422" s="58" t="s">
        <v>130</v>
      </c>
      <c r="L422" s="58" t="s">
        <v>17</v>
      </c>
      <c r="M422" s="58">
        <f>VLOOKUP(L422,코드!$B$3:$C$29,2,FALSE)</f>
        <v>4241130</v>
      </c>
      <c r="N422" s="58" t="s">
        <v>120</v>
      </c>
      <c r="O422" s="58" t="s">
        <v>161</v>
      </c>
      <c r="P422" s="63">
        <v>160000</v>
      </c>
      <c r="Q422" s="63">
        <v>15</v>
      </c>
      <c r="R422" s="63">
        <v>3</v>
      </c>
      <c r="S422" s="64">
        <v>10000000</v>
      </c>
      <c r="T422" s="63"/>
      <c r="U422" s="82">
        <f>S422</f>
        <v>10000000</v>
      </c>
      <c r="V422" s="87" t="s">
        <v>153</v>
      </c>
      <c r="W422" s="60">
        <f t="shared" si="28"/>
        <v>1</v>
      </c>
    </row>
    <row r="423" spans="1:31" ht="17.25" customHeight="1">
      <c r="A423" s="4" t="s">
        <v>135</v>
      </c>
      <c r="B423" s="58" t="s">
        <v>168</v>
      </c>
      <c r="C423" s="65" t="s">
        <v>167</v>
      </c>
      <c r="D423" s="58" t="str">
        <f>VLOOKUP(C423,코드!$E$3:$F$30,2,FALSE)</f>
        <v>8651</v>
      </c>
      <c r="E423" s="58" t="str">
        <f t="shared" si="26"/>
        <v>[F-2]</v>
      </c>
      <c r="F423" s="66" t="s">
        <v>166</v>
      </c>
      <c r="G423" s="65" t="s">
        <v>171</v>
      </c>
      <c r="H423" s="66" t="s">
        <v>164</v>
      </c>
      <c r="I423" s="65" t="s">
        <v>170</v>
      </c>
      <c r="J423" s="65" t="s">
        <v>169</v>
      </c>
      <c r="K423" s="58" t="s">
        <v>60</v>
      </c>
      <c r="L423" s="58" t="s">
        <v>17</v>
      </c>
      <c r="M423" s="58">
        <f>VLOOKUP(L423,코드!$B$3:$C$29,2,FALSE)</f>
        <v>4241130</v>
      </c>
      <c r="N423" s="58" t="s">
        <v>120</v>
      </c>
      <c r="O423" s="58" t="s">
        <v>161</v>
      </c>
      <c r="P423" s="63">
        <v>40000</v>
      </c>
      <c r="Q423" s="63">
        <v>15</v>
      </c>
      <c r="R423" s="63">
        <v>3</v>
      </c>
      <c r="S423" s="64">
        <v>5000000</v>
      </c>
      <c r="T423" s="63"/>
      <c r="U423" s="82">
        <f>S423</f>
        <v>5000000</v>
      </c>
      <c r="V423" s="87" t="s">
        <v>153</v>
      </c>
      <c r="W423" s="60">
        <f t="shared" si="28"/>
        <v>1</v>
      </c>
    </row>
    <row r="424" spans="1:31" ht="17.25" customHeight="1">
      <c r="A424" s="4" t="s">
        <v>135</v>
      </c>
      <c r="B424" s="58" t="s">
        <v>168</v>
      </c>
      <c r="C424" s="65" t="s">
        <v>167</v>
      </c>
      <c r="D424" s="58" t="str">
        <f>VLOOKUP(C424,코드!$E$3:$F$30,2,FALSE)</f>
        <v>8651</v>
      </c>
      <c r="E424" s="58" t="str">
        <f t="shared" si="26"/>
        <v>[F-2]</v>
      </c>
      <c r="F424" s="66" t="s">
        <v>166</v>
      </c>
      <c r="G424" s="65" t="s">
        <v>165</v>
      </c>
      <c r="H424" s="66" t="s">
        <v>164</v>
      </c>
      <c r="I424" s="65" t="s">
        <v>163</v>
      </c>
      <c r="J424" s="65" t="s">
        <v>162</v>
      </c>
      <c r="K424" s="58" t="s">
        <v>130</v>
      </c>
      <c r="L424" s="58" t="s">
        <v>29</v>
      </c>
      <c r="M424" s="58">
        <f>VLOOKUP(L424,코드!$B$3:$C$29,2,FALSE)</f>
        <v>4113401</v>
      </c>
      <c r="N424" s="58" t="s">
        <v>107</v>
      </c>
      <c r="O424" s="58" t="s">
        <v>161</v>
      </c>
      <c r="P424" s="63">
        <v>150000</v>
      </c>
      <c r="Q424" s="63">
        <v>1</v>
      </c>
      <c r="R424" s="63">
        <v>10</v>
      </c>
      <c r="S424" s="64">
        <v>1000000</v>
      </c>
      <c r="T424" s="63"/>
      <c r="U424" s="82">
        <f>S424</f>
        <v>1000000</v>
      </c>
      <c r="V424" s="87" t="s">
        <v>153</v>
      </c>
      <c r="W424" s="60">
        <f t="shared" si="28"/>
        <v>1</v>
      </c>
    </row>
    <row r="425" spans="1:31" ht="17.25" customHeight="1">
      <c r="A425" s="4" t="s">
        <v>135</v>
      </c>
      <c r="B425" s="58" t="s">
        <v>134</v>
      </c>
      <c r="C425" s="65" t="s">
        <v>152</v>
      </c>
      <c r="D425" s="58" t="str">
        <f>VLOOKUP(C425,코드!$E$3:$F$30,2,FALSE)</f>
        <v>8701</v>
      </c>
      <c r="E425" s="58" t="str">
        <f t="shared" si="26"/>
        <v>[F-3]</v>
      </c>
      <c r="F425" s="65" t="s">
        <v>132</v>
      </c>
      <c r="G425" s="65" t="s">
        <v>151</v>
      </c>
      <c r="H425" s="66" t="s">
        <v>157</v>
      </c>
      <c r="I425" s="65" t="s">
        <v>157</v>
      </c>
      <c r="J425" s="65" t="s">
        <v>160</v>
      </c>
      <c r="K425" s="58" t="s">
        <v>130</v>
      </c>
      <c r="L425" s="58" t="s">
        <v>17</v>
      </c>
      <c r="M425" s="58">
        <f>VLOOKUP(L425,코드!$B$3:$C$29,2,FALSE)</f>
        <v>4241130</v>
      </c>
      <c r="N425" s="58" t="s">
        <v>159</v>
      </c>
      <c r="O425" s="58" t="s">
        <v>128</v>
      </c>
      <c r="P425" s="63">
        <v>600000</v>
      </c>
      <c r="Q425" s="63">
        <v>3</v>
      </c>
      <c r="R425" s="63">
        <v>2</v>
      </c>
      <c r="S425" s="64">
        <v>3000000</v>
      </c>
      <c r="T425" s="63"/>
      <c r="U425" s="82">
        <f>S425</f>
        <v>3000000</v>
      </c>
      <c r="V425" s="87" t="s">
        <v>153</v>
      </c>
      <c r="W425" s="60">
        <f t="shared" si="28"/>
        <v>1</v>
      </c>
    </row>
    <row r="426" spans="1:31" ht="17.25" customHeight="1">
      <c r="A426" s="4" t="s">
        <v>135</v>
      </c>
      <c r="B426" s="58" t="s">
        <v>134</v>
      </c>
      <c r="C426" s="65" t="s">
        <v>152</v>
      </c>
      <c r="D426" s="58" t="str">
        <f>VLOOKUP(C426,코드!$E$3:$F$30,2,FALSE)</f>
        <v>8701</v>
      </c>
      <c r="E426" s="58" t="str">
        <f t="shared" si="26"/>
        <v>[F-3]</v>
      </c>
      <c r="F426" s="65" t="s">
        <v>132</v>
      </c>
      <c r="G426" s="65" t="s">
        <v>151</v>
      </c>
      <c r="H426" s="66" t="s">
        <v>157</v>
      </c>
      <c r="I426" s="65" t="s">
        <v>157</v>
      </c>
      <c r="J426" s="65" t="s">
        <v>156</v>
      </c>
      <c r="K426" s="58" t="s">
        <v>130</v>
      </c>
      <c r="L426" s="58" t="s">
        <v>9</v>
      </c>
      <c r="M426" s="58">
        <f>VLOOKUP(L426,코드!$B$3:$C$29,2,FALSE)</f>
        <v>4321701</v>
      </c>
      <c r="N426" s="58" t="s">
        <v>159</v>
      </c>
      <c r="O426" s="58" t="s">
        <v>128</v>
      </c>
      <c r="P426" s="92">
        <v>3500000</v>
      </c>
      <c r="Q426" s="92">
        <v>1</v>
      </c>
      <c r="R426" s="92">
        <v>1</v>
      </c>
      <c r="S426" s="95">
        <v>1400000</v>
      </c>
      <c r="T426" s="63"/>
      <c r="U426" s="94">
        <v>1400000</v>
      </c>
      <c r="V426" s="93" t="s">
        <v>158</v>
      </c>
      <c r="W426" s="90">
        <f t="shared" si="28"/>
        <v>1</v>
      </c>
      <c r="X426" s="89"/>
      <c r="Z426" s="88"/>
    </row>
    <row r="427" spans="1:31" ht="17.25" customHeight="1">
      <c r="A427" s="4" t="s">
        <v>135</v>
      </c>
      <c r="B427" s="58" t="s">
        <v>134</v>
      </c>
      <c r="C427" s="65" t="s">
        <v>152</v>
      </c>
      <c r="D427" s="58" t="str">
        <f>VLOOKUP(C427,코드!$E$3:$F$30,2,FALSE)</f>
        <v>8701</v>
      </c>
      <c r="E427" s="58" t="str">
        <f t="shared" si="26"/>
        <v>[F-3]</v>
      </c>
      <c r="F427" s="65" t="s">
        <v>132</v>
      </c>
      <c r="G427" s="65" t="s">
        <v>151</v>
      </c>
      <c r="H427" s="66" t="s">
        <v>157</v>
      </c>
      <c r="I427" s="65" t="s">
        <v>157</v>
      </c>
      <c r="J427" s="65" t="s">
        <v>156</v>
      </c>
      <c r="K427" s="58" t="s">
        <v>130</v>
      </c>
      <c r="L427" s="58" t="s">
        <v>9</v>
      </c>
      <c r="M427" s="4">
        <v>4321701</v>
      </c>
      <c r="N427" s="58"/>
      <c r="O427" s="61" t="s">
        <v>7</v>
      </c>
      <c r="P427" s="92"/>
      <c r="Q427" s="92"/>
      <c r="R427" s="92"/>
      <c r="V427" s="91"/>
      <c r="W427" s="90"/>
      <c r="X427" s="89"/>
      <c r="Z427" s="88"/>
    </row>
    <row r="428" spans="1:31" ht="17.25" customHeight="1">
      <c r="A428" s="4" t="s">
        <v>135</v>
      </c>
      <c r="B428" s="58" t="s">
        <v>134</v>
      </c>
      <c r="C428" s="65" t="s">
        <v>152</v>
      </c>
      <c r="D428" s="58" t="str">
        <f>VLOOKUP(C428,코드!$E$3:$F$30,2,FALSE)</f>
        <v>8701</v>
      </c>
      <c r="E428" s="58" t="str">
        <f t="shared" si="26"/>
        <v>[F-3]</v>
      </c>
      <c r="F428" s="65" t="s">
        <v>132</v>
      </c>
      <c r="G428" s="65" t="s">
        <v>151</v>
      </c>
      <c r="H428" s="66" t="s">
        <v>150</v>
      </c>
      <c r="I428" s="66" t="s">
        <v>150</v>
      </c>
      <c r="J428" s="66" t="s">
        <v>155</v>
      </c>
      <c r="K428" s="58" t="s">
        <v>60</v>
      </c>
      <c r="L428" s="58" t="s">
        <v>29</v>
      </c>
      <c r="M428" s="58">
        <f>VLOOKUP(L428,코드!$B$3:$C$29,2,FALSE)</f>
        <v>4113401</v>
      </c>
      <c r="N428" s="58" t="s">
        <v>154</v>
      </c>
      <c r="O428" s="58" t="s">
        <v>128</v>
      </c>
      <c r="P428" s="63">
        <v>1200000</v>
      </c>
      <c r="Q428" s="63">
        <v>1</v>
      </c>
      <c r="R428" s="63">
        <v>7</v>
      </c>
      <c r="S428" s="85">
        <v>7200000</v>
      </c>
      <c r="T428" s="63"/>
      <c r="U428" s="82">
        <f>S428</f>
        <v>7200000</v>
      </c>
      <c r="V428" s="87" t="s">
        <v>153</v>
      </c>
      <c r="W428" s="60">
        <f>U428/S428</f>
        <v>1</v>
      </c>
      <c r="X428" s="44"/>
      <c r="Z428" s="44"/>
    </row>
    <row r="429" spans="1:31" ht="17.25" customHeight="1">
      <c r="A429" s="4" t="s">
        <v>135</v>
      </c>
      <c r="B429" s="58" t="s">
        <v>134</v>
      </c>
      <c r="C429" s="65" t="s">
        <v>152</v>
      </c>
      <c r="D429" s="58" t="str">
        <f>VLOOKUP(C429,코드!$E$3:$F$30,2,FALSE)</f>
        <v>8701</v>
      </c>
      <c r="E429" s="58" t="str">
        <f t="shared" si="26"/>
        <v>[F-3]</v>
      </c>
      <c r="F429" s="65" t="s">
        <v>132</v>
      </c>
      <c r="G429" s="65" t="s">
        <v>151</v>
      </c>
      <c r="H429" s="66" t="s">
        <v>150</v>
      </c>
      <c r="I429" s="66" t="s">
        <v>150</v>
      </c>
      <c r="J429" s="66" t="s">
        <v>149</v>
      </c>
      <c r="K429" s="58" t="s">
        <v>41</v>
      </c>
      <c r="L429" s="86" t="s">
        <v>148</v>
      </c>
      <c r="M429" s="86">
        <f>VLOOKUP(L429,코드!$B$3:$C$29,2,FALSE)</f>
        <v>1314901</v>
      </c>
      <c r="N429" s="86" t="s">
        <v>147</v>
      </c>
      <c r="O429" s="86" t="s">
        <v>146</v>
      </c>
      <c r="P429" s="63">
        <v>300000</v>
      </c>
      <c r="Q429" s="63">
        <v>1</v>
      </c>
      <c r="R429" s="63">
        <v>6</v>
      </c>
      <c r="S429" s="85">
        <v>1374000</v>
      </c>
      <c r="T429" s="63"/>
      <c r="U429" s="62">
        <v>1374000</v>
      </c>
      <c r="V429" s="84" t="s">
        <v>145</v>
      </c>
      <c r="W429" s="60">
        <f>U429/S429</f>
        <v>1</v>
      </c>
      <c r="X429" s="44"/>
      <c r="Z429" s="44"/>
    </row>
    <row r="430" spans="1:31" s="59" customFormat="1" ht="17.25" customHeight="1">
      <c r="A430" s="4" t="s">
        <v>135</v>
      </c>
      <c r="B430" s="79" t="s">
        <v>134</v>
      </c>
      <c r="C430" s="71" t="s">
        <v>140</v>
      </c>
      <c r="D430" s="79" t="str">
        <f>VLOOKUP(C430,[2]코드!$E$3:$F$29,2,FALSE)</f>
        <v>8717</v>
      </c>
      <c r="E430" s="58" t="str">
        <f t="shared" si="26"/>
        <v>[F-3]</v>
      </c>
      <c r="F430" s="61" t="s">
        <v>132</v>
      </c>
      <c r="G430" s="61" t="s">
        <v>144</v>
      </c>
      <c r="H430" s="83" t="s">
        <v>143</v>
      </c>
      <c r="I430" s="61" t="s">
        <v>142</v>
      </c>
      <c r="J430" s="61" t="s">
        <v>141</v>
      </c>
      <c r="K430" s="79" t="s">
        <v>130</v>
      </c>
      <c r="L430" s="79" t="s">
        <v>17</v>
      </c>
      <c r="M430" s="58">
        <f>VLOOKUP(L430,코드!$B$3:$C$29,2,FALSE)</f>
        <v>4241130</v>
      </c>
      <c r="N430" s="79" t="s">
        <v>129</v>
      </c>
      <c r="O430" s="79" t="s">
        <v>128</v>
      </c>
      <c r="P430" s="82">
        <v>200000</v>
      </c>
      <c r="Q430" s="82">
        <v>1</v>
      </c>
      <c r="R430" s="82">
        <v>50</v>
      </c>
      <c r="S430" s="64">
        <v>10000000</v>
      </c>
      <c r="T430" s="63"/>
      <c r="U430" s="78">
        <v>10000000</v>
      </c>
      <c r="V430" s="71" t="s">
        <v>136</v>
      </c>
      <c r="W430" s="60">
        <f>U430/S430</f>
        <v>1</v>
      </c>
      <c r="X430" s="73"/>
      <c r="Y430" s="74"/>
      <c r="Z430" s="73"/>
      <c r="AD430" s="46"/>
      <c r="AE430" s="46"/>
    </row>
    <row r="431" spans="1:31" s="59" customFormat="1" ht="17.25" customHeight="1">
      <c r="A431" s="4" t="s">
        <v>135</v>
      </c>
      <c r="B431" s="79" t="s">
        <v>134</v>
      </c>
      <c r="C431" s="71" t="s">
        <v>140</v>
      </c>
      <c r="D431" s="79" t="str">
        <f>VLOOKUP(C431,[2]코드!$E$3:$F$29,2,FALSE)</f>
        <v>8717</v>
      </c>
      <c r="E431" s="58" t="str">
        <f t="shared" si="26"/>
        <v>[F-3]</v>
      </c>
      <c r="F431" s="61" t="s">
        <v>132</v>
      </c>
      <c r="G431" s="61" t="s">
        <v>139</v>
      </c>
      <c r="H431" s="83" t="s">
        <v>138</v>
      </c>
      <c r="I431" s="61" t="s">
        <v>137</v>
      </c>
      <c r="J431" s="61" t="s">
        <v>137</v>
      </c>
      <c r="K431" s="79" t="s">
        <v>130</v>
      </c>
      <c r="L431" s="79" t="s">
        <v>17</v>
      </c>
      <c r="M431" s="58">
        <f>VLOOKUP(L431,코드!$B$3:$C$29,2,FALSE)</f>
        <v>4241130</v>
      </c>
      <c r="N431" s="79" t="s">
        <v>129</v>
      </c>
      <c r="O431" s="79" t="s">
        <v>128</v>
      </c>
      <c r="P431" s="82">
        <v>20000</v>
      </c>
      <c r="Q431" s="82">
        <v>10</v>
      </c>
      <c r="R431" s="82">
        <v>50</v>
      </c>
      <c r="S431" s="64">
        <v>10000000</v>
      </c>
      <c r="T431" s="63"/>
      <c r="U431" s="78">
        <v>10000000</v>
      </c>
      <c r="V431" s="71" t="s">
        <v>136</v>
      </c>
      <c r="W431" s="60">
        <f>U431/S431</f>
        <v>1</v>
      </c>
      <c r="X431" s="73"/>
      <c r="Y431" s="74"/>
      <c r="Z431" s="73"/>
      <c r="AD431" s="46"/>
      <c r="AE431" s="46"/>
    </row>
    <row r="432" spans="1:31" ht="17.25" customHeight="1">
      <c r="A432" s="4" t="s">
        <v>135</v>
      </c>
      <c r="B432" s="58" t="s">
        <v>134</v>
      </c>
      <c r="C432" s="65" t="s">
        <v>133</v>
      </c>
      <c r="D432" s="58" t="str">
        <f>VLOOKUP(C432,코드!$E$3:$F$30,2,FALSE)</f>
        <v>8621</v>
      </c>
      <c r="E432" s="58" t="str">
        <f t="shared" si="26"/>
        <v>[F-3]</v>
      </c>
      <c r="F432" s="66" t="s">
        <v>132</v>
      </c>
      <c r="G432" s="65" t="s">
        <v>131</v>
      </c>
      <c r="H432" s="81"/>
      <c r="I432" s="80"/>
      <c r="J432" s="80"/>
      <c r="K432" s="58" t="s">
        <v>130</v>
      </c>
      <c r="L432" s="58" t="s">
        <v>17</v>
      </c>
      <c r="M432" s="58">
        <f>VLOOKUP(L432,코드!$B$3:$C$29,2,FALSE)</f>
        <v>4241130</v>
      </c>
      <c r="N432" s="58" t="s">
        <v>129</v>
      </c>
      <c r="O432" s="79" t="s">
        <v>128</v>
      </c>
      <c r="P432" s="63">
        <v>10000000</v>
      </c>
      <c r="Q432" s="63">
        <v>1</v>
      </c>
      <c r="R432" s="63">
        <v>1</v>
      </c>
      <c r="S432" s="64">
        <v>7500000</v>
      </c>
      <c r="T432" s="63"/>
      <c r="U432" s="62">
        <v>7500000</v>
      </c>
      <c r="V432" s="61" t="s">
        <v>127</v>
      </c>
      <c r="W432" s="60">
        <f>U432/S432</f>
        <v>1</v>
      </c>
      <c r="X432" s="44"/>
      <c r="Z432" s="44"/>
    </row>
    <row r="433" spans="1:31" ht="17.25" customHeight="1">
      <c r="B433" s="58"/>
      <c r="C433" s="65"/>
      <c r="D433" s="58"/>
      <c r="E433" s="58" t="str">
        <f t="shared" si="26"/>
        <v/>
      </c>
      <c r="F433" s="66"/>
      <c r="G433" s="65"/>
      <c r="H433" s="66"/>
      <c r="I433" s="65"/>
      <c r="J433" s="65"/>
      <c r="K433" s="58"/>
      <c r="L433" s="58"/>
      <c r="M433" s="58"/>
      <c r="N433" s="58"/>
      <c r="O433" s="79"/>
      <c r="P433" s="63"/>
      <c r="Q433" s="63"/>
      <c r="R433" s="63"/>
      <c r="S433" s="64"/>
      <c r="T433" s="63"/>
      <c r="U433" s="62"/>
      <c r="V433" s="61"/>
      <c r="W433" s="60" t="s">
        <v>126</v>
      </c>
      <c r="X433" s="44"/>
      <c r="Z433" s="44"/>
    </row>
    <row r="434" spans="1:31" s="59" customFormat="1" ht="17.25" customHeight="1">
      <c r="A434" s="59" t="s">
        <v>75</v>
      </c>
      <c r="B434" s="72" t="s">
        <v>75</v>
      </c>
      <c r="C434" s="65" t="s">
        <v>88</v>
      </c>
      <c r="D434" s="58">
        <f>VLOOKUP(C434,코드!$E$3:$F$30,2,FALSE)</f>
        <v>8719</v>
      </c>
      <c r="E434" s="58" t="str">
        <f t="shared" si="26"/>
        <v xml:space="preserve">사업관리 </v>
      </c>
      <c r="F434" s="66" t="s">
        <v>73</v>
      </c>
      <c r="G434" s="65" t="s">
        <v>73</v>
      </c>
      <c r="H434" s="66" t="s">
        <v>87</v>
      </c>
      <c r="I434" s="65" t="s">
        <v>124</v>
      </c>
      <c r="J434" s="65" t="s">
        <v>125</v>
      </c>
      <c r="K434" s="72" t="s">
        <v>80</v>
      </c>
      <c r="L434" s="72" t="s">
        <v>17</v>
      </c>
      <c r="M434" s="58">
        <f>VLOOKUP(L434,코드!$B$3:$C$29,2,FALSE)</f>
        <v>4241130</v>
      </c>
      <c r="N434" s="72" t="s">
        <v>116</v>
      </c>
      <c r="O434" s="72" t="s">
        <v>77</v>
      </c>
      <c r="P434" s="75">
        <v>12000000</v>
      </c>
      <c r="Q434" s="75">
        <v>1</v>
      </c>
      <c r="R434" s="75">
        <v>1</v>
      </c>
      <c r="S434" s="76">
        <v>12000000</v>
      </c>
      <c r="T434" s="75"/>
      <c r="U434" s="78">
        <v>12000000</v>
      </c>
      <c r="V434" s="71" t="s">
        <v>67</v>
      </c>
      <c r="W434" s="60">
        <f t="shared" ref="W434:W455" si="29">U434/S434</f>
        <v>1</v>
      </c>
      <c r="X434" s="73"/>
      <c r="Y434" s="74"/>
      <c r="Z434" s="73"/>
      <c r="AD434" s="46"/>
      <c r="AE434" s="46"/>
    </row>
    <row r="435" spans="1:31" s="59" customFormat="1" ht="17.25" customHeight="1">
      <c r="A435" s="59" t="s">
        <v>75</v>
      </c>
      <c r="B435" s="72" t="s">
        <v>75</v>
      </c>
      <c r="C435" s="65" t="s">
        <v>88</v>
      </c>
      <c r="D435" s="58">
        <f>VLOOKUP(C435,코드!$E$3:$F$30,2,FALSE)</f>
        <v>8719</v>
      </c>
      <c r="E435" s="58" t="str">
        <f t="shared" si="26"/>
        <v xml:space="preserve">사업관리 </v>
      </c>
      <c r="F435" s="66" t="s">
        <v>73</v>
      </c>
      <c r="G435" s="65" t="s">
        <v>73</v>
      </c>
      <c r="H435" s="66" t="s">
        <v>87</v>
      </c>
      <c r="I435" s="65" t="s">
        <v>124</v>
      </c>
      <c r="J435" s="65" t="s">
        <v>123</v>
      </c>
      <c r="K435" s="72" t="s">
        <v>80</v>
      </c>
      <c r="L435" s="72" t="s">
        <v>17</v>
      </c>
      <c r="M435" s="58">
        <f>VLOOKUP(L435,코드!$B$3:$C$29,2,FALSE)</f>
        <v>4241130</v>
      </c>
      <c r="N435" s="72" t="s">
        <v>116</v>
      </c>
      <c r="O435" s="72" t="s">
        <v>77</v>
      </c>
      <c r="P435" s="75">
        <v>52510000</v>
      </c>
      <c r="Q435" s="75">
        <v>1</v>
      </c>
      <c r="R435" s="75">
        <v>1</v>
      </c>
      <c r="S435" s="76">
        <v>52510000</v>
      </c>
      <c r="T435" s="75"/>
      <c r="U435" s="77">
        <v>52510000</v>
      </c>
      <c r="V435" s="71" t="s">
        <v>67</v>
      </c>
      <c r="W435" s="60">
        <f t="shared" si="29"/>
        <v>1</v>
      </c>
      <c r="X435" s="73"/>
      <c r="Y435" s="74"/>
      <c r="Z435" s="73"/>
      <c r="AD435" s="46"/>
      <c r="AE435" s="46"/>
    </row>
    <row r="436" spans="1:31" s="59" customFormat="1" ht="17.25" customHeight="1">
      <c r="A436" s="59" t="s">
        <v>75</v>
      </c>
      <c r="B436" s="72" t="s">
        <v>75</v>
      </c>
      <c r="C436" s="65" t="s">
        <v>88</v>
      </c>
      <c r="D436" s="58">
        <f>VLOOKUP(C436,코드!$E$3:$F$30,2,FALSE)</f>
        <v>8719</v>
      </c>
      <c r="E436" s="58" t="str">
        <f t="shared" si="26"/>
        <v xml:space="preserve">사업관리 </v>
      </c>
      <c r="F436" s="66" t="s">
        <v>73</v>
      </c>
      <c r="G436" s="65" t="s">
        <v>73</v>
      </c>
      <c r="H436" s="66" t="s">
        <v>87</v>
      </c>
      <c r="I436" s="65" t="s">
        <v>122</v>
      </c>
      <c r="J436" s="65" t="s">
        <v>121</v>
      </c>
      <c r="K436" s="72" t="s">
        <v>80</v>
      </c>
      <c r="L436" s="72" t="s">
        <v>17</v>
      </c>
      <c r="M436" s="58">
        <f>VLOOKUP(L436,코드!$B$3:$C$29,2,FALSE)</f>
        <v>4241130</v>
      </c>
      <c r="N436" s="72" t="s">
        <v>120</v>
      </c>
      <c r="O436" s="72" t="s">
        <v>77</v>
      </c>
      <c r="P436" s="75"/>
      <c r="Q436" s="75"/>
      <c r="R436" s="75"/>
      <c r="S436" s="76">
        <v>5000000</v>
      </c>
      <c r="T436" s="75"/>
      <c r="U436" s="75">
        <v>5000000</v>
      </c>
      <c r="V436" s="71" t="s">
        <v>67</v>
      </c>
      <c r="W436" s="60">
        <f t="shared" si="29"/>
        <v>1</v>
      </c>
      <c r="X436" s="73"/>
      <c r="Y436" s="74"/>
      <c r="Z436" s="73"/>
      <c r="AD436" s="46"/>
      <c r="AE436" s="46"/>
    </row>
    <row r="437" spans="1:31" ht="17.25" customHeight="1">
      <c r="A437" s="59" t="s">
        <v>75</v>
      </c>
      <c r="B437" s="58" t="s">
        <v>75</v>
      </c>
      <c r="C437" s="65" t="s">
        <v>88</v>
      </c>
      <c r="D437" s="58">
        <f>VLOOKUP(C437,코드!$E$3:$F$30,2,FALSE)</f>
        <v>8719</v>
      </c>
      <c r="E437" s="58" t="str">
        <f t="shared" si="26"/>
        <v xml:space="preserve">사업관리 </v>
      </c>
      <c r="F437" s="66" t="s">
        <v>73</v>
      </c>
      <c r="G437" s="65" t="s">
        <v>73</v>
      </c>
      <c r="H437" s="66" t="s">
        <v>87</v>
      </c>
      <c r="I437" s="65" t="s">
        <v>86</v>
      </c>
      <c r="J437" s="65" t="s">
        <v>119</v>
      </c>
      <c r="K437" s="58" t="s">
        <v>80</v>
      </c>
      <c r="L437" s="72" t="s">
        <v>17</v>
      </c>
      <c r="M437" s="58">
        <f>VLOOKUP(L437,코드!$B$3:$C$29,2,FALSE)</f>
        <v>4241130</v>
      </c>
      <c r="N437" s="58" t="s">
        <v>116</v>
      </c>
      <c r="O437" s="58" t="s">
        <v>77</v>
      </c>
      <c r="P437" s="63">
        <v>50000</v>
      </c>
      <c r="Q437" s="63">
        <v>30</v>
      </c>
      <c r="R437" s="63">
        <v>4</v>
      </c>
      <c r="S437" s="64">
        <v>6000000</v>
      </c>
      <c r="T437" s="63"/>
      <c r="U437" s="62">
        <v>6000000</v>
      </c>
      <c r="V437" s="71" t="s">
        <v>67</v>
      </c>
      <c r="W437" s="60">
        <f t="shared" si="29"/>
        <v>1</v>
      </c>
      <c r="X437" s="44"/>
      <c r="Z437" s="44"/>
    </row>
    <row r="438" spans="1:31" ht="17.25" customHeight="1">
      <c r="A438" s="59" t="s">
        <v>75</v>
      </c>
      <c r="B438" s="58" t="s">
        <v>75</v>
      </c>
      <c r="C438" s="65" t="s">
        <v>88</v>
      </c>
      <c r="D438" s="58">
        <f>VLOOKUP(C438,코드!$E$3:$F$30,2,FALSE)</f>
        <v>8719</v>
      </c>
      <c r="E438" s="58" t="str">
        <f t="shared" si="26"/>
        <v xml:space="preserve">사업관리 </v>
      </c>
      <c r="F438" s="66" t="s">
        <v>73</v>
      </c>
      <c r="G438" s="65" t="s">
        <v>73</v>
      </c>
      <c r="H438" s="66" t="s">
        <v>87</v>
      </c>
      <c r="I438" s="65" t="s">
        <v>86</v>
      </c>
      <c r="J438" s="65" t="s">
        <v>118</v>
      </c>
      <c r="K438" s="58" t="s">
        <v>80</v>
      </c>
      <c r="L438" s="58" t="s">
        <v>17</v>
      </c>
      <c r="M438" s="58">
        <f>VLOOKUP(L438,코드!$B$3:$C$29,2,FALSE)</f>
        <v>4241130</v>
      </c>
      <c r="N438" s="58" t="s">
        <v>116</v>
      </c>
      <c r="O438" s="58" t="s">
        <v>77</v>
      </c>
      <c r="P438" s="63">
        <v>10257000</v>
      </c>
      <c r="Q438" s="63">
        <v>1</v>
      </c>
      <c r="R438" s="63">
        <v>1</v>
      </c>
      <c r="S438" s="64">
        <v>10257000</v>
      </c>
      <c r="T438" s="63"/>
      <c r="U438" s="62">
        <v>10257000</v>
      </c>
      <c r="V438" s="61" t="s">
        <v>67</v>
      </c>
      <c r="W438" s="60">
        <f t="shared" si="29"/>
        <v>1</v>
      </c>
      <c r="X438" s="44"/>
      <c r="Z438" s="44"/>
    </row>
    <row r="439" spans="1:31" ht="17.25" customHeight="1">
      <c r="A439" s="59" t="s">
        <v>75</v>
      </c>
      <c r="B439" s="58" t="s">
        <v>75</v>
      </c>
      <c r="C439" s="65" t="s">
        <v>88</v>
      </c>
      <c r="D439" s="58">
        <f>VLOOKUP(C439,코드!$E$3:$F$30,2,FALSE)</f>
        <v>8719</v>
      </c>
      <c r="E439" s="58" t="str">
        <f t="shared" si="26"/>
        <v xml:space="preserve">사업관리 </v>
      </c>
      <c r="F439" s="66" t="s">
        <v>73</v>
      </c>
      <c r="G439" s="65" t="s">
        <v>73</v>
      </c>
      <c r="H439" s="66" t="s">
        <v>87</v>
      </c>
      <c r="I439" s="65" t="s">
        <v>86</v>
      </c>
      <c r="J439" s="65" t="s">
        <v>117</v>
      </c>
      <c r="K439" s="58" t="s">
        <v>80</v>
      </c>
      <c r="L439" s="58" t="s">
        <v>17</v>
      </c>
      <c r="M439" s="58">
        <f>VLOOKUP(L439,코드!$B$3:$C$29,2,FALSE)</f>
        <v>4241130</v>
      </c>
      <c r="N439" s="58" t="s">
        <v>116</v>
      </c>
      <c r="O439" s="58" t="s">
        <v>77</v>
      </c>
      <c r="P439" s="63">
        <v>1000000</v>
      </c>
      <c r="Q439" s="63">
        <v>1</v>
      </c>
      <c r="R439" s="63">
        <v>12</v>
      </c>
      <c r="S439" s="64">
        <v>20000000</v>
      </c>
      <c r="T439" s="63"/>
      <c r="U439" s="62">
        <v>20000000</v>
      </c>
      <c r="V439" s="71" t="s">
        <v>67</v>
      </c>
      <c r="W439" s="60">
        <f t="shared" si="29"/>
        <v>1</v>
      </c>
      <c r="X439" s="44"/>
      <c r="Z439" s="44"/>
    </row>
    <row r="440" spans="1:31" ht="17.25" customHeight="1">
      <c r="A440" s="59" t="s">
        <v>75</v>
      </c>
      <c r="B440" s="58" t="s">
        <v>75</v>
      </c>
      <c r="C440" s="65" t="s">
        <v>88</v>
      </c>
      <c r="D440" s="58">
        <f>VLOOKUP(C440,코드!$E$3:$F$30,2,FALSE)</f>
        <v>8719</v>
      </c>
      <c r="E440" s="58" t="str">
        <f t="shared" si="26"/>
        <v xml:space="preserve">사업관리 </v>
      </c>
      <c r="F440" s="66" t="s">
        <v>73</v>
      </c>
      <c r="G440" s="65" t="s">
        <v>73</v>
      </c>
      <c r="H440" s="66" t="s">
        <v>87</v>
      </c>
      <c r="I440" s="65" t="s">
        <v>86</v>
      </c>
      <c r="J440" s="65" t="s">
        <v>115</v>
      </c>
      <c r="K440" s="58" t="s">
        <v>80</v>
      </c>
      <c r="L440" s="58" t="s">
        <v>114</v>
      </c>
      <c r="M440" s="58">
        <f>VLOOKUP(L440,코드!$B$3:$C$29,2,FALSE)</f>
        <v>1314903</v>
      </c>
      <c r="N440" s="58" t="s">
        <v>111</v>
      </c>
      <c r="O440" s="58" t="s">
        <v>77</v>
      </c>
      <c r="P440" s="63">
        <v>2500000</v>
      </c>
      <c r="Q440" s="63">
        <v>1</v>
      </c>
      <c r="R440" s="63">
        <v>5</v>
      </c>
      <c r="S440" s="64">
        <v>17113000</v>
      </c>
      <c r="T440" s="63"/>
      <c r="U440" s="63">
        <v>17113000</v>
      </c>
      <c r="V440" s="61" t="s">
        <v>67</v>
      </c>
      <c r="W440" s="60">
        <f t="shared" si="29"/>
        <v>1</v>
      </c>
      <c r="X440" s="44"/>
      <c r="Z440" s="44"/>
    </row>
    <row r="441" spans="1:31" ht="17.25" customHeight="1">
      <c r="A441" s="59" t="s">
        <v>75</v>
      </c>
      <c r="B441" s="58" t="s">
        <v>75</v>
      </c>
      <c r="C441" s="65" t="s">
        <v>88</v>
      </c>
      <c r="D441" s="58">
        <f>VLOOKUP(C441,코드!$E$3:$F$30,2,FALSE)</f>
        <v>8719</v>
      </c>
      <c r="E441" s="58" t="str">
        <f t="shared" si="26"/>
        <v xml:space="preserve">사업관리 </v>
      </c>
      <c r="F441" s="66" t="s">
        <v>73</v>
      </c>
      <c r="G441" s="65" t="s">
        <v>73</v>
      </c>
      <c r="H441" s="66" t="s">
        <v>87</v>
      </c>
      <c r="I441" s="65" t="s">
        <v>86</v>
      </c>
      <c r="J441" s="65" t="s">
        <v>113</v>
      </c>
      <c r="K441" s="58" t="s">
        <v>80</v>
      </c>
      <c r="L441" s="58" t="s">
        <v>112</v>
      </c>
      <c r="M441" s="58">
        <f>VLOOKUP(L441,코드!$B$3:$C$29,2,FALSE)</f>
        <v>1315903</v>
      </c>
      <c r="N441" s="58" t="s">
        <v>111</v>
      </c>
      <c r="O441" s="58" t="s">
        <v>77</v>
      </c>
      <c r="P441" s="63">
        <v>1000000</v>
      </c>
      <c r="Q441" s="63">
        <v>1</v>
      </c>
      <c r="R441" s="63">
        <v>10</v>
      </c>
      <c r="S441" s="64">
        <v>10000000</v>
      </c>
      <c r="T441" s="63"/>
      <c r="U441" s="62">
        <v>10000000</v>
      </c>
      <c r="V441" s="71" t="s">
        <v>67</v>
      </c>
      <c r="W441" s="60">
        <f t="shared" si="29"/>
        <v>1</v>
      </c>
      <c r="X441" s="44"/>
      <c r="Z441" s="44"/>
    </row>
    <row r="442" spans="1:31" ht="17.25" customHeight="1">
      <c r="A442" s="59" t="s">
        <v>75</v>
      </c>
      <c r="B442" s="58" t="s">
        <v>75</v>
      </c>
      <c r="C442" s="65" t="s">
        <v>88</v>
      </c>
      <c r="D442" s="58">
        <f>VLOOKUP(C442,코드!$E$3:$F$30,2,FALSE)</f>
        <v>8719</v>
      </c>
      <c r="E442" s="58" t="str">
        <f t="shared" si="26"/>
        <v xml:space="preserve">사업관리 </v>
      </c>
      <c r="F442" s="66" t="s">
        <v>73</v>
      </c>
      <c r="G442" s="65" t="s">
        <v>73</v>
      </c>
      <c r="H442" s="66" t="s">
        <v>87</v>
      </c>
      <c r="I442" s="65" t="s">
        <v>86</v>
      </c>
      <c r="J442" s="65" t="s">
        <v>110</v>
      </c>
      <c r="K442" s="58" t="s">
        <v>80</v>
      </c>
      <c r="L442" s="58" t="s">
        <v>17</v>
      </c>
      <c r="M442" s="58">
        <f>VLOOKUP(L442,코드!$B$3:$C$29,2,FALSE)</f>
        <v>4241130</v>
      </c>
      <c r="N442" s="58" t="s">
        <v>109</v>
      </c>
      <c r="O442" s="58" t="s">
        <v>77</v>
      </c>
      <c r="P442" s="63">
        <v>30000</v>
      </c>
      <c r="Q442" s="63">
        <v>10</v>
      </c>
      <c r="R442" s="63">
        <v>30</v>
      </c>
      <c r="S442" s="64">
        <v>10000000</v>
      </c>
      <c r="T442" s="63"/>
      <c r="U442" s="62">
        <v>10000000</v>
      </c>
      <c r="V442" s="61" t="s">
        <v>67</v>
      </c>
      <c r="W442" s="60">
        <f t="shared" si="29"/>
        <v>1</v>
      </c>
      <c r="X442" s="44"/>
      <c r="Z442" s="44"/>
    </row>
    <row r="443" spans="1:31" ht="17.25" customHeight="1">
      <c r="A443" s="59" t="s">
        <v>75</v>
      </c>
      <c r="B443" s="58" t="s">
        <v>75</v>
      </c>
      <c r="C443" s="65" t="s">
        <v>88</v>
      </c>
      <c r="D443" s="58">
        <f>VLOOKUP(C443,코드!$E$3:$F$30,2,FALSE)</f>
        <v>8719</v>
      </c>
      <c r="E443" s="58" t="str">
        <f t="shared" si="26"/>
        <v xml:space="preserve">사업관리 </v>
      </c>
      <c r="F443" s="66" t="s">
        <v>73</v>
      </c>
      <c r="G443" s="65" t="s">
        <v>73</v>
      </c>
      <c r="H443" s="66" t="s">
        <v>87</v>
      </c>
      <c r="I443" s="65" t="s">
        <v>86</v>
      </c>
      <c r="J443" s="65" t="s">
        <v>108</v>
      </c>
      <c r="K443" s="58" t="s">
        <v>80</v>
      </c>
      <c r="L443" s="58" t="s">
        <v>17</v>
      </c>
      <c r="M443" s="58">
        <f>VLOOKUP(L443,코드!$B$3:$C$29,2,FALSE)</f>
        <v>4241130</v>
      </c>
      <c r="N443" s="58" t="s">
        <v>107</v>
      </c>
      <c r="O443" s="58" t="s">
        <v>77</v>
      </c>
      <c r="P443" s="63">
        <v>300000</v>
      </c>
      <c r="Q443" s="63">
        <v>2</v>
      </c>
      <c r="R443" s="63">
        <v>4</v>
      </c>
      <c r="S443" s="64">
        <v>820000</v>
      </c>
      <c r="T443" s="63"/>
      <c r="U443" s="63">
        <v>820000</v>
      </c>
      <c r="V443" s="71" t="s">
        <v>67</v>
      </c>
      <c r="W443" s="60">
        <f t="shared" si="29"/>
        <v>1</v>
      </c>
      <c r="X443" s="44"/>
      <c r="Z443" s="44"/>
    </row>
    <row r="444" spans="1:31" ht="17.25" customHeight="1">
      <c r="A444" s="59" t="s">
        <v>75</v>
      </c>
      <c r="B444" s="58" t="s">
        <v>75</v>
      </c>
      <c r="C444" s="65" t="s">
        <v>88</v>
      </c>
      <c r="D444" s="58">
        <f>VLOOKUP(C444,코드!$E$3:$F$30,2,FALSE)</f>
        <v>8719</v>
      </c>
      <c r="E444" s="58" t="str">
        <f t="shared" si="26"/>
        <v xml:space="preserve">사업관리 </v>
      </c>
      <c r="F444" s="66" t="s">
        <v>73</v>
      </c>
      <c r="G444" s="65" t="s">
        <v>73</v>
      </c>
      <c r="H444" s="66" t="s">
        <v>87</v>
      </c>
      <c r="I444" s="65" t="s">
        <v>86</v>
      </c>
      <c r="J444" s="65" t="s">
        <v>106</v>
      </c>
      <c r="K444" s="58" t="s">
        <v>80</v>
      </c>
      <c r="L444" s="58" t="s">
        <v>17</v>
      </c>
      <c r="M444" s="58">
        <f>VLOOKUP(L444,코드!$B$3:$C$29,2,FALSE)</f>
        <v>4241130</v>
      </c>
      <c r="N444" s="58" t="s">
        <v>105</v>
      </c>
      <c r="O444" s="58" t="s">
        <v>77</v>
      </c>
      <c r="P444" s="63">
        <v>150000</v>
      </c>
      <c r="Q444" s="63">
        <v>3</v>
      </c>
      <c r="R444" s="63">
        <v>10</v>
      </c>
      <c r="S444" s="64">
        <v>4500000</v>
      </c>
      <c r="T444" s="63"/>
      <c r="U444" s="62">
        <v>4500000</v>
      </c>
      <c r="V444" s="61" t="s">
        <v>67</v>
      </c>
      <c r="W444" s="60">
        <f t="shared" si="29"/>
        <v>1</v>
      </c>
      <c r="X444" s="44"/>
      <c r="Z444" s="44"/>
    </row>
    <row r="445" spans="1:31" ht="17.25" customHeight="1">
      <c r="A445" s="59" t="s">
        <v>75</v>
      </c>
      <c r="B445" s="58" t="s">
        <v>75</v>
      </c>
      <c r="C445" s="65" t="s">
        <v>88</v>
      </c>
      <c r="D445" s="58">
        <f>VLOOKUP(C445,코드!$E$3:$F$30,2,FALSE)</f>
        <v>8719</v>
      </c>
      <c r="E445" s="58" t="str">
        <f t="shared" si="26"/>
        <v xml:space="preserve">사업관리 </v>
      </c>
      <c r="F445" s="66" t="s">
        <v>73</v>
      </c>
      <c r="G445" s="65" t="s">
        <v>73</v>
      </c>
      <c r="H445" s="66" t="s">
        <v>87</v>
      </c>
      <c r="I445" s="65" t="s">
        <v>86</v>
      </c>
      <c r="J445" s="65" t="s">
        <v>104</v>
      </c>
      <c r="K445" s="58" t="s">
        <v>80</v>
      </c>
      <c r="L445" s="58" t="s">
        <v>17</v>
      </c>
      <c r="M445" s="58">
        <f>VLOOKUP(L445,코드!$B$3:$C$29,2,FALSE)</f>
        <v>4241130</v>
      </c>
      <c r="N445" s="58" t="s">
        <v>103</v>
      </c>
      <c r="O445" s="58" t="s">
        <v>77</v>
      </c>
      <c r="P445" s="63">
        <v>100000</v>
      </c>
      <c r="Q445" s="63">
        <v>2</v>
      </c>
      <c r="R445" s="63">
        <v>20</v>
      </c>
      <c r="S445" s="64">
        <v>4000000</v>
      </c>
      <c r="T445" s="63"/>
      <c r="U445" s="62">
        <v>4000000</v>
      </c>
      <c r="V445" s="61" t="s">
        <v>67</v>
      </c>
      <c r="W445" s="60">
        <f t="shared" si="29"/>
        <v>1</v>
      </c>
      <c r="X445" s="44"/>
      <c r="Z445" s="44"/>
    </row>
    <row r="446" spans="1:31" ht="17.25" customHeight="1">
      <c r="A446" s="59" t="s">
        <v>75</v>
      </c>
      <c r="B446" s="58" t="s">
        <v>75</v>
      </c>
      <c r="C446" s="65" t="s">
        <v>88</v>
      </c>
      <c r="D446" s="58">
        <f>VLOOKUP(C446,코드!$E$3:$F$30,2,FALSE)</f>
        <v>8719</v>
      </c>
      <c r="E446" s="58" t="str">
        <f t="shared" si="26"/>
        <v xml:space="preserve">사업관리 </v>
      </c>
      <c r="F446" s="66" t="s">
        <v>73</v>
      </c>
      <c r="G446" s="65" t="s">
        <v>73</v>
      </c>
      <c r="H446" s="66" t="s">
        <v>87</v>
      </c>
      <c r="I446" s="65" t="s">
        <v>86</v>
      </c>
      <c r="J446" s="65" t="s">
        <v>102</v>
      </c>
      <c r="K446" s="58" t="s">
        <v>101</v>
      </c>
      <c r="L446" s="58" t="s">
        <v>15</v>
      </c>
      <c r="M446" s="58">
        <f>VLOOKUP(L446,코드!$B$3:$C$29,2,FALSE)</f>
        <v>4321701</v>
      </c>
      <c r="N446" s="58" t="s">
        <v>100</v>
      </c>
      <c r="O446" s="58" t="s">
        <v>99</v>
      </c>
      <c r="P446" s="63">
        <v>650000</v>
      </c>
      <c r="Q446" s="63">
        <v>2</v>
      </c>
      <c r="R446" s="63">
        <v>10</v>
      </c>
      <c r="S446" s="64">
        <v>13000000</v>
      </c>
      <c r="T446" s="63"/>
      <c r="U446" s="62">
        <v>13000000</v>
      </c>
      <c r="V446" s="61" t="s">
        <v>67</v>
      </c>
      <c r="W446" s="60">
        <f t="shared" si="29"/>
        <v>1</v>
      </c>
      <c r="X446" s="44"/>
      <c r="Z446" s="44"/>
    </row>
    <row r="447" spans="1:31" ht="17.25" customHeight="1">
      <c r="A447" s="59" t="s">
        <v>75</v>
      </c>
      <c r="B447" s="58" t="s">
        <v>75</v>
      </c>
      <c r="C447" s="65" t="s">
        <v>88</v>
      </c>
      <c r="D447" s="58">
        <f>VLOOKUP(C447,코드!$E$3:$F$30,2,FALSE)</f>
        <v>8719</v>
      </c>
      <c r="E447" s="58" t="str">
        <f t="shared" si="26"/>
        <v xml:space="preserve">사업관리 </v>
      </c>
      <c r="F447" s="66" t="s">
        <v>73</v>
      </c>
      <c r="G447" s="65" t="s">
        <v>73</v>
      </c>
      <c r="H447" s="66" t="s">
        <v>87</v>
      </c>
      <c r="I447" s="70" t="s">
        <v>86</v>
      </c>
      <c r="J447" s="70" t="s">
        <v>98</v>
      </c>
      <c r="K447" s="68" t="s">
        <v>84</v>
      </c>
      <c r="L447" s="68" t="s">
        <v>97</v>
      </c>
      <c r="M447" s="68">
        <f>VLOOKUP(L447,코드!$B$3:$C$29,2,FALSE)</f>
        <v>4125101</v>
      </c>
      <c r="N447" s="69" t="s">
        <v>96</v>
      </c>
      <c r="O447" s="68" t="s">
        <v>68</v>
      </c>
      <c r="P447" s="63">
        <v>34000000</v>
      </c>
      <c r="Q447" s="63">
        <v>20</v>
      </c>
      <c r="R447" s="63">
        <v>1</v>
      </c>
      <c r="S447" s="64">
        <v>106835740</v>
      </c>
      <c r="T447" s="63"/>
      <c r="U447" s="63">
        <v>106835740</v>
      </c>
      <c r="V447" s="61" t="s">
        <v>67</v>
      </c>
      <c r="W447" s="60">
        <f t="shared" si="29"/>
        <v>1</v>
      </c>
      <c r="X447" s="44"/>
      <c r="Z447" s="44"/>
    </row>
    <row r="448" spans="1:31" ht="17.25" customHeight="1">
      <c r="A448" s="59" t="s">
        <v>75</v>
      </c>
      <c r="B448" s="58" t="s">
        <v>75</v>
      </c>
      <c r="C448" s="65" t="s">
        <v>88</v>
      </c>
      <c r="D448" s="58">
        <f>VLOOKUP(C448,코드!$E$3:$F$30,2,FALSE)</f>
        <v>8719</v>
      </c>
      <c r="E448" s="58" t="str">
        <f t="shared" ref="E448:E449" si="30">LEFT(F448, 5)</f>
        <v xml:space="preserve">사업관리 </v>
      </c>
      <c r="F448" s="66" t="s">
        <v>73</v>
      </c>
      <c r="G448" s="65" t="s">
        <v>73</v>
      </c>
      <c r="H448" s="66" t="s">
        <v>87</v>
      </c>
      <c r="I448" s="70" t="s">
        <v>86</v>
      </c>
      <c r="J448" s="70"/>
      <c r="K448" s="68"/>
      <c r="L448" s="68"/>
      <c r="M448" s="141">
        <v>4118509</v>
      </c>
      <c r="N448" s="176"/>
      <c r="O448" s="141" t="s">
        <v>68</v>
      </c>
      <c r="P448" s="139"/>
      <c r="Q448" s="139"/>
      <c r="R448" s="139"/>
      <c r="S448" s="140">
        <v>11149660</v>
      </c>
      <c r="T448" s="139"/>
      <c r="U448" s="140">
        <v>11149660</v>
      </c>
      <c r="V448" s="61"/>
      <c r="W448" s="60"/>
      <c r="X448" s="44"/>
      <c r="Z448" s="44"/>
    </row>
    <row r="449" spans="1:33" ht="17.25" customHeight="1">
      <c r="A449" s="59" t="s">
        <v>75</v>
      </c>
      <c r="B449" s="58" t="s">
        <v>75</v>
      </c>
      <c r="C449" s="65" t="s">
        <v>88</v>
      </c>
      <c r="D449" s="58">
        <f>VLOOKUP(C449,코드!$E$3:$F$30,2,FALSE)</f>
        <v>8719</v>
      </c>
      <c r="E449" s="58" t="str">
        <f t="shared" si="30"/>
        <v xml:space="preserve">사업관리 </v>
      </c>
      <c r="F449" s="66" t="s">
        <v>73</v>
      </c>
      <c r="G449" s="65" t="s">
        <v>73</v>
      </c>
      <c r="H449" s="66" t="s">
        <v>87</v>
      </c>
      <c r="I449" s="70" t="s">
        <v>86</v>
      </c>
      <c r="J449" s="70"/>
      <c r="K449" s="68"/>
      <c r="L449" s="68"/>
      <c r="M449" s="141">
        <v>4118701</v>
      </c>
      <c r="N449" s="176"/>
      <c r="O449" s="141" t="s">
        <v>68</v>
      </c>
      <c r="P449" s="139"/>
      <c r="Q449" s="139"/>
      <c r="R449" s="139"/>
      <c r="S449" s="140"/>
      <c r="T449" s="139"/>
      <c r="U449" s="140"/>
      <c r="V449" s="61"/>
      <c r="W449" s="60"/>
      <c r="X449" s="44"/>
      <c r="Z449" s="44"/>
    </row>
    <row r="450" spans="1:33" ht="17.25" customHeight="1">
      <c r="A450" s="59" t="s">
        <v>75</v>
      </c>
      <c r="B450" s="58" t="s">
        <v>75</v>
      </c>
      <c r="C450" s="65" t="s">
        <v>88</v>
      </c>
      <c r="D450" s="58">
        <f>VLOOKUP(C450,코드!$E$3:$F$30,2,FALSE)</f>
        <v>8719</v>
      </c>
      <c r="E450" s="58" t="str">
        <f t="shared" si="26"/>
        <v xml:space="preserve">사업관리 </v>
      </c>
      <c r="F450" s="66" t="s">
        <v>73</v>
      </c>
      <c r="G450" s="65" t="s">
        <v>73</v>
      </c>
      <c r="H450" s="66" t="s">
        <v>87</v>
      </c>
      <c r="I450" s="70" t="s">
        <v>86</v>
      </c>
      <c r="J450" s="70" t="s">
        <v>95</v>
      </c>
      <c r="K450" s="68" t="s">
        <v>84</v>
      </c>
      <c r="L450" s="68" t="s">
        <v>94</v>
      </c>
      <c r="M450" s="68">
        <f>VLOOKUP(L450,코드!$B$3:$C$29,2,FALSE)</f>
        <v>4125301</v>
      </c>
      <c r="N450" s="69" t="s">
        <v>93</v>
      </c>
      <c r="O450" s="68" t="s">
        <v>68</v>
      </c>
      <c r="P450" s="63"/>
      <c r="Q450" s="63"/>
      <c r="R450" s="63"/>
      <c r="S450" s="64">
        <v>30000000</v>
      </c>
      <c r="T450" s="63"/>
      <c r="U450" s="63">
        <v>30000000</v>
      </c>
      <c r="V450" s="61" t="s">
        <v>67</v>
      </c>
      <c r="W450" s="60">
        <f t="shared" si="29"/>
        <v>1</v>
      </c>
      <c r="X450" s="44"/>
      <c r="Z450" s="44"/>
    </row>
    <row r="451" spans="1:33" ht="17.25" customHeight="1">
      <c r="A451" s="59" t="s">
        <v>75</v>
      </c>
      <c r="B451" s="58" t="s">
        <v>75</v>
      </c>
      <c r="C451" s="65" t="s">
        <v>88</v>
      </c>
      <c r="D451" s="58">
        <f>VLOOKUP(C451,코드!$E$3:$F$30,2,FALSE)</f>
        <v>8719</v>
      </c>
      <c r="E451" s="58" t="str">
        <f t="shared" si="26"/>
        <v xml:space="preserve">사업관리 </v>
      </c>
      <c r="F451" s="66" t="s">
        <v>73</v>
      </c>
      <c r="G451" s="65" t="s">
        <v>73</v>
      </c>
      <c r="H451" s="66" t="s">
        <v>87</v>
      </c>
      <c r="I451" s="65" t="s">
        <v>86</v>
      </c>
      <c r="J451" s="65" t="s">
        <v>91</v>
      </c>
      <c r="K451" s="58" t="s">
        <v>84</v>
      </c>
      <c r="L451" s="58" t="s">
        <v>92</v>
      </c>
      <c r="M451" s="58">
        <f>VLOOKUP(L451,코드!$B$3:$C$29,2,FALSE)</f>
        <v>4125302</v>
      </c>
      <c r="N451" s="58" t="s">
        <v>89</v>
      </c>
      <c r="O451" s="58" t="s">
        <v>68</v>
      </c>
      <c r="P451" s="63">
        <v>60000000</v>
      </c>
      <c r="Q451" s="63">
        <v>1</v>
      </c>
      <c r="R451" s="63">
        <v>1</v>
      </c>
      <c r="S451" s="64">
        <v>60000000</v>
      </c>
      <c r="T451" s="63"/>
      <c r="U451" s="62">
        <v>60000000</v>
      </c>
      <c r="V451" s="61" t="s">
        <v>67</v>
      </c>
      <c r="W451" s="60">
        <f t="shared" si="29"/>
        <v>1</v>
      </c>
      <c r="X451" s="44"/>
      <c r="Z451" s="44"/>
    </row>
    <row r="452" spans="1:33" ht="17.25" customHeight="1">
      <c r="A452" s="59" t="s">
        <v>75</v>
      </c>
      <c r="B452" s="58" t="s">
        <v>75</v>
      </c>
      <c r="C452" s="65" t="s">
        <v>88</v>
      </c>
      <c r="D452" s="58">
        <f>VLOOKUP(C452,코드!$E$3:$F$30,2,FALSE)</f>
        <v>8719</v>
      </c>
      <c r="E452" s="58" t="str">
        <f t="shared" si="26"/>
        <v xml:space="preserve">사업관리 </v>
      </c>
      <c r="F452" s="66" t="s">
        <v>73</v>
      </c>
      <c r="G452" s="65" t="s">
        <v>73</v>
      </c>
      <c r="H452" s="66" t="s">
        <v>87</v>
      </c>
      <c r="I452" s="65" t="s">
        <v>86</v>
      </c>
      <c r="J452" s="65" t="s">
        <v>91</v>
      </c>
      <c r="K452" s="58" t="s">
        <v>84</v>
      </c>
      <c r="L452" s="58" t="s">
        <v>90</v>
      </c>
      <c r="M452" s="58">
        <f>VLOOKUP(L452,코드!$B$3:$C$29,2,FALSE)</f>
        <v>4123801</v>
      </c>
      <c r="N452" s="58" t="s">
        <v>89</v>
      </c>
      <c r="O452" s="58" t="s">
        <v>68</v>
      </c>
      <c r="P452" s="63">
        <v>70000000</v>
      </c>
      <c r="Q452" s="63">
        <v>1</v>
      </c>
      <c r="R452" s="63">
        <v>1</v>
      </c>
      <c r="S452" s="64">
        <v>70000000</v>
      </c>
      <c r="T452" s="63"/>
      <c r="U452" s="62">
        <v>70000000</v>
      </c>
      <c r="V452" s="61" t="s">
        <v>67</v>
      </c>
      <c r="W452" s="60">
        <f t="shared" si="29"/>
        <v>1</v>
      </c>
      <c r="X452" s="44"/>
      <c r="Z452" s="44"/>
    </row>
    <row r="453" spans="1:33" ht="17.25" customHeight="1">
      <c r="A453" s="59" t="s">
        <v>75</v>
      </c>
      <c r="B453" s="58" t="s">
        <v>75</v>
      </c>
      <c r="C453" s="65" t="s">
        <v>88</v>
      </c>
      <c r="D453" s="58">
        <f>VLOOKUP(C453,코드!$E$3:$F$30,2,FALSE)</f>
        <v>8719</v>
      </c>
      <c r="E453" s="58" t="str">
        <f t="shared" ref="E453:E455" si="31">LEFT(F453, 5)</f>
        <v xml:space="preserve">사업관리 </v>
      </c>
      <c r="F453" s="66" t="s">
        <v>73</v>
      </c>
      <c r="G453" s="65" t="s">
        <v>73</v>
      </c>
      <c r="H453" s="66" t="s">
        <v>87</v>
      </c>
      <c r="I453" s="65" t="s">
        <v>86</v>
      </c>
      <c r="J453" s="65" t="s">
        <v>85</v>
      </c>
      <c r="K453" s="58" t="s">
        <v>84</v>
      </c>
      <c r="L453" s="58" t="s">
        <v>83</v>
      </c>
      <c r="M453" s="67">
        <f>VLOOKUP(L453,코드!$B$3:$C$29,2,FALSE)</f>
        <v>4125509</v>
      </c>
      <c r="N453" s="58" t="s">
        <v>82</v>
      </c>
      <c r="O453" s="58" t="s">
        <v>68</v>
      </c>
      <c r="P453" s="63">
        <v>70000000</v>
      </c>
      <c r="Q453" s="63">
        <v>2</v>
      </c>
      <c r="R453" s="63">
        <v>1</v>
      </c>
      <c r="S453" s="64">
        <v>120000000</v>
      </c>
      <c r="T453" s="63"/>
      <c r="U453" s="63">
        <v>120000000</v>
      </c>
      <c r="V453" s="61" t="s">
        <v>67</v>
      </c>
      <c r="W453" s="60">
        <f t="shared" si="29"/>
        <v>1</v>
      </c>
      <c r="X453" s="44"/>
      <c r="Z453" s="44"/>
    </row>
    <row r="454" spans="1:33" ht="17.25" customHeight="1">
      <c r="A454" s="59" t="s">
        <v>75</v>
      </c>
      <c r="B454" s="58" t="s">
        <v>75</v>
      </c>
      <c r="C454" s="65" t="s">
        <v>303</v>
      </c>
      <c r="D454" s="58" t="str">
        <f>VLOOKUP(C454,코드!$E$3:$F$30,2,FALSE)</f>
        <v>8671</v>
      </c>
      <c r="E454" s="58" t="str">
        <f t="shared" si="31"/>
        <v xml:space="preserve">사업관리 </v>
      </c>
      <c r="F454" s="66" t="s">
        <v>73</v>
      </c>
      <c r="G454" s="65" t="s">
        <v>73</v>
      </c>
      <c r="H454" s="66" t="s">
        <v>72</v>
      </c>
      <c r="I454" s="65" t="s">
        <v>72</v>
      </c>
      <c r="J454" s="65" t="s">
        <v>81</v>
      </c>
      <c r="K454" s="58" t="s">
        <v>80</v>
      </c>
      <c r="L454" s="58" t="s">
        <v>79</v>
      </c>
      <c r="M454" s="58">
        <f>VLOOKUP(L454,코드!$B$3:$C$29,2,FALSE)</f>
        <v>4226101</v>
      </c>
      <c r="N454" s="58" t="s">
        <v>78</v>
      </c>
      <c r="O454" s="58" t="s">
        <v>77</v>
      </c>
      <c r="P454" s="63">
        <v>513133000</v>
      </c>
      <c r="Q454" s="63">
        <v>1</v>
      </c>
      <c r="R454" s="63">
        <v>1</v>
      </c>
      <c r="S454" s="64">
        <v>530000000</v>
      </c>
      <c r="T454" s="63"/>
      <c r="U454" s="62">
        <v>530000000</v>
      </c>
      <c r="V454" s="61" t="s">
        <v>76</v>
      </c>
      <c r="W454" s="60">
        <f t="shared" si="29"/>
        <v>1</v>
      </c>
    </row>
    <row r="455" spans="1:33" ht="17.25" customHeight="1">
      <c r="A455" s="59" t="s">
        <v>75</v>
      </c>
      <c r="B455" s="55" t="s">
        <v>75</v>
      </c>
      <c r="C455" s="56" t="s">
        <v>74</v>
      </c>
      <c r="D455" s="55">
        <f>VLOOKUP(C455,코드!$E$3:$F$30,2,FALSE)</f>
        <v>8719</v>
      </c>
      <c r="E455" s="58" t="str">
        <f t="shared" si="31"/>
        <v xml:space="preserve">사업관리 </v>
      </c>
      <c r="F455" s="57" t="s">
        <v>73</v>
      </c>
      <c r="G455" s="56" t="s">
        <v>73</v>
      </c>
      <c r="H455" s="57" t="s">
        <v>72</v>
      </c>
      <c r="I455" s="56" t="s">
        <v>71</v>
      </c>
      <c r="J455" s="56" t="s">
        <v>70</v>
      </c>
      <c r="K455" s="55" t="s">
        <v>43</v>
      </c>
      <c r="L455" s="55" t="s">
        <v>30</v>
      </c>
      <c r="M455" s="55">
        <f>VLOOKUP(L455,코드!$B$3:$C$29,2,FALSE)</f>
        <v>4111101</v>
      </c>
      <c r="N455" s="55" t="s">
        <v>69</v>
      </c>
      <c r="O455" s="55" t="s">
        <v>68</v>
      </c>
      <c r="P455" s="53">
        <v>785500000</v>
      </c>
      <c r="Q455" s="53">
        <v>1</v>
      </c>
      <c r="R455" s="53">
        <v>1</v>
      </c>
      <c r="S455" s="54">
        <v>800000000</v>
      </c>
      <c r="T455" s="53"/>
      <c r="U455" s="52">
        <v>800000000</v>
      </c>
      <c r="V455" s="51" t="s">
        <v>67</v>
      </c>
      <c r="W455" s="50">
        <f t="shared" si="29"/>
        <v>1</v>
      </c>
    </row>
    <row r="458" spans="1:33" s="6" customFormat="1" ht="17.25" customHeight="1">
      <c r="A458" s="4"/>
      <c r="C458" s="4"/>
      <c r="F458" s="10"/>
      <c r="G458" s="4"/>
      <c r="I458" s="4"/>
      <c r="J458" s="4" t="s">
        <v>66</v>
      </c>
      <c r="P458" s="9"/>
      <c r="Q458" s="9"/>
      <c r="R458" s="9"/>
      <c r="S458" s="5"/>
      <c r="T458" s="8"/>
      <c r="U458" s="5"/>
      <c r="V458" s="4"/>
      <c r="W458" s="7"/>
      <c r="X458" s="5"/>
      <c r="Z458" s="5"/>
      <c r="AA458" s="385" t="s">
        <v>65</v>
      </c>
      <c r="AB458" s="386"/>
      <c r="AC458" s="387"/>
      <c r="AD458" s="22"/>
      <c r="AE458" s="388" t="s">
        <v>1442</v>
      </c>
      <c r="AF458" s="389"/>
      <c r="AG458" s="390"/>
    </row>
    <row r="459" spans="1:33" s="6" customFormat="1" ht="17.25" customHeight="1">
      <c r="A459" s="4"/>
      <c r="C459" s="4"/>
      <c r="F459" s="10"/>
      <c r="G459" s="4"/>
      <c r="I459" s="4"/>
      <c r="J459" s="4" t="s">
        <v>64</v>
      </c>
      <c r="P459" s="9"/>
      <c r="Q459" s="9"/>
      <c r="R459" s="9"/>
      <c r="S459" s="5"/>
      <c r="T459" s="8"/>
      <c r="U459" s="5"/>
      <c r="V459" s="4"/>
      <c r="W459" s="7"/>
      <c r="X459" s="23"/>
      <c r="Y459" s="25" t="s">
        <v>62</v>
      </c>
      <c r="Z459" s="5"/>
      <c r="AA459" s="25" t="s">
        <v>48</v>
      </c>
      <c r="AB459" s="25" t="s">
        <v>63</v>
      </c>
      <c r="AC459" s="25" t="s">
        <v>62</v>
      </c>
      <c r="AD459" s="22"/>
      <c r="AE459" s="23" t="s">
        <v>1441</v>
      </c>
      <c r="AF459" s="25" t="s">
        <v>63</v>
      </c>
      <c r="AG459" s="25" t="s">
        <v>62</v>
      </c>
    </row>
    <row r="460" spans="1:33" ht="17.25" customHeight="1">
      <c r="J460" s="4" t="s">
        <v>61</v>
      </c>
      <c r="V460" s="49"/>
      <c r="X460" s="45" t="s">
        <v>60</v>
      </c>
      <c r="Y460" s="23">
        <f>SUMIF(K:K,X460,S:S)</f>
        <v>2312620272</v>
      </c>
      <c r="Z460" s="5" t="s">
        <v>130</v>
      </c>
      <c r="AA460" s="26">
        <v>100000000</v>
      </c>
      <c r="AB460" s="26">
        <f t="shared" ref="AB460:AB465" si="32">AC460-Y469</f>
        <v>2244437400</v>
      </c>
      <c r="AC460" s="42">
        <f>SUM(Y469:Z469)</f>
        <v>2344437400</v>
      </c>
      <c r="AE460" s="26">
        <v>100000000</v>
      </c>
      <c r="AF460" s="26">
        <f>AG460-AE460</f>
        <v>2212620272</v>
      </c>
      <c r="AG460" s="26">
        <v>2312620272</v>
      </c>
    </row>
    <row r="461" spans="1:33" s="6" customFormat="1" ht="17.25" customHeight="1">
      <c r="A461" s="4"/>
      <c r="C461" s="4"/>
      <c r="F461" s="10"/>
      <c r="G461" s="4"/>
      <c r="I461" s="4"/>
      <c r="J461" s="4" t="s">
        <v>59</v>
      </c>
      <c r="P461" s="9"/>
      <c r="Q461" s="9"/>
      <c r="S461" s="5"/>
      <c r="U461" s="22"/>
      <c r="V461" s="4"/>
      <c r="W461" s="7"/>
      <c r="X461" s="45" t="s">
        <v>58</v>
      </c>
      <c r="Y461" s="23">
        <f>SUMIF(K:K,X461,S:S)</f>
        <v>2053231780</v>
      </c>
      <c r="Z461" s="22" t="s">
        <v>205</v>
      </c>
      <c r="AA461" s="23">
        <v>150000000</v>
      </c>
      <c r="AB461" s="26">
        <f t="shared" si="32"/>
        <v>1828594000</v>
      </c>
      <c r="AC461" s="42">
        <f t="shared" ref="AC461:AC465" si="33">SUM(Y470:Z470)</f>
        <v>1978594000</v>
      </c>
      <c r="AD461" s="22"/>
      <c r="AE461" s="23">
        <v>150000000</v>
      </c>
      <c r="AF461" s="26">
        <f t="shared" ref="AF461:AF466" si="34">AG461-AE461</f>
        <v>1903231780</v>
      </c>
      <c r="AG461" s="23">
        <v>2053231780</v>
      </c>
    </row>
    <row r="462" spans="1:33" s="6" customFormat="1" ht="17.25" customHeight="1">
      <c r="A462" s="4"/>
      <c r="C462" s="4"/>
      <c r="F462" s="10"/>
      <c r="G462" s="4"/>
      <c r="I462" s="4"/>
      <c r="J462" s="4" t="s">
        <v>57</v>
      </c>
      <c r="P462" s="9"/>
      <c r="Q462" s="9"/>
      <c r="S462" s="5"/>
      <c r="U462" s="22"/>
      <c r="V462" s="4"/>
      <c r="W462" s="7"/>
      <c r="X462" s="45" t="s">
        <v>43</v>
      </c>
      <c r="Y462" s="23">
        <f>SUMIF(K:K,X462,S:S)</f>
        <v>1703850340</v>
      </c>
      <c r="Z462" s="22" t="s">
        <v>43</v>
      </c>
      <c r="AA462" s="23">
        <v>85118572</v>
      </c>
      <c r="AB462" s="26">
        <f>AC462-Y471</f>
        <v>1630381428</v>
      </c>
      <c r="AC462" s="42">
        <f t="shared" si="33"/>
        <v>1715500000</v>
      </c>
      <c r="AD462" s="22"/>
      <c r="AE462" s="23">
        <v>85118572</v>
      </c>
      <c r="AF462" s="26">
        <f t="shared" si="34"/>
        <v>1629881428</v>
      </c>
      <c r="AG462" s="23">
        <v>1715000000</v>
      </c>
    </row>
    <row r="463" spans="1:33" s="6" customFormat="1" ht="17.25" customHeight="1">
      <c r="A463" s="4"/>
      <c r="C463" s="4"/>
      <c r="F463" s="10"/>
      <c r="G463" s="4"/>
      <c r="I463" s="4"/>
      <c r="J463" s="48" t="s">
        <v>56</v>
      </c>
      <c r="P463" s="9"/>
      <c r="Q463" s="9"/>
      <c r="S463" s="5"/>
      <c r="U463" s="22"/>
      <c r="V463" s="4"/>
      <c r="W463" s="7"/>
      <c r="X463" s="23" t="s">
        <v>42</v>
      </c>
      <c r="Y463" s="23">
        <f>SUMIF(K:K,X463,S:S)</f>
        <v>447369520</v>
      </c>
      <c r="Z463" s="22" t="s">
        <v>101</v>
      </c>
      <c r="AA463" s="23">
        <v>50000000</v>
      </c>
      <c r="AB463" s="26">
        <f t="shared" si="32"/>
        <v>390569520</v>
      </c>
      <c r="AC463" s="42">
        <f t="shared" si="33"/>
        <v>440569520</v>
      </c>
      <c r="AD463" s="22"/>
      <c r="AE463" s="23">
        <v>50000000</v>
      </c>
      <c r="AF463" s="26">
        <f t="shared" si="34"/>
        <v>397369520</v>
      </c>
      <c r="AG463" s="23">
        <v>447369520</v>
      </c>
    </row>
    <row r="464" spans="1:33" s="6" customFormat="1" ht="17.25" customHeight="1">
      <c r="A464" s="4"/>
      <c r="C464" s="4"/>
      <c r="F464" s="10"/>
      <c r="G464" s="4"/>
      <c r="I464" s="4"/>
      <c r="J464" s="4" t="s">
        <v>55</v>
      </c>
      <c r="P464" s="9"/>
      <c r="Q464" s="9"/>
      <c r="R464" s="9"/>
      <c r="S464" s="5"/>
      <c r="T464" s="8"/>
      <c r="U464" s="5"/>
      <c r="V464" s="4"/>
      <c r="W464" s="7"/>
      <c r="X464" s="23" t="s">
        <v>41</v>
      </c>
      <c r="Y464" s="23">
        <f>SUMIF(K:K,X464,S:S)</f>
        <v>32697000</v>
      </c>
      <c r="Z464" s="22" t="s">
        <v>1438</v>
      </c>
      <c r="AA464" s="23">
        <v>0</v>
      </c>
      <c r="AB464" s="26">
        <f t="shared" si="32"/>
        <v>81817652</v>
      </c>
      <c r="AC464" s="42">
        <f t="shared" si="33"/>
        <v>81817652</v>
      </c>
      <c r="AD464" s="22"/>
      <c r="AE464" s="23">
        <v>0</v>
      </c>
      <c r="AF464" s="26">
        <f t="shared" si="34"/>
        <v>32697000</v>
      </c>
      <c r="AG464" s="23">
        <v>32697000</v>
      </c>
    </row>
    <row r="465" spans="1:33" s="6" customFormat="1" ht="17.25" customHeight="1">
      <c r="A465" s="4"/>
      <c r="C465" s="4"/>
      <c r="F465" s="10"/>
      <c r="G465" s="4"/>
      <c r="I465" s="4"/>
      <c r="J465" s="4" t="s">
        <v>54</v>
      </c>
      <c r="P465" s="9"/>
      <c r="Q465" s="9"/>
      <c r="R465" s="9"/>
      <c r="S465" s="5"/>
      <c r="T465" s="8"/>
      <c r="U465" s="5"/>
      <c r="V465" s="4"/>
      <c r="W465" s="7"/>
      <c r="X465" s="23" t="s">
        <v>53</v>
      </c>
      <c r="Y465" s="23">
        <f>SUMIF(K:K,X465,S:S)</f>
        <v>686200000</v>
      </c>
      <c r="Z465" s="22" t="s">
        <v>80</v>
      </c>
      <c r="AA465" s="23">
        <v>0</v>
      </c>
      <c r="AB465" s="26">
        <f t="shared" si="32"/>
        <v>686200000</v>
      </c>
      <c r="AC465" s="42">
        <f t="shared" si="33"/>
        <v>686200000</v>
      </c>
      <c r="AD465" s="22"/>
      <c r="AE465" s="23">
        <v>0</v>
      </c>
      <c r="AF465" s="26">
        <f t="shared" si="34"/>
        <v>686200000</v>
      </c>
      <c r="AG465" s="23">
        <v>686200000</v>
      </c>
    </row>
    <row r="466" spans="1:33" s="6" customFormat="1" ht="17.25" customHeight="1">
      <c r="A466" s="4"/>
      <c r="C466" s="4"/>
      <c r="F466" s="10"/>
      <c r="G466" s="4"/>
      <c r="I466" s="4"/>
      <c r="J466" s="4" t="s">
        <v>52</v>
      </c>
      <c r="P466" s="9"/>
      <c r="Q466" s="9"/>
      <c r="R466" s="9"/>
      <c r="S466" s="5"/>
      <c r="T466" s="8"/>
      <c r="U466" s="5"/>
      <c r="V466" s="4"/>
      <c r="W466" s="7"/>
      <c r="X466" s="26"/>
      <c r="Y466" s="47">
        <f>SUM(Y460:Y465)</f>
        <v>7235968912</v>
      </c>
      <c r="Z466" s="22"/>
      <c r="AA466" s="26">
        <f>SUM(AA459:AA465)</f>
        <v>385118572</v>
      </c>
      <c r="AB466" s="26">
        <f>SUM(AB459:AB465)</f>
        <v>6862000000</v>
      </c>
      <c r="AC466" s="42">
        <f>SUM(AC460:AC465)</f>
        <v>7247118572</v>
      </c>
      <c r="AD466" s="22"/>
      <c r="AE466" s="23">
        <v>385118572</v>
      </c>
      <c r="AF466" s="26">
        <f t="shared" si="34"/>
        <v>6862000000</v>
      </c>
      <c r="AG466" s="23">
        <v>7247118572</v>
      </c>
    </row>
    <row r="467" spans="1:33" ht="17.25" customHeight="1">
      <c r="I467" s="4" t="s">
        <v>51</v>
      </c>
      <c r="J467" s="46" t="s">
        <v>50</v>
      </c>
      <c r="AA467" s="5"/>
      <c r="AB467" s="5"/>
    </row>
    <row r="468" spans="1:33" ht="17.25" customHeight="1">
      <c r="J468" s="4" t="s">
        <v>49</v>
      </c>
      <c r="X468" s="23"/>
      <c r="Y468" s="25" t="s">
        <v>48</v>
      </c>
      <c r="Z468" s="23" t="s">
        <v>47</v>
      </c>
    </row>
    <row r="469" spans="1:33" ht="17.25" customHeight="1">
      <c r="J469" s="4" t="s">
        <v>46</v>
      </c>
      <c r="X469" s="45" t="s">
        <v>45</v>
      </c>
      <c r="Y469" s="43">
        <v>100000000</v>
      </c>
      <c r="Z469" s="26">
        <v>2244437400</v>
      </c>
    </row>
    <row r="470" spans="1:33" ht="17.25" customHeight="1">
      <c r="X470" s="45" t="s">
        <v>44</v>
      </c>
      <c r="Y470" s="43">
        <v>150000000</v>
      </c>
      <c r="Z470" s="28">
        <v>1828594000</v>
      </c>
    </row>
    <row r="471" spans="1:33" ht="17.25" customHeight="1">
      <c r="X471" s="45" t="s">
        <v>43</v>
      </c>
      <c r="Y471" s="43">
        <v>85118572</v>
      </c>
      <c r="Z471" s="26">
        <v>1630381428</v>
      </c>
    </row>
    <row r="472" spans="1:33" s="6" customFormat="1" ht="17.25" customHeight="1">
      <c r="A472" s="4"/>
      <c r="C472" s="4"/>
      <c r="F472" s="10"/>
      <c r="G472" s="4"/>
      <c r="I472" s="4"/>
      <c r="J472" s="44"/>
      <c r="P472" s="9"/>
      <c r="Q472" s="9"/>
      <c r="R472" s="9"/>
      <c r="S472" s="5"/>
      <c r="T472" s="8"/>
      <c r="U472" s="5"/>
      <c r="V472" s="4"/>
      <c r="W472" s="7"/>
      <c r="X472" s="23" t="s">
        <v>42</v>
      </c>
      <c r="Y472" s="43">
        <v>50000000</v>
      </c>
      <c r="Z472" s="26">
        <v>390569520</v>
      </c>
      <c r="AD472" s="22"/>
      <c r="AE472" s="22"/>
    </row>
    <row r="473" spans="1:33" ht="17.25" customHeight="1">
      <c r="X473" s="23" t="s">
        <v>41</v>
      </c>
      <c r="Y473" s="29">
        <v>0</v>
      </c>
      <c r="Z473" s="26">
        <v>81817652</v>
      </c>
    </row>
    <row r="474" spans="1:33" ht="17.25" customHeight="1">
      <c r="Q474" s="41"/>
      <c r="X474" s="23" t="s">
        <v>40</v>
      </c>
      <c r="Y474" s="29">
        <v>0</v>
      </c>
      <c r="Z474" s="26">
        <v>686200000</v>
      </c>
    </row>
    <row r="475" spans="1:33" ht="17.25" customHeight="1">
      <c r="B475" s="4"/>
      <c r="D475" s="4"/>
      <c r="E475" s="4"/>
      <c r="F475" s="4"/>
      <c r="H475" s="4"/>
      <c r="K475" s="4"/>
      <c r="L475" s="4"/>
      <c r="M475" s="4"/>
      <c r="N475" s="4"/>
      <c r="O475" s="4"/>
      <c r="P475" s="4"/>
      <c r="Q475" s="41"/>
      <c r="X475" s="26"/>
      <c r="Y475" s="42">
        <f>SUM(Y469:Y472)</f>
        <v>385118572</v>
      </c>
      <c r="Z475" s="42">
        <f>SUM(Z469:Z474)</f>
        <v>6862000000</v>
      </c>
    </row>
    <row r="476" spans="1:33" ht="17.25" customHeight="1">
      <c r="B476" s="4"/>
      <c r="D476" s="4"/>
      <c r="E476" s="4"/>
      <c r="F476" s="4"/>
      <c r="H476" s="4"/>
      <c r="K476" s="4"/>
      <c r="L476" s="4"/>
      <c r="M476" s="4"/>
      <c r="N476" s="4"/>
      <c r="O476" s="4"/>
      <c r="P476" s="4"/>
      <c r="X476" s="41"/>
    </row>
    <row r="477" spans="1:33" ht="17.25" customHeight="1">
      <c r="B477" s="4"/>
      <c r="D477" s="4"/>
      <c r="E477" s="4"/>
      <c r="F477" s="4"/>
      <c r="H477" s="4"/>
      <c r="K477" s="4"/>
      <c r="L477" s="4"/>
      <c r="M477" s="4"/>
      <c r="N477" s="4"/>
      <c r="O477" s="4"/>
      <c r="P477" s="4"/>
      <c r="X477" s="41"/>
    </row>
    <row r="478" spans="1:33" ht="17.25" customHeight="1">
      <c r="B478" s="4"/>
      <c r="D478" s="4"/>
      <c r="E478" s="4"/>
      <c r="F478" s="4"/>
      <c r="H478" s="4"/>
      <c r="K478" s="4"/>
      <c r="L478" s="4"/>
      <c r="M478" s="4"/>
      <c r="N478" s="4"/>
      <c r="O478" s="4"/>
      <c r="P478" s="4"/>
      <c r="X478" s="41"/>
    </row>
    <row r="479" spans="1:33" ht="17.25" customHeight="1">
      <c r="B479" s="4"/>
      <c r="D479" s="4"/>
      <c r="E479" s="4"/>
      <c r="F479" s="4"/>
      <c r="H479" s="4"/>
      <c r="K479" s="4"/>
      <c r="L479" s="4"/>
      <c r="M479" s="4"/>
      <c r="N479" s="4"/>
      <c r="O479" s="4"/>
      <c r="P479" s="4"/>
      <c r="X479" s="40" t="s">
        <v>39</v>
      </c>
      <c r="Y479" s="40" t="s">
        <v>38</v>
      </c>
      <c r="Z479" s="26" t="s">
        <v>37</v>
      </c>
      <c r="AA479" s="4" t="s">
        <v>36</v>
      </c>
      <c r="AC479" s="4" t="s">
        <v>35</v>
      </c>
    </row>
    <row r="480" spans="1:33" ht="17.25" customHeight="1">
      <c r="B480" s="4"/>
      <c r="D480" s="4"/>
      <c r="E480" s="4"/>
      <c r="F480" s="4"/>
      <c r="H480" s="4"/>
      <c r="K480" s="4"/>
      <c r="L480" s="4"/>
      <c r="M480" s="4"/>
      <c r="N480" s="4"/>
      <c r="O480" s="4"/>
      <c r="P480" s="4"/>
      <c r="X480" s="24" t="s">
        <v>34</v>
      </c>
      <c r="Y480" s="35">
        <f>VLOOKUP(X480,코드!$B$3:$C$29,2,FALSE)</f>
        <v>1314901</v>
      </c>
      <c r="Z480" s="23">
        <f>SUMIF(L:L,X480,S:S)</f>
        <v>112697000</v>
      </c>
      <c r="AA480" s="39">
        <f>SUM(Z480:Z483)</f>
        <v>768330000</v>
      </c>
      <c r="AB480" s="38">
        <v>13</v>
      </c>
      <c r="AC480" s="38">
        <f>268330000+500000000</f>
        <v>768330000</v>
      </c>
      <c r="AD480" s="38">
        <f>AC480-AA480</f>
        <v>0</v>
      </c>
    </row>
    <row r="481" spans="2:30" ht="17.25" customHeight="1">
      <c r="B481" s="4"/>
      <c r="D481" s="4"/>
      <c r="E481" s="4"/>
      <c r="F481" s="4"/>
      <c r="H481" s="4"/>
      <c r="K481" s="4"/>
      <c r="L481" s="4"/>
      <c r="M481" s="4"/>
      <c r="N481" s="4"/>
      <c r="O481" s="4"/>
      <c r="P481" s="4"/>
      <c r="X481" s="24" t="s">
        <v>33</v>
      </c>
      <c r="Y481" s="35">
        <f>VLOOKUP(X481,코드!$B$3:$C$29,2,FALSE)</f>
        <v>1314903</v>
      </c>
      <c r="Z481" s="23">
        <f>SUMIF(L:L,X481,S:S)</f>
        <v>626113000</v>
      </c>
      <c r="AA481" s="37">
        <f>SUM(Z484:Z493)</f>
        <v>1967668912</v>
      </c>
      <c r="AB481" s="36">
        <v>41</v>
      </c>
      <c r="AC481" s="36">
        <f>1984357863-5539291</f>
        <v>1978818572</v>
      </c>
      <c r="AD481" s="36">
        <f>AC481-AA481</f>
        <v>11149660</v>
      </c>
    </row>
    <row r="482" spans="2:30" ht="17.25" customHeight="1">
      <c r="B482" s="4"/>
      <c r="D482" s="4"/>
      <c r="E482" s="4"/>
      <c r="F482" s="4"/>
      <c r="H482" s="4"/>
      <c r="K482" s="4"/>
      <c r="L482" s="4"/>
      <c r="M482" s="4"/>
      <c r="N482" s="4"/>
      <c r="O482" s="4"/>
      <c r="P482" s="4"/>
      <c r="X482" s="24" t="s">
        <v>32</v>
      </c>
      <c r="Y482" s="35">
        <f>VLOOKUP(X482,코드!$B$3:$C$29,2,FALSE)</f>
        <v>1315903</v>
      </c>
      <c r="Z482" s="23">
        <f>SUMIF(L:L,X482,S:S)</f>
        <v>15000000</v>
      </c>
      <c r="AA482" s="34">
        <f>SUM(Z494:Z498)</f>
        <v>3883300480</v>
      </c>
      <c r="AB482" s="33">
        <v>42</v>
      </c>
      <c r="AC482" s="33">
        <f>4384427480-1127000-500000000</f>
        <v>3883300480</v>
      </c>
      <c r="AD482" s="33">
        <f>AC482-AA482</f>
        <v>0</v>
      </c>
    </row>
    <row r="483" spans="2:30" ht="17.25" customHeight="1">
      <c r="B483" s="4"/>
      <c r="D483" s="4"/>
      <c r="E483" s="4"/>
      <c r="F483" s="4"/>
      <c r="H483" s="4"/>
      <c r="K483" s="4"/>
      <c r="L483" s="4"/>
      <c r="M483" s="4"/>
      <c r="N483" s="4"/>
      <c r="O483" s="4"/>
      <c r="P483" s="4"/>
      <c r="X483" s="24" t="s">
        <v>31</v>
      </c>
      <c r="Y483" s="24">
        <v>1315901</v>
      </c>
      <c r="Z483" s="23">
        <f>SUMIF(L:L,X483,S:S)</f>
        <v>14520000</v>
      </c>
      <c r="AA483" s="32">
        <f>SUM(Z499)</f>
        <v>616669520</v>
      </c>
      <c r="AB483" s="31">
        <v>43</v>
      </c>
      <c r="AC483" s="31">
        <v>616669520</v>
      </c>
      <c r="AD483" s="31">
        <f>AC483-AA483</f>
        <v>0</v>
      </c>
    </row>
    <row r="484" spans="2:30" ht="17.25" customHeight="1">
      <c r="B484" s="4"/>
      <c r="D484" s="4"/>
      <c r="E484" s="4"/>
      <c r="F484" s="4"/>
      <c r="H484" s="4"/>
      <c r="K484" s="4"/>
      <c r="L484" s="4"/>
      <c r="M484" s="4"/>
      <c r="N484" s="4"/>
      <c r="O484" s="4"/>
      <c r="P484" s="4"/>
      <c r="X484" s="24" t="s">
        <v>30</v>
      </c>
      <c r="Y484" s="24">
        <f>VLOOKUP(X484,코드!$B$3:$C$29,2,FALSE)</f>
        <v>4111101</v>
      </c>
      <c r="Z484" s="23">
        <f>SUMIF(L:L,X484,S:S)</f>
        <v>800000000</v>
      </c>
      <c r="AA484" s="30">
        <f>SUM(AA480:AA483)</f>
        <v>7235968912</v>
      </c>
      <c r="AB484" s="29"/>
      <c r="AC484" s="28">
        <f>SUM(AC480:AC483)</f>
        <v>7247118572</v>
      </c>
      <c r="AD484" s="26"/>
    </row>
    <row r="485" spans="2:30" ht="17.25" customHeight="1">
      <c r="B485" s="4"/>
      <c r="D485" s="4"/>
      <c r="E485" s="4"/>
      <c r="F485" s="4"/>
      <c r="H485" s="4"/>
      <c r="K485" s="4"/>
      <c r="L485" s="4"/>
      <c r="M485" s="4"/>
      <c r="N485" s="4"/>
      <c r="O485" s="4"/>
      <c r="P485" s="4"/>
      <c r="X485" s="24" t="s">
        <v>29</v>
      </c>
      <c r="Y485" s="24">
        <f>VLOOKUP(X485,코드!$B$3:$C$29,2,FALSE)</f>
        <v>4113401</v>
      </c>
      <c r="Z485" s="23">
        <f>SUMIF(L:L,X485,S:S)</f>
        <v>258318572</v>
      </c>
    </row>
    <row r="486" spans="2:30" ht="17.25" customHeight="1">
      <c r="B486" s="4"/>
      <c r="D486" s="4"/>
      <c r="E486" s="4"/>
      <c r="F486" s="4"/>
      <c r="H486" s="4"/>
      <c r="K486" s="4"/>
      <c r="L486" s="4"/>
      <c r="M486" s="4"/>
      <c r="N486" s="4"/>
      <c r="O486" s="4"/>
      <c r="P486" s="4"/>
      <c r="X486" s="24" t="s">
        <v>28</v>
      </c>
      <c r="Y486" s="24">
        <f>VLOOKUP(X486,코드!$B$3:$C$29,2,FALSE)</f>
        <v>4116101</v>
      </c>
      <c r="Z486" s="23">
        <f>SUMIF(L:L,X486,S:S)</f>
        <v>5500000</v>
      </c>
    </row>
    <row r="487" spans="2:30" ht="17.25" customHeight="1">
      <c r="B487" s="4"/>
      <c r="D487" s="4"/>
      <c r="E487" s="4"/>
      <c r="F487" s="4"/>
      <c r="H487" s="4"/>
      <c r="K487" s="4"/>
      <c r="L487" s="4"/>
      <c r="M487" s="4"/>
      <c r="N487" s="4"/>
      <c r="O487" s="4"/>
      <c r="P487" s="4"/>
      <c r="X487" s="24" t="s">
        <v>27</v>
      </c>
      <c r="Y487" s="24">
        <f>VLOOKUP(X487,코드!$B$3:$C$29,2,FALSE)</f>
        <v>4123801</v>
      </c>
      <c r="Z487" s="23">
        <f>SUMIF(L:L,X487,S:S)</f>
        <v>70000000</v>
      </c>
    </row>
    <row r="488" spans="2:30" ht="17.25" customHeight="1">
      <c r="B488" s="4"/>
      <c r="D488" s="4"/>
      <c r="E488" s="4"/>
      <c r="F488" s="4"/>
      <c r="H488" s="4"/>
      <c r="K488" s="4"/>
      <c r="L488" s="4"/>
      <c r="M488" s="4"/>
      <c r="N488" s="4"/>
      <c r="O488" s="4"/>
      <c r="P488" s="4"/>
      <c r="X488" s="24" t="s">
        <v>26</v>
      </c>
      <c r="Y488" s="24">
        <f>VLOOKUP(X488,코드!$B$3:$C$29,2,FALSE)</f>
        <v>4123802</v>
      </c>
      <c r="Z488" s="23">
        <f>SUMIF(L:L,X488,S:S)</f>
        <v>0</v>
      </c>
    </row>
    <row r="489" spans="2:30" ht="17.25" customHeight="1">
      <c r="B489" s="4"/>
      <c r="D489" s="4"/>
      <c r="E489" s="4"/>
      <c r="F489" s="4"/>
      <c r="H489" s="4"/>
      <c r="K489" s="4"/>
      <c r="L489" s="4"/>
      <c r="M489" s="4"/>
      <c r="N489" s="4"/>
      <c r="O489" s="4"/>
      <c r="P489" s="4"/>
      <c r="X489" s="24" t="s">
        <v>25</v>
      </c>
      <c r="Y489" s="24">
        <f>VLOOKUP(X489,코드!$B$3:$C$29,2,FALSE)</f>
        <v>4125101</v>
      </c>
      <c r="Z489" s="23">
        <f>SUMIF(L:L,X489,S:S)</f>
        <v>379235740</v>
      </c>
    </row>
    <row r="490" spans="2:30" ht="17.25" customHeight="1">
      <c r="B490" s="4"/>
      <c r="D490" s="4"/>
      <c r="E490" s="4"/>
      <c r="F490" s="4"/>
      <c r="H490" s="4"/>
      <c r="K490" s="4"/>
      <c r="L490" s="4"/>
      <c r="M490" s="4"/>
      <c r="N490" s="4"/>
      <c r="O490" s="4"/>
      <c r="P490" s="4"/>
      <c r="X490" s="24" t="s">
        <v>24</v>
      </c>
      <c r="Y490" s="24">
        <f>VLOOKUP(X490,코드!$B$3:$C$29,2,FALSE)</f>
        <v>4125302</v>
      </c>
      <c r="Z490" s="23">
        <f>SUMIF(L:L,X490,S:S)</f>
        <v>60000000</v>
      </c>
    </row>
    <row r="491" spans="2:30" ht="17.25" customHeight="1">
      <c r="B491" s="4"/>
      <c r="D491" s="4"/>
      <c r="E491" s="4"/>
      <c r="F491" s="4"/>
      <c r="H491" s="4"/>
      <c r="K491" s="4"/>
      <c r="L491" s="4"/>
      <c r="M491" s="4"/>
      <c r="N491" s="4"/>
      <c r="O491" s="4"/>
      <c r="P491" s="4"/>
      <c r="Q491" s="4"/>
      <c r="R491" s="4"/>
      <c r="T491" s="4"/>
      <c r="U491" s="4"/>
      <c r="W491" s="4"/>
      <c r="X491" s="24" t="s">
        <v>23</v>
      </c>
      <c r="Y491" s="24">
        <f>VLOOKUP(X491,코드!$B$3:$C$29,2,FALSE)</f>
        <v>4125509</v>
      </c>
      <c r="Z491" s="23">
        <f>SUMIF(L:L,X491,S:S)</f>
        <v>120000000</v>
      </c>
      <c r="AD491" s="4"/>
    </row>
    <row r="492" spans="2:30" ht="17.25" customHeight="1">
      <c r="B492" s="4"/>
      <c r="D492" s="4"/>
      <c r="E492" s="4"/>
      <c r="F492" s="4"/>
      <c r="H492" s="4"/>
      <c r="K492" s="4"/>
      <c r="L492" s="4"/>
      <c r="M492" s="4"/>
      <c r="N492" s="4"/>
      <c r="O492" s="4"/>
      <c r="P492" s="4"/>
      <c r="Q492" s="4"/>
      <c r="R492" s="4"/>
      <c r="T492" s="4"/>
      <c r="U492" s="4"/>
      <c r="W492" s="4"/>
      <c r="X492" s="27" t="s">
        <v>22</v>
      </c>
      <c r="Y492" s="27">
        <f>VLOOKUP(X492,코드!$B$3:$C$29,2,FALSE)</f>
        <v>4118701</v>
      </c>
      <c r="Z492" s="23">
        <f>SUMIF(L:L,X492,S:S)</f>
        <v>244614600</v>
      </c>
      <c r="AD492" s="4"/>
    </row>
    <row r="493" spans="2:30" ht="17.25" customHeight="1">
      <c r="B493" s="4"/>
      <c r="D493" s="4"/>
      <c r="E493" s="4"/>
      <c r="F493" s="4"/>
      <c r="H493" s="4"/>
      <c r="K493" s="4"/>
      <c r="L493" s="4"/>
      <c r="M493" s="4"/>
      <c r="N493" s="4"/>
      <c r="O493" s="4"/>
      <c r="P493" s="4"/>
      <c r="Q493" s="4"/>
      <c r="R493" s="4"/>
      <c r="T493" s="4"/>
      <c r="U493" s="4"/>
      <c r="W493" s="4"/>
      <c r="X493" s="26" t="s">
        <v>21</v>
      </c>
      <c r="Y493" s="25">
        <v>4125301</v>
      </c>
      <c r="Z493" s="23">
        <f>SUMIF(L:L,X493,S:S)</f>
        <v>30000000</v>
      </c>
      <c r="AD493" s="4"/>
    </row>
    <row r="494" spans="2:30" ht="17.25" customHeight="1">
      <c r="B494" s="4"/>
      <c r="D494" s="4"/>
      <c r="E494" s="4"/>
      <c r="F494" s="4"/>
      <c r="H494" s="4"/>
      <c r="K494" s="4"/>
      <c r="L494" s="4"/>
      <c r="M494" s="4"/>
      <c r="N494" s="4"/>
      <c r="O494" s="4"/>
      <c r="P494" s="4"/>
      <c r="Q494" s="4"/>
      <c r="R494" s="4"/>
      <c r="T494" s="4"/>
      <c r="U494" s="4"/>
      <c r="W494" s="4"/>
      <c r="X494" s="24" t="s">
        <v>20</v>
      </c>
      <c r="Y494" s="24">
        <f>VLOOKUP(X494,코드!$B$3:$C$29,2,FALSE)</f>
        <v>4211402</v>
      </c>
      <c r="Z494" s="23">
        <f>SUMIF(L:L,X494,S:S)</f>
        <v>567500000</v>
      </c>
      <c r="AD494" s="4"/>
    </row>
    <row r="495" spans="2:30" ht="17.25" customHeight="1">
      <c r="B495" s="4"/>
      <c r="D495" s="4"/>
      <c r="E495" s="4"/>
      <c r="F495" s="4"/>
      <c r="H495" s="4"/>
      <c r="K495" s="4"/>
      <c r="L495" s="4"/>
      <c r="M495" s="4"/>
      <c r="N495" s="4"/>
      <c r="O495" s="4"/>
      <c r="P495" s="4"/>
      <c r="Q495" s="4"/>
      <c r="R495" s="4"/>
      <c r="T495" s="4"/>
      <c r="U495" s="4"/>
      <c r="W495" s="4"/>
      <c r="X495" s="24" t="s">
        <v>19</v>
      </c>
      <c r="Y495" s="24">
        <f>VLOOKUP(X495,코드!$B$3:$C$29,2,FALSE)</f>
        <v>4226101</v>
      </c>
      <c r="Z495" s="23">
        <f>SUMIF(L:L,X495,S:S)</f>
        <v>530000000</v>
      </c>
      <c r="AD495" s="4"/>
    </row>
    <row r="496" spans="2:30" ht="17.25" customHeight="1">
      <c r="B496" s="4"/>
      <c r="D496" s="4"/>
      <c r="E496" s="4"/>
      <c r="F496" s="4"/>
      <c r="H496" s="4"/>
      <c r="K496" s="4"/>
      <c r="L496" s="4"/>
      <c r="M496" s="4"/>
      <c r="N496" s="4"/>
      <c r="O496" s="4"/>
      <c r="P496" s="4"/>
      <c r="Q496" s="4"/>
      <c r="R496" s="4"/>
      <c r="T496" s="4"/>
      <c r="U496" s="4"/>
      <c r="W496" s="4"/>
      <c r="X496" s="24" t="s">
        <v>18</v>
      </c>
      <c r="Y496" s="24">
        <f>VLOOKUP(X496,코드!$B$3:$C$29,2,FALSE)</f>
        <v>4233201</v>
      </c>
      <c r="Z496" s="23">
        <f>SUMIF(L:L,X496,S:S)</f>
        <v>1542284710</v>
      </c>
      <c r="AD496" s="4"/>
    </row>
    <row r="497" spans="2:30" ht="17.25" customHeight="1">
      <c r="B497" s="4"/>
      <c r="D497" s="4"/>
      <c r="E497" s="4"/>
      <c r="F497" s="4"/>
      <c r="H497" s="4"/>
      <c r="K497" s="4"/>
      <c r="L497" s="4"/>
      <c r="M497" s="4"/>
      <c r="N497" s="4"/>
      <c r="O497" s="4"/>
      <c r="P497" s="4"/>
      <c r="Q497" s="4"/>
      <c r="R497" s="4"/>
      <c r="T497" s="4"/>
      <c r="U497" s="4"/>
      <c r="W497" s="4"/>
      <c r="X497" s="24" t="s">
        <v>17</v>
      </c>
      <c r="Y497" s="24">
        <f>VLOOKUP(X497,코드!$B$3:$C$29,2,FALSE)</f>
        <v>4241130</v>
      </c>
      <c r="Z497" s="23">
        <f>SUMIF(L:L,X497,S:S)</f>
        <v>1236355770</v>
      </c>
      <c r="AD497" s="4"/>
    </row>
    <row r="498" spans="2:30" ht="17.25" customHeight="1">
      <c r="B498" s="4"/>
      <c r="D498" s="4"/>
      <c r="E498" s="4"/>
      <c r="F498" s="4"/>
      <c r="H498" s="4"/>
      <c r="K498" s="4"/>
      <c r="L498" s="4"/>
      <c r="M498" s="4"/>
      <c r="N498" s="4"/>
      <c r="O498" s="4"/>
      <c r="P498" s="4"/>
      <c r="Q498" s="4"/>
      <c r="R498" s="4"/>
      <c r="T498" s="4"/>
      <c r="U498" s="4"/>
      <c r="W498" s="4"/>
      <c r="X498" s="24" t="s">
        <v>16</v>
      </c>
      <c r="Y498" s="24">
        <v>4241130</v>
      </c>
      <c r="Z498" s="23">
        <f>SUMIF(L:L,X498,S:S)</f>
        <v>7160000</v>
      </c>
      <c r="AD498" s="4"/>
    </row>
    <row r="499" spans="2:30" ht="17.25" customHeight="1">
      <c r="B499" s="4"/>
      <c r="D499" s="4"/>
      <c r="E499" s="4"/>
      <c r="F499" s="4"/>
      <c r="H499" s="4"/>
      <c r="K499" s="4"/>
      <c r="L499" s="4"/>
      <c r="M499" s="4"/>
      <c r="N499" s="4"/>
      <c r="O499" s="4"/>
      <c r="P499" s="4"/>
      <c r="Q499" s="4"/>
      <c r="R499" s="4"/>
      <c r="T499" s="4"/>
      <c r="U499" s="4"/>
      <c r="W499" s="4"/>
      <c r="X499" s="24" t="s">
        <v>15</v>
      </c>
      <c r="Y499" s="24">
        <f>VLOOKUP(X499,코드!$B$3:$C$29,2,FALSE)</f>
        <v>4321701</v>
      </c>
      <c r="Z499" s="23">
        <f>SUMIF(L:L,X499,S:S)</f>
        <v>616669520</v>
      </c>
      <c r="AD499" s="4"/>
    </row>
    <row r="500" spans="2:30" ht="17.25" customHeight="1">
      <c r="B500" s="4"/>
      <c r="D500" s="4"/>
      <c r="E500" s="4"/>
      <c r="F500" s="4"/>
      <c r="H500" s="4"/>
      <c r="K500" s="4"/>
      <c r="L500" s="4"/>
      <c r="M500" s="4"/>
      <c r="N500" s="4"/>
      <c r="O500" s="4"/>
      <c r="P500" s="4"/>
      <c r="Q500" s="4"/>
      <c r="R500" s="4"/>
      <c r="T500" s="4"/>
      <c r="U500" s="4"/>
      <c r="W500" s="4"/>
      <c r="AD500" s="4"/>
    </row>
    <row r="501" spans="2:30" ht="17.25" customHeight="1">
      <c r="B501" s="4"/>
      <c r="D501" s="4"/>
      <c r="E501" s="4"/>
      <c r="F501" s="4"/>
      <c r="H501" s="4"/>
      <c r="K501" s="4"/>
      <c r="L501" s="4"/>
      <c r="M501" s="4"/>
      <c r="N501" s="4"/>
      <c r="O501" s="4"/>
      <c r="P501" s="4"/>
      <c r="Q501" s="4"/>
      <c r="R501" s="4"/>
      <c r="T501" s="4"/>
      <c r="U501" s="4"/>
      <c r="W501" s="4"/>
      <c r="AD501" s="4"/>
    </row>
    <row r="502" spans="2:30" ht="17.25" customHeight="1">
      <c r="Z502" s="22">
        <f>SUM(Z480:Z499)</f>
        <v>7235968912</v>
      </c>
    </row>
    <row r="503" spans="2:30" ht="17.25" customHeight="1">
      <c r="X503" s="21"/>
      <c r="Y503" s="21" t="s">
        <v>14</v>
      </c>
    </row>
    <row r="507" spans="2:30" ht="17.25" customHeight="1">
      <c r="B507" s="4"/>
      <c r="D507" s="4"/>
      <c r="E507" s="4"/>
      <c r="F507" s="4"/>
      <c r="H507" s="4"/>
      <c r="K507" s="4"/>
      <c r="L507" s="4"/>
      <c r="M507" s="4"/>
      <c r="N507" s="4"/>
      <c r="O507" s="4"/>
      <c r="P507" s="4"/>
      <c r="Q507" s="4"/>
      <c r="R507" s="4"/>
      <c r="T507" s="4"/>
      <c r="U507" s="4"/>
      <c r="W507" s="4"/>
      <c r="X507" s="20">
        <v>300000</v>
      </c>
      <c r="Y507" s="19" t="s">
        <v>13</v>
      </c>
      <c r="Z507" s="12" t="s">
        <v>8</v>
      </c>
      <c r="AA507" s="16" t="s">
        <v>12</v>
      </c>
      <c r="AB507" s="15">
        <v>4241130</v>
      </c>
      <c r="AD507" s="4"/>
    </row>
    <row r="508" spans="2:30" ht="17.25" customHeight="1">
      <c r="B508" s="4"/>
      <c r="D508" s="4"/>
      <c r="E508" s="4"/>
      <c r="F508" s="4"/>
      <c r="H508" s="4"/>
      <c r="K508" s="4"/>
      <c r="L508" s="4"/>
      <c r="M508" s="4"/>
      <c r="N508" s="4"/>
      <c r="O508" s="4"/>
      <c r="P508" s="4"/>
      <c r="Q508" s="4"/>
      <c r="R508" s="4"/>
      <c r="T508" s="4"/>
      <c r="U508" s="4"/>
      <c r="W508" s="4"/>
      <c r="X508" s="18">
        <v>1200000</v>
      </c>
      <c r="Y508" s="17" t="s">
        <v>11</v>
      </c>
      <c r="Z508" s="12" t="s">
        <v>8</v>
      </c>
      <c r="AA508" s="16" t="s">
        <v>10</v>
      </c>
      <c r="AB508" s="15">
        <v>4113401</v>
      </c>
      <c r="AD508" s="4"/>
    </row>
    <row r="509" spans="2:30" ht="17.25" customHeight="1">
      <c r="B509" s="4"/>
      <c r="D509" s="4"/>
      <c r="E509" s="4"/>
      <c r="F509" s="4"/>
      <c r="H509" s="4"/>
      <c r="K509" s="4"/>
      <c r="L509" s="4"/>
      <c r="M509" s="4"/>
      <c r="N509" s="4"/>
      <c r="O509" s="4"/>
      <c r="P509" s="4"/>
      <c r="Q509" s="4"/>
      <c r="R509" s="4"/>
      <c r="T509" s="4"/>
      <c r="U509" s="4"/>
      <c r="W509" s="4"/>
      <c r="X509" s="14">
        <v>2100000</v>
      </c>
      <c r="Y509" s="13" t="s">
        <v>9</v>
      </c>
      <c r="Z509" s="12" t="s">
        <v>8</v>
      </c>
      <c r="AA509" s="4" t="s">
        <v>7</v>
      </c>
      <c r="AB509" s="11">
        <v>4321701</v>
      </c>
      <c r="AD509" s="4"/>
    </row>
  </sheetData>
  <autoFilter ref="B2:W455" xr:uid="{D78DBF6C-AFED-4379-9A0B-60FE2D7D34D7}"/>
  <mergeCells count="2">
    <mergeCell ref="AA458:AC458"/>
    <mergeCell ref="AE458:AG458"/>
  </mergeCells>
  <phoneticPr fontId="3" type="noConversion"/>
  <conditionalFormatting sqref="O369:O370 O61:O67 O69:O70 O275:O287 O303:O308 O289:O301 O337:O345 O52:O59 O347:O367 O310:O333 O184:O262 O174:O182 O73:O172 O1:O50 O377:O423 O265:O273 O434:O1048576">
    <cfRule type="endsWith" dxfId="712" priority="352" operator="endsWith" text="6">
      <formula>RIGHT(O1,LEN("6"))="6"</formula>
    </cfRule>
    <cfRule type="endsWith" dxfId="711" priority="358" operator="endsWith" text="5">
      <formula>RIGHT(O1,LEN("5"))="5"</formula>
    </cfRule>
    <cfRule type="endsWith" dxfId="710" priority="359" operator="endsWith" text="4">
      <formula>RIGHT(O1,LEN("4"))="4"</formula>
    </cfRule>
    <cfRule type="endsWith" dxfId="709" priority="360" operator="endsWith" text="3">
      <formula>RIGHT(O1,LEN("3"))="3"</formula>
    </cfRule>
    <cfRule type="endsWith" dxfId="708" priority="361" operator="endsWith" text="2">
      <formula>RIGHT(O1,LEN("2"))="2"</formula>
    </cfRule>
    <cfRule type="endsWith" dxfId="707" priority="362" operator="endsWith" text="1">
      <formula>RIGHT(O1,LEN("1"))="1"</formula>
    </cfRule>
  </conditionalFormatting>
  <conditionalFormatting sqref="K370 K61:K67 K69:K70 K272 K275:K287 K456:K1048576 K375 K312:K313 K289:K301 K303:K308 K337:K345 K73:K89 K434:K451 K52:K59 K315:K333 K379:K423 K347:K367 K310 K184:K270 K174:K182 K91:K172 K1:K50">
    <cfRule type="endsWith" dxfId="706" priority="353" operator="endsWith" text="경비">
      <formula>RIGHT(K1,LEN("경비"))="경비"</formula>
    </cfRule>
    <cfRule type="endsWith" dxfId="705" priority="354" operator="endsWith" text="인건비">
      <formula>RIGHT(K1,LEN("인건비"))="인건비"</formula>
    </cfRule>
    <cfRule type="endsWith" dxfId="704" priority="355" operator="endsWith" text="기자재구입비">
      <formula>RIGHT(K1,LEN("기자재구입비"))="기자재구입비"</formula>
    </cfRule>
    <cfRule type="endsWith" dxfId="703" priority="356" operator="endsWith" text="환경개선비">
      <formula>RIGHT(K1,LEN("환경개선비"))="환경개선비"</formula>
    </cfRule>
    <cfRule type="endsWith" dxfId="702" priority="357" operator="endsWith" text="장학금">
      <formula>RIGHT(K1,LEN("장학금"))="장학금"</formula>
    </cfRule>
  </conditionalFormatting>
  <conditionalFormatting sqref="O263">
    <cfRule type="endsWith" dxfId="701" priority="346" operator="endsWith" text="6">
      <formula>RIGHT(O263,LEN("6"))="6"</formula>
    </cfRule>
    <cfRule type="endsWith" dxfId="700" priority="347" operator="endsWith" text="5">
      <formula>RIGHT(O263,LEN("5"))="5"</formula>
    </cfRule>
    <cfRule type="endsWith" dxfId="699" priority="348" operator="endsWith" text="4">
      <formula>RIGHT(O263,LEN("4"))="4"</formula>
    </cfRule>
    <cfRule type="endsWith" dxfId="698" priority="349" operator="endsWith" text="3">
      <formula>RIGHT(O263,LEN("3"))="3"</formula>
    </cfRule>
    <cfRule type="endsWith" dxfId="697" priority="350" operator="endsWith" text="2">
      <formula>RIGHT(O263,LEN("2"))="2"</formula>
    </cfRule>
    <cfRule type="endsWith" dxfId="696" priority="351" operator="endsWith" text="1">
      <formula>RIGHT(O263,LEN("1"))="1"</formula>
    </cfRule>
  </conditionalFormatting>
  <conditionalFormatting sqref="O368">
    <cfRule type="endsWith" dxfId="695" priority="335" operator="endsWith" text="6">
      <formula>RIGHT(O368,LEN("6"))="6"</formula>
    </cfRule>
    <cfRule type="endsWith" dxfId="694" priority="341" operator="endsWith" text="5">
      <formula>RIGHT(O368,LEN("5"))="5"</formula>
    </cfRule>
    <cfRule type="endsWith" dxfId="693" priority="342" operator="endsWith" text="4">
      <formula>RIGHT(O368,LEN("4"))="4"</formula>
    </cfRule>
    <cfRule type="endsWith" dxfId="692" priority="343" operator="endsWith" text="3">
      <formula>RIGHT(O368,LEN("3"))="3"</formula>
    </cfRule>
    <cfRule type="endsWith" dxfId="691" priority="344" operator="endsWith" text="2">
      <formula>RIGHT(O368,LEN("2"))="2"</formula>
    </cfRule>
    <cfRule type="endsWith" dxfId="690" priority="345" operator="endsWith" text="1">
      <formula>RIGHT(O368,LEN("1"))="1"</formula>
    </cfRule>
  </conditionalFormatting>
  <conditionalFormatting sqref="K368">
    <cfRule type="endsWith" dxfId="689" priority="336" operator="endsWith" text="경비">
      <formula>RIGHT(K368,LEN("경비"))="경비"</formula>
    </cfRule>
    <cfRule type="endsWith" dxfId="688" priority="337" operator="endsWith" text="인건비">
      <formula>RIGHT(K368,LEN("인건비"))="인건비"</formula>
    </cfRule>
    <cfRule type="endsWith" dxfId="687" priority="338" operator="endsWith" text="기자재구입비">
      <formula>RIGHT(K368,LEN("기자재구입비"))="기자재구입비"</formula>
    </cfRule>
    <cfRule type="endsWith" dxfId="686" priority="339" operator="endsWith" text="환경개선비">
      <formula>RIGHT(K368,LEN("환경개선비"))="환경개선비"</formula>
    </cfRule>
    <cfRule type="endsWith" dxfId="685" priority="340" operator="endsWith" text="장학금">
      <formula>RIGHT(K368,LEN("장학금"))="장학금"</formula>
    </cfRule>
  </conditionalFormatting>
  <conditionalFormatting sqref="O371">
    <cfRule type="endsWith" dxfId="684" priority="324" operator="endsWith" text="6">
      <formula>RIGHT(O371,LEN("6"))="6"</formula>
    </cfRule>
    <cfRule type="endsWith" dxfId="683" priority="330" operator="endsWith" text="5">
      <formula>RIGHT(O371,LEN("5"))="5"</formula>
    </cfRule>
    <cfRule type="endsWith" dxfId="682" priority="331" operator="endsWith" text="4">
      <formula>RIGHT(O371,LEN("4"))="4"</formula>
    </cfRule>
    <cfRule type="endsWith" dxfId="681" priority="332" operator="endsWith" text="3">
      <formula>RIGHT(O371,LEN("3"))="3"</formula>
    </cfRule>
    <cfRule type="endsWith" dxfId="680" priority="333" operator="endsWith" text="2">
      <formula>RIGHT(O371,LEN("2"))="2"</formula>
    </cfRule>
    <cfRule type="endsWith" dxfId="679" priority="334" operator="endsWith" text="1">
      <formula>RIGHT(O371,LEN("1"))="1"</formula>
    </cfRule>
  </conditionalFormatting>
  <conditionalFormatting sqref="K371">
    <cfRule type="endsWith" dxfId="678" priority="325" operator="endsWith" text="경비">
      <formula>RIGHT(K371,LEN("경비"))="경비"</formula>
    </cfRule>
    <cfRule type="endsWith" dxfId="677" priority="326" operator="endsWith" text="인건비">
      <formula>RIGHT(K371,LEN("인건비"))="인건비"</formula>
    </cfRule>
    <cfRule type="endsWith" dxfId="676" priority="327" operator="endsWith" text="기자재구입비">
      <formula>RIGHT(K371,LEN("기자재구입비"))="기자재구입비"</formula>
    </cfRule>
    <cfRule type="endsWith" dxfId="675" priority="328" operator="endsWith" text="환경개선비">
      <formula>RIGHT(K371,LEN("환경개선비"))="환경개선비"</formula>
    </cfRule>
    <cfRule type="endsWith" dxfId="674" priority="329" operator="endsWith" text="장학금">
      <formula>RIGHT(K371,LEN("장학금"))="장학금"</formula>
    </cfRule>
  </conditionalFormatting>
  <conditionalFormatting sqref="K372">
    <cfRule type="endsWith" dxfId="673" priority="319" operator="endsWith" text="경비">
      <formula>RIGHT(K372,LEN("경비"))="경비"</formula>
    </cfRule>
    <cfRule type="endsWith" dxfId="672" priority="320" operator="endsWith" text="인건비">
      <formula>RIGHT(K372,LEN("인건비"))="인건비"</formula>
    </cfRule>
    <cfRule type="endsWith" dxfId="671" priority="321" operator="endsWith" text="기자재구입비">
      <formula>RIGHT(K372,LEN("기자재구입비"))="기자재구입비"</formula>
    </cfRule>
    <cfRule type="endsWith" dxfId="670" priority="322" operator="endsWith" text="환경개선비">
      <formula>RIGHT(K372,LEN("환경개선비"))="환경개선비"</formula>
    </cfRule>
    <cfRule type="endsWith" dxfId="669" priority="323" operator="endsWith" text="장학금">
      <formula>RIGHT(K372,LEN("장학금"))="장학금"</formula>
    </cfRule>
  </conditionalFormatting>
  <conditionalFormatting sqref="K373:K378">
    <cfRule type="endsWith" dxfId="668" priority="314" operator="endsWith" text="경비">
      <formula>RIGHT(K373,LEN("경비"))="경비"</formula>
    </cfRule>
    <cfRule type="endsWith" dxfId="667" priority="315" operator="endsWith" text="인건비">
      <formula>RIGHT(K373,LEN("인건비"))="인건비"</formula>
    </cfRule>
    <cfRule type="endsWith" dxfId="666" priority="316" operator="endsWith" text="기자재구입비">
      <formula>RIGHT(K373,LEN("기자재구입비"))="기자재구입비"</formula>
    </cfRule>
    <cfRule type="endsWith" dxfId="665" priority="317" operator="endsWith" text="환경개선비">
      <formula>RIGHT(K373,LEN("환경개선비"))="환경개선비"</formula>
    </cfRule>
    <cfRule type="endsWith" dxfId="664" priority="318" operator="endsWith" text="장학금">
      <formula>RIGHT(K373,LEN("장학금"))="장학금"</formula>
    </cfRule>
  </conditionalFormatting>
  <conditionalFormatting sqref="O372">
    <cfRule type="endsWith" dxfId="663" priority="308" operator="endsWith" text="6">
      <formula>RIGHT(O372,LEN("6"))="6"</formula>
    </cfRule>
    <cfRule type="endsWith" dxfId="662" priority="309" operator="endsWith" text="5">
      <formula>RIGHT(O372,LEN("5"))="5"</formula>
    </cfRule>
    <cfRule type="endsWith" dxfId="661" priority="310" operator="endsWith" text="4">
      <formula>RIGHT(O372,LEN("4"))="4"</formula>
    </cfRule>
    <cfRule type="endsWith" dxfId="660" priority="311" operator="endsWith" text="3">
      <formula>RIGHT(O372,LEN("3"))="3"</formula>
    </cfRule>
    <cfRule type="endsWith" dxfId="659" priority="312" operator="endsWith" text="2">
      <formula>RIGHT(O372,LEN("2"))="2"</formula>
    </cfRule>
    <cfRule type="endsWith" dxfId="658" priority="313" operator="endsWith" text="1">
      <formula>RIGHT(O372,LEN("1"))="1"</formula>
    </cfRule>
  </conditionalFormatting>
  <conditionalFormatting sqref="O373:O374">
    <cfRule type="endsWith" dxfId="657" priority="302" operator="endsWith" text="6">
      <formula>RIGHT(O373,LEN("6"))="6"</formula>
    </cfRule>
    <cfRule type="endsWith" dxfId="656" priority="303" operator="endsWith" text="5">
      <formula>RIGHT(O373,LEN("5"))="5"</formula>
    </cfRule>
    <cfRule type="endsWith" dxfId="655" priority="304" operator="endsWith" text="4">
      <formula>RIGHT(O373,LEN("4"))="4"</formula>
    </cfRule>
    <cfRule type="endsWith" dxfId="654" priority="305" operator="endsWith" text="3">
      <formula>RIGHT(O373,LEN("3"))="3"</formula>
    </cfRule>
    <cfRule type="endsWith" dxfId="653" priority="306" operator="endsWith" text="2">
      <formula>RIGHT(O373,LEN("2"))="2"</formula>
    </cfRule>
    <cfRule type="endsWith" dxfId="652" priority="307" operator="endsWith" text="1">
      <formula>RIGHT(O373,LEN("1"))="1"</formula>
    </cfRule>
  </conditionalFormatting>
  <conditionalFormatting sqref="O288">
    <cfRule type="endsWith" dxfId="651" priority="291" operator="endsWith" text="6">
      <formula>RIGHT(O288,LEN("6"))="6"</formula>
    </cfRule>
    <cfRule type="endsWith" dxfId="650" priority="297" operator="endsWith" text="5">
      <formula>RIGHT(O288,LEN("5"))="5"</formula>
    </cfRule>
    <cfRule type="endsWith" dxfId="649" priority="298" operator="endsWith" text="4">
      <formula>RIGHT(O288,LEN("4"))="4"</formula>
    </cfRule>
    <cfRule type="endsWith" dxfId="648" priority="299" operator="endsWith" text="3">
      <formula>RIGHT(O288,LEN("3"))="3"</formula>
    </cfRule>
    <cfRule type="endsWith" dxfId="647" priority="300" operator="endsWith" text="2">
      <formula>RIGHT(O288,LEN("2"))="2"</formula>
    </cfRule>
    <cfRule type="endsWith" dxfId="646" priority="301" operator="endsWith" text="1">
      <formula>RIGHT(O288,LEN("1"))="1"</formula>
    </cfRule>
  </conditionalFormatting>
  <conditionalFormatting sqref="K288">
    <cfRule type="endsWith" dxfId="645" priority="292" operator="endsWith" text="경비">
      <formula>RIGHT(K288,LEN("경비"))="경비"</formula>
    </cfRule>
    <cfRule type="endsWith" dxfId="644" priority="293" operator="endsWith" text="인건비">
      <formula>RIGHT(K288,LEN("인건비"))="인건비"</formula>
    </cfRule>
    <cfRule type="endsWith" dxfId="643" priority="294" operator="endsWith" text="기자재구입비">
      <formula>RIGHT(K288,LEN("기자재구입비"))="기자재구입비"</formula>
    </cfRule>
    <cfRule type="endsWith" dxfId="642" priority="295" operator="endsWith" text="환경개선비">
      <formula>RIGHT(K288,LEN("환경개선비"))="환경개선비"</formula>
    </cfRule>
    <cfRule type="endsWith" dxfId="641" priority="296" operator="endsWith" text="장학금">
      <formula>RIGHT(K288,LEN("장학금"))="장학금"</formula>
    </cfRule>
  </conditionalFormatting>
  <conditionalFormatting sqref="K311">
    <cfRule type="endsWith" dxfId="640" priority="286" operator="endsWith" text="경비">
      <formula>RIGHT(K311,LEN("경비"))="경비"</formula>
    </cfRule>
    <cfRule type="endsWith" dxfId="639" priority="287" operator="endsWith" text="인건비">
      <formula>RIGHT(K311,LEN("인건비"))="인건비"</formula>
    </cfRule>
    <cfRule type="endsWith" dxfId="638" priority="288" operator="endsWith" text="기자재구입비">
      <formula>RIGHT(K311,LEN("기자재구입비"))="기자재구입비"</formula>
    </cfRule>
    <cfRule type="endsWith" dxfId="637" priority="289" operator="endsWith" text="환경개선비">
      <formula>RIGHT(K311,LEN("환경개선비"))="환경개선비"</formula>
    </cfRule>
    <cfRule type="endsWith" dxfId="636" priority="290" operator="endsWith" text="장학금">
      <formula>RIGHT(K311,LEN("장학금"))="장학금"</formula>
    </cfRule>
  </conditionalFormatting>
  <conditionalFormatting sqref="K453:K455">
    <cfRule type="endsWith" dxfId="635" priority="281" operator="endsWith" text="경비">
      <formula>RIGHT(K453,LEN("경비"))="경비"</formula>
    </cfRule>
    <cfRule type="endsWith" dxfId="634" priority="282" operator="endsWith" text="인건비">
      <formula>RIGHT(K453,LEN("인건비"))="인건비"</formula>
    </cfRule>
    <cfRule type="endsWith" dxfId="633" priority="283" operator="endsWith" text="기자재구입비">
      <formula>RIGHT(K453,LEN("기자재구입비"))="기자재구입비"</formula>
    </cfRule>
    <cfRule type="endsWith" dxfId="632" priority="284" operator="endsWith" text="환경개선비">
      <formula>RIGHT(K453,LEN("환경개선비"))="환경개선비"</formula>
    </cfRule>
    <cfRule type="endsWith" dxfId="631" priority="285" operator="endsWith" text="장학금">
      <formula>RIGHT(K453,LEN("장학금"))="장학금"</formula>
    </cfRule>
  </conditionalFormatting>
  <conditionalFormatting sqref="K269 K378">
    <cfRule type="endsWith" dxfId="630" priority="276" operator="endsWith" text="경비">
      <formula>RIGHT(K269,LEN("경비"))="경비"</formula>
    </cfRule>
    <cfRule type="endsWith" dxfId="629" priority="277" operator="endsWith" text="인건비">
      <formula>RIGHT(K269,LEN("인건비"))="인건비"</formula>
    </cfRule>
    <cfRule type="endsWith" dxfId="628" priority="278" operator="endsWith" text="기자재구입비">
      <formula>RIGHT(K269,LEN("기자재구입비"))="기자재구입비"</formula>
    </cfRule>
    <cfRule type="endsWith" dxfId="627" priority="279" operator="endsWith" text="환경개선비">
      <formula>RIGHT(K269,LEN("환경개선비"))="환경개선비"</formula>
    </cfRule>
    <cfRule type="endsWith" dxfId="626" priority="280" operator="endsWith" text="장학금">
      <formula>RIGHT(K269,LEN("장학금"))="장학금"</formula>
    </cfRule>
  </conditionalFormatting>
  <conditionalFormatting sqref="K377">
    <cfRule type="endsWith" dxfId="625" priority="271" operator="endsWith" text="경비">
      <formula>RIGHT(K377,LEN("경비"))="경비"</formula>
    </cfRule>
    <cfRule type="endsWith" dxfId="624" priority="272" operator="endsWith" text="인건비">
      <formula>RIGHT(K377,LEN("인건비"))="인건비"</formula>
    </cfRule>
    <cfRule type="endsWith" dxfId="623" priority="273" operator="endsWith" text="기자재구입비">
      <formula>RIGHT(K377,LEN("기자재구입비"))="기자재구입비"</formula>
    </cfRule>
    <cfRule type="endsWith" dxfId="622" priority="274" operator="endsWith" text="환경개선비">
      <formula>RIGHT(K377,LEN("환경개선비"))="환경개선비"</formula>
    </cfRule>
    <cfRule type="endsWith" dxfId="621" priority="275" operator="endsWith" text="장학금">
      <formula>RIGHT(K377,LEN("장학금"))="장학금"</formula>
    </cfRule>
  </conditionalFormatting>
  <conditionalFormatting sqref="K452">
    <cfRule type="endsWith" dxfId="620" priority="266" operator="endsWith" text="경비">
      <formula>RIGHT(K452,LEN("경비"))="경비"</formula>
    </cfRule>
    <cfRule type="endsWith" dxfId="619" priority="267" operator="endsWith" text="인건비">
      <formula>RIGHT(K452,LEN("인건비"))="인건비"</formula>
    </cfRule>
    <cfRule type="endsWith" dxfId="618" priority="268" operator="endsWith" text="기자재구입비">
      <formula>RIGHT(K452,LEN("기자재구입비"))="기자재구입비"</formula>
    </cfRule>
    <cfRule type="endsWith" dxfId="617" priority="269" operator="endsWith" text="환경개선비">
      <formula>RIGHT(K452,LEN("환경개선비"))="환경개선비"</formula>
    </cfRule>
    <cfRule type="endsWith" dxfId="616" priority="270" operator="endsWith" text="장학금">
      <formula>RIGHT(K452,LEN("장학금"))="장학금"</formula>
    </cfRule>
  </conditionalFormatting>
  <conditionalFormatting sqref="O425:O426 O430:O433">
    <cfRule type="endsWith" dxfId="615" priority="255" operator="endsWith" text="6">
      <formula>RIGHT(O425,LEN("6"))="6"</formula>
    </cfRule>
    <cfRule type="endsWith" dxfId="614" priority="261" operator="endsWith" text="5">
      <formula>RIGHT(O425,LEN("5"))="5"</formula>
    </cfRule>
    <cfRule type="endsWith" dxfId="613" priority="262" operator="endsWith" text="4">
      <formula>RIGHT(O425,LEN("4"))="4"</formula>
    </cfRule>
    <cfRule type="endsWith" dxfId="612" priority="263" operator="endsWith" text="3">
      <formula>RIGHT(O425,LEN("3"))="3"</formula>
    </cfRule>
    <cfRule type="endsWith" dxfId="611" priority="264" operator="endsWith" text="2">
      <formula>RIGHT(O425,LEN("2"))="2"</formula>
    </cfRule>
    <cfRule type="endsWith" dxfId="610" priority="265" operator="endsWith" text="1">
      <formula>RIGHT(O425,LEN("1"))="1"</formula>
    </cfRule>
  </conditionalFormatting>
  <conditionalFormatting sqref="K430:K433 K425">
    <cfRule type="endsWith" dxfId="609" priority="256" operator="endsWith" text="경비">
      <formula>RIGHT(K425,LEN("경비"))="경비"</formula>
    </cfRule>
    <cfRule type="endsWith" dxfId="608" priority="257" operator="endsWith" text="인건비">
      <formula>RIGHT(K425,LEN("인건비"))="인건비"</formula>
    </cfRule>
    <cfRule type="endsWith" dxfId="607" priority="258" operator="endsWith" text="기자재구입비">
      <formula>RIGHT(K425,LEN("기자재구입비"))="기자재구입비"</formula>
    </cfRule>
    <cfRule type="endsWith" dxfId="606" priority="259" operator="endsWith" text="환경개선비">
      <formula>RIGHT(K425,LEN("환경개선비"))="환경개선비"</formula>
    </cfRule>
    <cfRule type="endsWith" dxfId="605" priority="260" operator="endsWith" text="장학금">
      <formula>RIGHT(K425,LEN("장학금"))="장학금"</formula>
    </cfRule>
  </conditionalFormatting>
  <conditionalFormatting sqref="O428">
    <cfRule type="endsWith" dxfId="604" priority="244" operator="endsWith" text="6">
      <formula>RIGHT(O428,LEN("6"))="6"</formula>
    </cfRule>
    <cfRule type="endsWith" dxfId="603" priority="250" operator="endsWith" text="5">
      <formula>RIGHT(O428,LEN("5"))="5"</formula>
    </cfRule>
    <cfRule type="endsWith" dxfId="602" priority="251" operator="endsWith" text="4">
      <formula>RIGHT(O428,LEN("4"))="4"</formula>
    </cfRule>
    <cfRule type="endsWith" dxfId="601" priority="252" operator="endsWith" text="3">
      <formula>RIGHT(O428,LEN("3"))="3"</formula>
    </cfRule>
    <cfRule type="endsWith" dxfId="600" priority="253" operator="endsWith" text="2">
      <formula>RIGHT(O428,LEN("2"))="2"</formula>
    </cfRule>
    <cfRule type="endsWith" dxfId="599" priority="254" operator="endsWith" text="1">
      <formula>RIGHT(O428,LEN("1"))="1"</formula>
    </cfRule>
  </conditionalFormatting>
  <conditionalFormatting sqref="K428">
    <cfRule type="endsWith" dxfId="598" priority="245" operator="endsWith" text="경비">
      <formula>RIGHT(K428,LEN("경비"))="경비"</formula>
    </cfRule>
    <cfRule type="endsWith" dxfId="597" priority="246" operator="endsWith" text="인건비">
      <formula>RIGHT(K428,LEN("인건비"))="인건비"</formula>
    </cfRule>
    <cfRule type="endsWith" dxfId="596" priority="247" operator="endsWith" text="기자재구입비">
      <formula>RIGHT(K428,LEN("기자재구입비"))="기자재구입비"</formula>
    </cfRule>
    <cfRule type="endsWith" dxfId="595" priority="248" operator="endsWith" text="환경개선비">
      <formula>RIGHT(K428,LEN("환경개선비"))="환경개선비"</formula>
    </cfRule>
    <cfRule type="endsWith" dxfId="594" priority="249" operator="endsWith" text="장학금">
      <formula>RIGHT(K428,LEN("장학금"))="장학금"</formula>
    </cfRule>
  </conditionalFormatting>
  <conditionalFormatting sqref="K426:K427">
    <cfRule type="endsWith" dxfId="593" priority="239" operator="endsWith" text="경비">
      <formula>RIGHT(K426,LEN("경비"))="경비"</formula>
    </cfRule>
    <cfRule type="endsWith" dxfId="592" priority="240" operator="endsWith" text="인건비">
      <formula>RIGHT(K426,LEN("인건비"))="인건비"</formula>
    </cfRule>
    <cfRule type="endsWith" dxfId="591" priority="241" operator="endsWith" text="기자재구입비">
      <formula>RIGHT(K426,LEN("기자재구입비"))="기자재구입비"</formula>
    </cfRule>
    <cfRule type="endsWith" dxfId="590" priority="242" operator="endsWith" text="환경개선비">
      <formula>RIGHT(K426,LEN("환경개선비"))="환경개선비"</formula>
    </cfRule>
    <cfRule type="endsWith" dxfId="589" priority="243" operator="endsWith" text="장학금">
      <formula>RIGHT(K426,LEN("장학금"))="장학금"</formula>
    </cfRule>
  </conditionalFormatting>
  <conditionalFormatting sqref="W430:W433 W425:W428">
    <cfRule type="colorScale" priority="238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O429">
    <cfRule type="endsWith" dxfId="588" priority="227" operator="endsWith" text="6">
      <formula>RIGHT(O429,LEN("6"))="6"</formula>
    </cfRule>
    <cfRule type="endsWith" dxfId="587" priority="233" operator="endsWith" text="5">
      <formula>RIGHT(O429,LEN("5"))="5"</formula>
    </cfRule>
    <cfRule type="endsWith" dxfId="586" priority="234" operator="endsWith" text="4">
      <formula>RIGHT(O429,LEN("4"))="4"</formula>
    </cfRule>
    <cfRule type="endsWith" dxfId="585" priority="235" operator="endsWith" text="3">
      <formula>RIGHT(O429,LEN("3"))="3"</formula>
    </cfRule>
    <cfRule type="endsWith" dxfId="584" priority="236" operator="endsWith" text="2">
      <formula>RIGHT(O429,LEN("2"))="2"</formula>
    </cfRule>
    <cfRule type="endsWith" dxfId="583" priority="237" operator="endsWith" text="1">
      <formula>RIGHT(O429,LEN("1"))="1"</formula>
    </cfRule>
  </conditionalFormatting>
  <conditionalFormatting sqref="K429">
    <cfRule type="endsWith" dxfId="582" priority="228" operator="endsWith" text="경비">
      <formula>RIGHT(K429,LEN("경비"))="경비"</formula>
    </cfRule>
    <cfRule type="endsWith" dxfId="581" priority="229" operator="endsWith" text="인건비">
      <formula>RIGHT(K429,LEN("인건비"))="인건비"</formula>
    </cfRule>
    <cfRule type="endsWith" dxfId="580" priority="230" operator="endsWith" text="기자재구입비">
      <formula>RIGHT(K429,LEN("기자재구입비"))="기자재구입비"</formula>
    </cfRule>
    <cfRule type="endsWith" dxfId="579" priority="231" operator="endsWith" text="환경개선비">
      <formula>RIGHT(K429,LEN("환경개선비"))="환경개선비"</formula>
    </cfRule>
    <cfRule type="endsWith" dxfId="578" priority="232" operator="endsWith" text="장학금">
      <formula>RIGHT(K429,LEN("장학금"))="장학금"</formula>
    </cfRule>
  </conditionalFormatting>
  <conditionalFormatting sqref="W429">
    <cfRule type="colorScale" priority="226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K60">
    <cfRule type="endsWith" dxfId="577" priority="221" operator="endsWith" text="경비">
      <formula>RIGHT(K60,LEN("경비"))="경비"</formula>
    </cfRule>
    <cfRule type="endsWith" dxfId="576" priority="222" operator="endsWith" text="인건비">
      <formula>RIGHT(K60,LEN("인건비"))="인건비"</formula>
    </cfRule>
    <cfRule type="endsWith" dxfId="575" priority="223" operator="endsWith" text="기자재구입비">
      <formula>RIGHT(K60,LEN("기자재구입비"))="기자재구입비"</formula>
    </cfRule>
    <cfRule type="endsWith" dxfId="574" priority="224" operator="endsWith" text="환경개선비">
      <formula>RIGHT(K60,LEN("환경개선비"))="환경개선비"</formula>
    </cfRule>
    <cfRule type="endsWith" dxfId="573" priority="225" operator="endsWith" text="장학금">
      <formula>RIGHT(K60,LEN("장학금"))="장학금"</formula>
    </cfRule>
  </conditionalFormatting>
  <conditionalFormatting sqref="K183">
    <cfRule type="endsWith" dxfId="572" priority="216" operator="endsWith" text="경비">
      <formula>RIGHT(K183,LEN("경비"))="경비"</formula>
    </cfRule>
    <cfRule type="endsWith" dxfId="571" priority="217" operator="endsWith" text="인건비">
      <formula>RIGHT(K183,LEN("인건비"))="인건비"</formula>
    </cfRule>
    <cfRule type="endsWith" dxfId="570" priority="218" operator="endsWith" text="기자재구입비">
      <formula>RIGHT(K183,LEN("기자재구입비"))="기자재구입비"</formula>
    </cfRule>
    <cfRule type="endsWith" dxfId="569" priority="219" operator="endsWith" text="환경개선비">
      <formula>RIGHT(K183,LEN("환경개선비"))="환경개선비"</formula>
    </cfRule>
    <cfRule type="endsWith" dxfId="568" priority="220" operator="endsWith" text="장학금">
      <formula>RIGHT(K183,LEN("장학금"))="장학금"</formula>
    </cfRule>
  </conditionalFormatting>
  <conditionalFormatting sqref="O68">
    <cfRule type="endsWith" dxfId="567" priority="205" operator="endsWith" text="6">
      <formula>RIGHT(O68,LEN("6"))="6"</formula>
    </cfRule>
    <cfRule type="endsWith" dxfId="566" priority="211" operator="endsWith" text="5">
      <formula>RIGHT(O68,LEN("5"))="5"</formula>
    </cfRule>
    <cfRule type="endsWith" dxfId="565" priority="212" operator="endsWith" text="4">
      <formula>RIGHT(O68,LEN("4"))="4"</formula>
    </cfRule>
    <cfRule type="endsWith" dxfId="564" priority="213" operator="endsWith" text="3">
      <formula>RIGHT(O68,LEN("3"))="3"</formula>
    </cfRule>
    <cfRule type="endsWith" dxfId="563" priority="214" operator="endsWith" text="2">
      <formula>RIGHT(O68,LEN("2"))="2"</formula>
    </cfRule>
    <cfRule type="endsWith" dxfId="562" priority="215" operator="endsWith" text="1">
      <formula>RIGHT(O68,LEN("1"))="1"</formula>
    </cfRule>
  </conditionalFormatting>
  <conditionalFormatting sqref="K68">
    <cfRule type="endsWith" dxfId="561" priority="206" operator="endsWith" text="경비">
      <formula>RIGHT(K68,LEN("경비"))="경비"</formula>
    </cfRule>
    <cfRule type="endsWith" dxfId="560" priority="207" operator="endsWith" text="인건비">
      <formula>RIGHT(K68,LEN("인건비"))="인건비"</formula>
    </cfRule>
    <cfRule type="endsWith" dxfId="559" priority="208" operator="endsWith" text="기자재구입비">
      <formula>RIGHT(K68,LEN("기자재구입비"))="기자재구입비"</formula>
    </cfRule>
    <cfRule type="endsWith" dxfId="558" priority="209" operator="endsWith" text="환경개선비">
      <formula>RIGHT(K68,LEN("환경개선비"))="환경개선비"</formula>
    </cfRule>
    <cfRule type="endsWith" dxfId="557" priority="210" operator="endsWith" text="장학금">
      <formula>RIGHT(K68,LEN("장학금"))="장학금"</formula>
    </cfRule>
  </conditionalFormatting>
  <conditionalFormatting sqref="O71:O72">
    <cfRule type="endsWith" dxfId="556" priority="194" operator="endsWith" text="6">
      <formula>RIGHT(O71,LEN("6"))="6"</formula>
    </cfRule>
    <cfRule type="endsWith" dxfId="555" priority="200" operator="endsWith" text="5">
      <formula>RIGHT(O71,LEN("5"))="5"</formula>
    </cfRule>
    <cfRule type="endsWith" dxfId="554" priority="201" operator="endsWith" text="4">
      <formula>RIGHT(O71,LEN("4"))="4"</formula>
    </cfRule>
    <cfRule type="endsWith" dxfId="553" priority="202" operator="endsWith" text="3">
      <formula>RIGHT(O71,LEN("3"))="3"</formula>
    </cfRule>
    <cfRule type="endsWith" dxfId="552" priority="203" operator="endsWith" text="2">
      <formula>RIGHT(O71,LEN("2"))="2"</formula>
    </cfRule>
    <cfRule type="endsWith" dxfId="551" priority="204" operator="endsWith" text="1">
      <formula>RIGHT(O71,LEN("1"))="1"</formula>
    </cfRule>
  </conditionalFormatting>
  <conditionalFormatting sqref="K71:K72">
    <cfRule type="endsWith" dxfId="550" priority="195" operator="endsWith" text="경비">
      <formula>RIGHT(K71,LEN("경비"))="경비"</formula>
    </cfRule>
    <cfRule type="endsWith" dxfId="549" priority="196" operator="endsWith" text="인건비">
      <formula>RIGHT(K71,LEN("인건비"))="인건비"</formula>
    </cfRule>
    <cfRule type="endsWith" dxfId="548" priority="197" operator="endsWith" text="기자재구입비">
      <formula>RIGHT(K71,LEN("기자재구입비"))="기자재구입비"</formula>
    </cfRule>
    <cfRule type="endsWith" dxfId="547" priority="198" operator="endsWith" text="환경개선비">
      <formula>RIGHT(K71,LEN("환경개선비"))="환경개선비"</formula>
    </cfRule>
    <cfRule type="endsWith" dxfId="546" priority="199" operator="endsWith" text="장학금">
      <formula>RIGHT(K71,LEN("장학금"))="장학금"</formula>
    </cfRule>
  </conditionalFormatting>
  <conditionalFormatting sqref="K271">
    <cfRule type="endsWith" dxfId="545" priority="189" operator="endsWith" text="경비">
      <formula>RIGHT(K271,LEN("경비"))="경비"</formula>
    </cfRule>
    <cfRule type="endsWith" dxfId="544" priority="190" operator="endsWith" text="인건비">
      <formula>RIGHT(K271,LEN("인건비"))="인건비"</formula>
    </cfRule>
    <cfRule type="endsWith" dxfId="543" priority="191" operator="endsWith" text="기자재구입비">
      <formula>RIGHT(K271,LEN("기자재구입비"))="기자재구입비"</formula>
    </cfRule>
    <cfRule type="endsWith" dxfId="542" priority="192" operator="endsWith" text="환경개선비">
      <formula>RIGHT(K271,LEN("환경개선비"))="환경개선비"</formula>
    </cfRule>
    <cfRule type="endsWith" dxfId="541" priority="193" operator="endsWith" text="장학금">
      <formula>RIGHT(K271,LEN("장학금"))="장학금"</formula>
    </cfRule>
  </conditionalFormatting>
  <conditionalFormatting sqref="K273">
    <cfRule type="endsWith" dxfId="540" priority="184" operator="endsWith" text="경비">
      <formula>RIGHT(K273,LEN("경비"))="경비"</formula>
    </cfRule>
    <cfRule type="endsWith" dxfId="539" priority="185" operator="endsWith" text="인건비">
      <formula>RIGHT(K273,LEN("인건비"))="인건비"</formula>
    </cfRule>
    <cfRule type="endsWith" dxfId="538" priority="186" operator="endsWith" text="기자재구입비">
      <formula>RIGHT(K273,LEN("기자재구입비"))="기자재구입비"</formula>
    </cfRule>
    <cfRule type="endsWith" dxfId="537" priority="187" operator="endsWith" text="환경개선비">
      <formula>RIGHT(K273,LEN("환경개선비"))="환경개선비"</formula>
    </cfRule>
    <cfRule type="endsWith" dxfId="536" priority="188" operator="endsWith" text="장학금">
      <formula>RIGHT(K273,LEN("장학금"))="장학금"</formula>
    </cfRule>
  </conditionalFormatting>
  <conditionalFormatting sqref="O274">
    <cfRule type="endsWith" dxfId="535" priority="173" operator="endsWith" text="6">
      <formula>RIGHT(O274,LEN("6"))="6"</formula>
    </cfRule>
    <cfRule type="endsWith" dxfId="534" priority="179" operator="endsWith" text="5">
      <formula>RIGHT(O274,LEN("5"))="5"</formula>
    </cfRule>
    <cfRule type="endsWith" dxfId="533" priority="180" operator="endsWith" text="4">
      <formula>RIGHT(O274,LEN("4"))="4"</formula>
    </cfRule>
    <cfRule type="endsWith" dxfId="532" priority="181" operator="endsWith" text="3">
      <formula>RIGHT(O274,LEN("3"))="3"</formula>
    </cfRule>
    <cfRule type="endsWith" dxfId="531" priority="182" operator="endsWith" text="2">
      <formula>RIGHT(O274,LEN("2"))="2"</formula>
    </cfRule>
    <cfRule type="endsWith" dxfId="530" priority="183" operator="endsWith" text="1">
      <formula>RIGHT(O274,LEN("1"))="1"</formula>
    </cfRule>
  </conditionalFormatting>
  <conditionalFormatting sqref="K274">
    <cfRule type="endsWith" dxfId="529" priority="174" operator="endsWith" text="경비">
      <formula>RIGHT(K274,LEN("경비"))="경비"</formula>
    </cfRule>
    <cfRule type="endsWith" dxfId="528" priority="175" operator="endsWith" text="인건비">
      <formula>RIGHT(K274,LEN("인건비"))="인건비"</formula>
    </cfRule>
    <cfRule type="endsWith" dxfId="527" priority="176" operator="endsWith" text="기자재구입비">
      <formula>RIGHT(K274,LEN("기자재구입비"))="기자재구입비"</formula>
    </cfRule>
    <cfRule type="endsWith" dxfId="526" priority="177" operator="endsWith" text="환경개선비">
      <formula>RIGHT(K274,LEN("환경개선비"))="환경개선비"</formula>
    </cfRule>
    <cfRule type="endsWith" dxfId="525" priority="178" operator="endsWith" text="장학금">
      <formula>RIGHT(K274,LEN("장학금"))="장학금"</formula>
    </cfRule>
  </conditionalFormatting>
  <conditionalFormatting sqref="O346">
    <cfRule type="endsWith" dxfId="524" priority="162" operator="endsWith" text="6">
      <formula>RIGHT(O346,LEN("6"))="6"</formula>
    </cfRule>
    <cfRule type="endsWith" dxfId="523" priority="168" operator="endsWith" text="5">
      <formula>RIGHT(O346,LEN("5"))="5"</formula>
    </cfRule>
    <cfRule type="endsWith" dxfId="522" priority="169" operator="endsWith" text="4">
      <formula>RIGHT(O346,LEN("4"))="4"</formula>
    </cfRule>
    <cfRule type="endsWith" dxfId="521" priority="170" operator="endsWith" text="3">
      <formula>RIGHT(O346,LEN("3"))="3"</formula>
    </cfRule>
    <cfRule type="endsWith" dxfId="520" priority="171" operator="endsWith" text="2">
      <formula>RIGHT(O346,LEN("2"))="2"</formula>
    </cfRule>
    <cfRule type="endsWith" dxfId="519" priority="172" operator="endsWith" text="1">
      <formula>RIGHT(O346,LEN("1"))="1"</formula>
    </cfRule>
  </conditionalFormatting>
  <conditionalFormatting sqref="K346">
    <cfRule type="endsWith" dxfId="518" priority="163" operator="endsWith" text="경비">
      <formula>RIGHT(K346,LEN("경비"))="경비"</formula>
    </cfRule>
    <cfRule type="endsWith" dxfId="517" priority="164" operator="endsWith" text="인건비">
      <formula>RIGHT(K346,LEN("인건비"))="인건비"</formula>
    </cfRule>
    <cfRule type="endsWith" dxfId="516" priority="165" operator="endsWith" text="기자재구입비">
      <formula>RIGHT(K346,LEN("기자재구입비"))="기자재구입비"</formula>
    </cfRule>
    <cfRule type="endsWith" dxfId="515" priority="166" operator="endsWith" text="환경개선비">
      <formula>RIGHT(K346,LEN("환경개선비"))="환경개선비"</formula>
    </cfRule>
    <cfRule type="endsWith" dxfId="514" priority="167" operator="endsWith" text="장학금">
      <formula>RIGHT(K346,LEN("장학금"))="장학금"</formula>
    </cfRule>
  </conditionalFormatting>
  <conditionalFormatting sqref="K90">
    <cfRule type="endsWith" dxfId="513" priority="157" operator="endsWith" text="경비">
      <formula>RIGHT(K90,LEN("경비"))="경비"</formula>
    </cfRule>
    <cfRule type="endsWith" dxfId="512" priority="158" operator="endsWith" text="인건비">
      <formula>RIGHT(K90,LEN("인건비"))="인건비"</formula>
    </cfRule>
    <cfRule type="endsWith" dxfId="511" priority="159" operator="endsWith" text="기자재구입비">
      <formula>RIGHT(K90,LEN("기자재구입비"))="기자재구입비"</formula>
    </cfRule>
    <cfRule type="endsWith" dxfId="510" priority="160" operator="endsWith" text="환경개선비">
      <formula>RIGHT(K90,LEN("환경개선비"))="환경개선비"</formula>
    </cfRule>
    <cfRule type="endsWith" dxfId="509" priority="161" operator="endsWith" text="장학금">
      <formula>RIGHT(K90,LEN("장학금"))="장학금"</formula>
    </cfRule>
  </conditionalFormatting>
  <conditionalFormatting sqref="O264">
    <cfRule type="endsWith" dxfId="508" priority="151" operator="endsWith" text="6">
      <formula>RIGHT(O264,LEN("6"))="6"</formula>
    </cfRule>
    <cfRule type="endsWith" dxfId="507" priority="152" operator="endsWith" text="5">
      <formula>RIGHT(O264,LEN("5"))="5"</formula>
    </cfRule>
    <cfRule type="endsWith" dxfId="506" priority="153" operator="endsWith" text="4">
      <formula>RIGHT(O264,LEN("4"))="4"</formula>
    </cfRule>
    <cfRule type="endsWith" dxfId="505" priority="154" operator="endsWith" text="3">
      <formula>RIGHT(O264,LEN("3"))="3"</formula>
    </cfRule>
    <cfRule type="endsWith" dxfId="504" priority="155" operator="endsWith" text="2">
      <formula>RIGHT(O264,LEN("2"))="2"</formula>
    </cfRule>
    <cfRule type="endsWith" dxfId="503" priority="156" operator="endsWith" text="1">
      <formula>RIGHT(O264,LEN("1"))="1"</formula>
    </cfRule>
  </conditionalFormatting>
  <conditionalFormatting sqref="K369">
    <cfRule type="endsWith" dxfId="502" priority="146" operator="endsWith" text="경비">
      <formula>RIGHT(K369,LEN("경비"))="경비"</formula>
    </cfRule>
    <cfRule type="endsWith" dxfId="501" priority="147" operator="endsWith" text="인건비">
      <formula>RIGHT(K369,LEN("인건비"))="인건비"</formula>
    </cfRule>
    <cfRule type="endsWith" dxfId="500" priority="148" operator="endsWith" text="기자재구입비">
      <formula>RIGHT(K369,LEN("기자재구입비"))="기자재구입비"</formula>
    </cfRule>
    <cfRule type="endsWith" dxfId="499" priority="149" operator="endsWith" text="환경개선비">
      <formula>RIGHT(K369,LEN("환경개선비"))="환경개선비"</formula>
    </cfRule>
    <cfRule type="endsWith" dxfId="498" priority="150" operator="endsWith" text="장학금">
      <formula>RIGHT(K369,LEN("장학금"))="장학금"</formula>
    </cfRule>
  </conditionalFormatting>
  <conditionalFormatting sqref="K376:K378">
    <cfRule type="endsWith" dxfId="497" priority="141" operator="endsWith" text="경비">
      <formula>RIGHT(K376,LEN("경비"))="경비"</formula>
    </cfRule>
    <cfRule type="endsWith" dxfId="496" priority="142" operator="endsWith" text="인건비">
      <formula>RIGHT(K376,LEN("인건비"))="인건비"</formula>
    </cfRule>
    <cfRule type="endsWith" dxfId="495" priority="143" operator="endsWith" text="기자재구입비">
      <formula>RIGHT(K376,LEN("기자재구입비"))="기자재구입비"</formula>
    </cfRule>
    <cfRule type="endsWith" dxfId="494" priority="144" operator="endsWith" text="환경개선비">
      <formula>RIGHT(K376,LEN("환경개선비"))="환경개선비"</formula>
    </cfRule>
    <cfRule type="endsWith" dxfId="493" priority="145" operator="endsWith" text="장학금">
      <formula>RIGHT(K376,LEN("장학금"))="장학금"</formula>
    </cfRule>
  </conditionalFormatting>
  <conditionalFormatting sqref="K51">
    <cfRule type="endsWith" dxfId="492" priority="136" operator="endsWith" text="경비">
      <formula>RIGHT(K51,LEN("경비"))="경비"</formula>
    </cfRule>
    <cfRule type="endsWith" dxfId="491" priority="137" operator="endsWith" text="인건비">
      <formula>RIGHT(K51,LEN("인건비"))="인건비"</formula>
    </cfRule>
    <cfRule type="endsWith" dxfId="490" priority="138" operator="endsWith" text="기자재구입비">
      <formula>RIGHT(K51,LEN("기자재구입비"))="기자재구입비"</formula>
    </cfRule>
    <cfRule type="endsWith" dxfId="489" priority="139" operator="endsWith" text="환경개선비">
      <formula>RIGHT(K51,LEN("환경개선비"))="환경개선비"</formula>
    </cfRule>
    <cfRule type="endsWith" dxfId="488" priority="140" operator="endsWith" text="장학금">
      <formula>RIGHT(K51,LEN("장학금"))="장학금"</formula>
    </cfRule>
  </conditionalFormatting>
  <conditionalFormatting sqref="O375:O378">
    <cfRule type="endsWith" dxfId="487" priority="130" operator="endsWith" text="6">
      <formula>RIGHT(O375,LEN("6"))="6"</formula>
    </cfRule>
    <cfRule type="endsWith" dxfId="486" priority="131" operator="endsWith" text="5">
      <formula>RIGHT(O375,LEN("5"))="5"</formula>
    </cfRule>
    <cfRule type="endsWith" dxfId="485" priority="132" operator="endsWith" text="4">
      <formula>RIGHT(O375,LEN("4"))="4"</formula>
    </cfRule>
    <cfRule type="endsWith" dxfId="484" priority="133" operator="endsWith" text="3">
      <formula>RIGHT(O375,LEN("3"))="3"</formula>
    </cfRule>
    <cfRule type="endsWith" dxfId="483" priority="134" operator="endsWith" text="2">
      <formula>RIGHT(O375,LEN("2"))="2"</formula>
    </cfRule>
    <cfRule type="endsWith" dxfId="482" priority="135" operator="endsWith" text="1">
      <formula>RIGHT(O375,LEN("1"))="1"</formula>
    </cfRule>
  </conditionalFormatting>
  <conditionalFormatting sqref="O173">
    <cfRule type="endsWith" dxfId="481" priority="119" operator="endsWith" text="6">
      <formula>RIGHT(O173,LEN("6"))="6"</formula>
    </cfRule>
    <cfRule type="endsWith" dxfId="480" priority="125" operator="endsWith" text="5">
      <formula>RIGHT(O173,LEN("5"))="5"</formula>
    </cfRule>
    <cfRule type="endsWith" dxfId="479" priority="126" operator="endsWith" text="4">
      <formula>RIGHT(O173,LEN("4"))="4"</formula>
    </cfRule>
    <cfRule type="endsWith" dxfId="478" priority="127" operator="endsWith" text="3">
      <formula>RIGHT(O173,LEN("3"))="3"</formula>
    </cfRule>
    <cfRule type="endsWith" dxfId="477" priority="128" operator="endsWith" text="2">
      <formula>RIGHT(O173,LEN("2"))="2"</formula>
    </cfRule>
    <cfRule type="endsWith" dxfId="476" priority="129" operator="endsWith" text="1">
      <formula>RIGHT(O173,LEN("1"))="1"</formula>
    </cfRule>
  </conditionalFormatting>
  <conditionalFormatting sqref="K173">
    <cfRule type="endsWith" dxfId="475" priority="120" operator="endsWith" text="경비">
      <formula>RIGHT(K173,LEN("경비"))="경비"</formula>
    </cfRule>
    <cfRule type="endsWith" dxfId="474" priority="121" operator="endsWith" text="인건비">
      <formula>RIGHT(K173,LEN("인건비"))="인건비"</formula>
    </cfRule>
    <cfRule type="endsWith" dxfId="473" priority="122" operator="endsWith" text="기자재구입비">
      <formula>RIGHT(K173,LEN("기자재구입비"))="기자재구입비"</formula>
    </cfRule>
    <cfRule type="endsWith" dxfId="472" priority="123" operator="endsWith" text="환경개선비">
      <formula>RIGHT(K173,LEN("환경개선비"))="환경개선비"</formula>
    </cfRule>
    <cfRule type="endsWith" dxfId="471" priority="124" operator="endsWith" text="장학금">
      <formula>RIGHT(K173,LEN("장학금"))="장학금"</formula>
    </cfRule>
  </conditionalFormatting>
  <conditionalFormatting sqref="K314">
    <cfRule type="endsWith" dxfId="470" priority="114" operator="endsWith" text="경비">
      <formula>RIGHT(K314,LEN("경비"))="경비"</formula>
    </cfRule>
    <cfRule type="endsWith" dxfId="469" priority="115" operator="endsWith" text="인건비">
      <formula>RIGHT(K314,LEN("인건비"))="인건비"</formula>
    </cfRule>
    <cfRule type="endsWith" dxfId="468" priority="116" operator="endsWith" text="기자재구입비">
      <formula>RIGHT(K314,LEN("기자재구입비"))="기자재구입비"</formula>
    </cfRule>
    <cfRule type="endsWith" dxfId="467" priority="117" operator="endsWith" text="환경개선비">
      <formula>RIGHT(K314,LEN("환경개선비"))="환경개선비"</formula>
    </cfRule>
    <cfRule type="endsWith" dxfId="466" priority="118" operator="endsWith" text="장학금">
      <formula>RIGHT(K314,LEN("장학금"))="장학금"</formula>
    </cfRule>
  </conditionalFormatting>
  <conditionalFormatting sqref="O309">
    <cfRule type="endsWith" dxfId="465" priority="103" operator="endsWith" text="6">
      <formula>RIGHT(O309,LEN("6"))="6"</formula>
    </cfRule>
    <cfRule type="endsWith" dxfId="464" priority="109" operator="endsWith" text="5">
      <formula>RIGHT(O309,LEN("5"))="5"</formula>
    </cfRule>
    <cfRule type="endsWith" dxfId="463" priority="110" operator="endsWith" text="4">
      <formula>RIGHT(O309,LEN("4"))="4"</formula>
    </cfRule>
    <cfRule type="endsWith" dxfId="462" priority="111" operator="endsWith" text="3">
      <formula>RIGHT(O309,LEN("3"))="3"</formula>
    </cfRule>
    <cfRule type="endsWith" dxfId="461" priority="112" operator="endsWith" text="2">
      <formula>RIGHT(O309,LEN("2"))="2"</formula>
    </cfRule>
    <cfRule type="endsWith" dxfId="460" priority="113" operator="endsWith" text="1">
      <formula>RIGHT(O309,LEN("1"))="1"</formula>
    </cfRule>
  </conditionalFormatting>
  <conditionalFormatting sqref="K309">
    <cfRule type="endsWith" dxfId="459" priority="104" operator="endsWith" text="경비">
      <formula>RIGHT(K309,LEN("경비"))="경비"</formula>
    </cfRule>
    <cfRule type="endsWith" dxfId="458" priority="105" operator="endsWith" text="인건비">
      <formula>RIGHT(K309,LEN("인건비"))="인건비"</formula>
    </cfRule>
    <cfRule type="endsWith" dxfId="457" priority="106" operator="endsWith" text="기자재구입비">
      <formula>RIGHT(K309,LEN("기자재구입비"))="기자재구입비"</formula>
    </cfRule>
    <cfRule type="endsWith" dxfId="456" priority="107" operator="endsWith" text="환경개선비">
      <formula>RIGHT(K309,LEN("환경개선비"))="환경개선비"</formula>
    </cfRule>
    <cfRule type="endsWith" dxfId="455" priority="108" operator="endsWith" text="장학금">
      <formula>RIGHT(K309,LEN("장학금"))="장학금"</formula>
    </cfRule>
  </conditionalFormatting>
  <conditionalFormatting sqref="K302">
    <cfRule type="endsWith" dxfId="454" priority="98" operator="endsWith" text="경비">
      <formula>RIGHT(K302,LEN("경비"))="경비"</formula>
    </cfRule>
    <cfRule type="endsWith" dxfId="453" priority="99" operator="endsWith" text="인건비">
      <formula>RIGHT(K302,LEN("인건비"))="인건비"</formula>
    </cfRule>
    <cfRule type="endsWith" dxfId="452" priority="100" operator="endsWith" text="기자재구입비">
      <formula>RIGHT(K302,LEN("기자재구입비"))="기자재구입비"</formula>
    </cfRule>
    <cfRule type="endsWith" dxfId="451" priority="101" operator="endsWith" text="환경개선비">
      <formula>RIGHT(K302,LEN("환경개선비"))="환경개선비"</formula>
    </cfRule>
    <cfRule type="endsWith" dxfId="450" priority="102" operator="endsWith" text="장학금">
      <formula>RIGHT(K302,LEN("장학금"))="장학금"</formula>
    </cfRule>
  </conditionalFormatting>
  <conditionalFormatting sqref="W302">
    <cfRule type="colorScale" priority="97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O302">
    <cfRule type="endsWith" dxfId="449" priority="91" operator="endsWith" text="6">
      <formula>RIGHT(O302,LEN("6"))="6"</formula>
    </cfRule>
    <cfRule type="endsWith" dxfId="448" priority="92" operator="endsWith" text="5">
      <formula>RIGHT(O302,LEN("5"))="5"</formula>
    </cfRule>
    <cfRule type="endsWith" dxfId="447" priority="93" operator="endsWith" text="4">
      <formula>RIGHT(O302,LEN("4"))="4"</formula>
    </cfRule>
    <cfRule type="endsWith" dxfId="446" priority="94" operator="endsWith" text="3">
      <formula>RIGHT(O302,LEN("3"))="3"</formula>
    </cfRule>
    <cfRule type="endsWith" dxfId="445" priority="95" operator="endsWith" text="2">
      <formula>RIGHT(O302,LEN("2"))="2"</formula>
    </cfRule>
    <cfRule type="endsWith" dxfId="444" priority="96" operator="endsWith" text="1">
      <formula>RIGHT(O302,LEN("1"))="1"</formula>
    </cfRule>
  </conditionalFormatting>
  <conditionalFormatting sqref="O183">
    <cfRule type="endsWith" dxfId="443" priority="85" operator="endsWith" text="6">
      <formula>RIGHT(O183,LEN("6"))="6"</formula>
    </cfRule>
    <cfRule type="endsWith" dxfId="442" priority="86" operator="endsWith" text="5">
      <formula>RIGHT(O183,LEN("5"))="5"</formula>
    </cfRule>
    <cfRule type="endsWith" dxfId="441" priority="87" operator="endsWith" text="4">
      <formula>RIGHT(O183,LEN("4"))="4"</formula>
    </cfRule>
    <cfRule type="endsWith" dxfId="440" priority="88" operator="endsWith" text="3">
      <formula>RIGHT(O183,LEN("3"))="3"</formula>
    </cfRule>
    <cfRule type="endsWith" dxfId="439" priority="89" operator="endsWith" text="2">
      <formula>RIGHT(O183,LEN("2"))="2"</formula>
    </cfRule>
    <cfRule type="endsWith" dxfId="438" priority="90" operator="endsWith" text="1">
      <formula>RIGHT(O183,LEN("1"))="1"</formula>
    </cfRule>
  </conditionalFormatting>
  <conditionalFormatting sqref="O60">
    <cfRule type="endsWith" dxfId="437" priority="79" operator="endsWith" text="6">
      <formula>RIGHT(O60,LEN("6"))="6"</formula>
    </cfRule>
    <cfRule type="endsWith" dxfId="436" priority="80" operator="endsWith" text="5">
      <formula>RIGHT(O60,LEN("5"))="5"</formula>
    </cfRule>
    <cfRule type="endsWith" dxfId="435" priority="81" operator="endsWith" text="4">
      <formula>RIGHT(O60,LEN("4"))="4"</formula>
    </cfRule>
    <cfRule type="endsWith" dxfId="434" priority="82" operator="endsWith" text="3">
      <formula>RIGHT(O60,LEN("3"))="3"</formula>
    </cfRule>
    <cfRule type="endsWith" dxfId="433" priority="83" operator="endsWith" text="2">
      <formula>RIGHT(O60,LEN("2"))="2"</formula>
    </cfRule>
    <cfRule type="endsWith" dxfId="432" priority="84" operator="endsWith" text="1">
      <formula>RIGHT(O60,LEN("1"))="1"</formula>
    </cfRule>
  </conditionalFormatting>
  <conditionalFormatting sqref="O51">
    <cfRule type="endsWith" dxfId="431" priority="73" operator="endsWith" text="6">
      <formula>RIGHT(O51,LEN("6"))="6"</formula>
    </cfRule>
    <cfRule type="endsWith" dxfId="430" priority="74" operator="endsWith" text="5">
      <formula>RIGHT(O51,LEN("5"))="5"</formula>
    </cfRule>
    <cfRule type="endsWith" dxfId="429" priority="75" operator="endsWith" text="4">
      <formula>RIGHT(O51,LEN("4"))="4"</formula>
    </cfRule>
    <cfRule type="endsWith" dxfId="428" priority="76" operator="endsWith" text="3">
      <formula>RIGHT(O51,LEN("3"))="3"</formula>
    </cfRule>
    <cfRule type="endsWith" dxfId="427" priority="77" operator="endsWith" text="2">
      <formula>RIGHT(O51,LEN("2"))="2"</formula>
    </cfRule>
    <cfRule type="endsWith" dxfId="426" priority="78" operator="endsWith" text="1">
      <formula>RIGHT(O51,LEN("1"))="1"</formula>
    </cfRule>
  </conditionalFormatting>
  <conditionalFormatting sqref="O334">
    <cfRule type="endsWith" dxfId="425" priority="62" operator="endsWith" text="6">
      <formula>RIGHT(O334,LEN("6"))="6"</formula>
    </cfRule>
    <cfRule type="endsWith" dxfId="424" priority="68" operator="endsWith" text="5">
      <formula>RIGHT(O334,LEN("5"))="5"</formula>
    </cfRule>
    <cfRule type="endsWith" dxfId="423" priority="69" operator="endsWith" text="4">
      <formula>RIGHT(O334,LEN("4"))="4"</formula>
    </cfRule>
    <cfRule type="endsWith" dxfId="422" priority="70" operator="endsWith" text="3">
      <formula>RIGHT(O334,LEN("3"))="3"</formula>
    </cfRule>
    <cfRule type="endsWith" dxfId="421" priority="71" operator="endsWith" text="2">
      <formula>RIGHT(O334,LEN("2"))="2"</formula>
    </cfRule>
    <cfRule type="endsWith" dxfId="420" priority="72" operator="endsWith" text="1">
      <formula>RIGHT(O334,LEN("1"))="1"</formula>
    </cfRule>
  </conditionalFormatting>
  <conditionalFormatting sqref="K334">
    <cfRule type="endsWith" dxfId="419" priority="63" operator="endsWith" text="경비">
      <formula>RIGHT(K334,LEN("경비"))="경비"</formula>
    </cfRule>
    <cfRule type="endsWith" dxfId="418" priority="64" operator="endsWith" text="인건비">
      <formula>RIGHT(K334,LEN("인건비"))="인건비"</formula>
    </cfRule>
    <cfRule type="endsWith" dxfId="417" priority="65" operator="endsWith" text="기자재구입비">
      <formula>RIGHT(K334,LEN("기자재구입비"))="기자재구입비"</formula>
    </cfRule>
    <cfRule type="endsWith" dxfId="416" priority="66" operator="endsWith" text="환경개선비">
      <formula>RIGHT(K334,LEN("환경개선비"))="환경개선비"</formula>
    </cfRule>
    <cfRule type="endsWith" dxfId="415" priority="67" operator="endsWith" text="장학금">
      <formula>RIGHT(K334,LEN("장학금"))="장학금"</formula>
    </cfRule>
  </conditionalFormatting>
  <conditionalFormatting sqref="W334">
    <cfRule type="colorScale" priority="61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O335">
    <cfRule type="endsWith" dxfId="414" priority="50" operator="endsWith" text="6">
      <formula>RIGHT(O335,LEN("6"))="6"</formula>
    </cfRule>
    <cfRule type="endsWith" dxfId="413" priority="56" operator="endsWith" text="5">
      <formula>RIGHT(O335,LEN("5"))="5"</formula>
    </cfRule>
    <cfRule type="endsWith" dxfId="412" priority="57" operator="endsWith" text="4">
      <formula>RIGHT(O335,LEN("4"))="4"</formula>
    </cfRule>
    <cfRule type="endsWith" dxfId="411" priority="58" operator="endsWith" text="3">
      <formula>RIGHT(O335,LEN("3"))="3"</formula>
    </cfRule>
    <cfRule type="endsWith" dxfId="410" priority="59" operator="endsWith" text="2">
      <formula>RIGHT(O335,LEN("2"))="2"</formula>
    </cfRule>
    <cfRule type="endsWith" dxfId="409" priority="60" operator="endsWith" text="1">
      <formula>RIGHT(O335,LEN("1"))="1"</formula>
    </cfRule>
  </conditionalFormatting>
  <conditionalFormatting sqref="K335">
    <cfRule type="endsWith" dxfId="408" priority="51" operator="endsWith" text="경비">
      <formula>RIGHT(K335,LEN("경비"))="경비"</formula>
    </cfRule>
    <cfRule type="endsWith" dxfId="407" priority="52" operator="endsWith" text="인건비">
      <formula>RIGHT(K335,LEN("인건비"))="인건비"</formula>
    </cfRule>
    <cfRule type="endsWith" dxfId="406" priority="53" operator="endsWith" text="기자재구입비">
      <formula>RIGHT(K335,LEN("기자재구입비"))="기자재구입비"</formula>
    </cfRule>
    <cfRule type="endsWith" dxfId="405" priority="54" operator="endsWith" text="환경개선비">
      <formula>RIGHT(K335,LEN("환경개선비"))="환경개선비"</formula>
    </cfRule>
    <cfRule type="endsWith" dxfId="404" priority="55" operator="endsWith" text="장학금">
      <formula>RIGHT(K335,LEN("장학금"))="장학금"</formula>
    </cfRule>
  </conditionalFormatting>
  <conditionalFormatting sqref="W335">
    <cfRule type="colorScale" priority="49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O336">
    <cfRule type="endsWith" dxfId="403" priority="38" operator="endsWith" text="6">
      <formula>RIGHT(O336,LEN("6"))="6"</formula>
    </cfRule>
    <cfRule type="endsWith" dxfId="402" priority="44" operator="endsWith" text="5">
      <formula>RIGHT(O336,LEN("5"))="5"</formula>
    </cfRule>
    <cfRule type="endsWith" dxfId="401" priority="45" operator="endsWith" text="4">
      <formula>RIGHT(O336,LEN("4"))="4"</formula>
    </cfRule>
    <cfRule type="endsWith" dxfId="400" priority="46" operator="endsWith" text="3">
      <formula>RIGHT(O336,LEN("3"))="3"</formula>
    </cfRule>
    <cfRule type="endsWith" dxfId="399" priority="47" operator="endsWith" text="2">
      <formula>RIGHT(O336,LEN("2"))="2"</formula>
    </cfRule>
    <cfRule type="endsWith" dxfId="398" priority="48" operator="endsWith" text="1">
      <formula>RIGHT(O336,LEN("1"))="1"</formula>
    </cfRule>
  </conditionalFormatting>
  <conditionalFormatting sqref="K336">
    <cfRule type="endsWith" dxfId="397" priority="39" operator="endsWith" text="경비">
      <formula>RIGHT(K336,LEN("경비"))="경비"</formula>
    </cfRule>
    <cfRule type="endsWith" dxfId="396" priority="40" operator="endsWith" text="인건비">
      <formula>RIGHT(K336,LEN("인건비"))="인건비"</formula>
    </cfRule>
    <cfRule type="endsWith" dxfId="395" priority="41" operator="endsWith" text="기자재구입비">
      <formula>RIGHT(K336,LEN("기자재구입비"))="기자재구입비"</formula>
    </cfRule>
    <cfRule type="endsWith" dxfId="394" priority="42" operator="endsWith" text="환경개선비">
      <formula>RIGHT(K336,LEN("환경개선비"))="환경개선비"</formula>
    </cfRule>
    <cfRule type="endsWith" dxfId="393" priority="43" operator="endsWith" text="장학금">
      <formula>RIGHT(K336,LEN("장학금"))="장학금"</formula>
    </cfRule>
  </conditionalFormatting>
  <conditionalFormatting sqref="W336">
    <cfRule type="colorScale" priority="37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O32:O33">
    <cfRule type="endsWith" dxfId="392" priority="26" operator="endsWith" text="6">
      <formula>RIGHT(O32,LEN("6"))="6"</formula>
    </cfRule>
    <cfRule type="endsWith" dxfId="391" priority="32" operator="endsWith" text="5">
      <formula>RIGHT(O32,LEN("5"))="5"</formula>
    </cfRule>
    <cfRule type="endsWith" dxfId="390" priority="33" operator="endsWith" text="4">
      <formula>RIGHT(O32,LEN("4"))="4"</formula>
    </cfRule>
    <cfRule type="endsWith" dxfId="389" priority="34" operator="endsWith" text="3">
      <formula>RIGHT(O32,LEN("3"))="3"</formula>
    </cfRule>
    <cfRule type="endsWith" dxfId="388" priority="35" operator="endsWith" text="2">
      <formula>RIGHT(O32,LEN("2"))="2"</formula>
    </cfRule>
    <cfRule type="endsWith" dxfId="387" priority="36" operator="endsWith" text="1">
      <formula>RIGHT(O32,LEN("1"))="1"</formula>
    </cfRule>
  </conditionalFormatting>
  <conditionalFormatting sqref="K32:K33">
    <cfRule type="endsWith" dxfId="386" priority="27" operator="endsWith" text="경비">
      <formula>RIGHT(K32,LEN("경비"))="경비"</formula>
    </cfRule>
    <cfRule type="endsWith" dxfId="385" priority="28" operator="endsWith" text="인건비">
      <formula>RIGHT(K32,LEN("인건비"))="인건비"</formula>
    </cfRule>
    <cfRule type="endsWith" dxfId="384" priority="29" operator="endsWith" text="기자재구입비">
      <formula>RIGHT(K32,LEN("기자재구입비"))="기자재구입비"</formula>
    </cfRule>
    <cfRule type="endsWith" dxfId="383" priority="30" operator="endsWith" text="환경개선비">
      <formula>RIGHT(K32,LEN("환경개선비"))="환경개선비"</formula>
    </cfRule>
    <cfRule type="endsWith" dxfId="382" priority="31" operator="endsWith" text="장학금">
      <formula>RIGHT(K32,LEN("장학금"))="장학금"</formula>
    </cfRule>
  </conditionalFormatting>
  <conditionalFormatting sqref="W456:W1048576 W174:W180 W184:W268 W270:W301 W390:W424 W1:W172 W337:W376 W379:W388 W303:W333">
    <cfRule type="colorScale" priority="363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O31">
    <cfRule type="endsWith" dxfId="381" priority="20" operator="endsWith" text="6">
      <formula>RIGHT(O31,LEN("6"))="6"</formula>
    </cfRule>
    <cfRule type="endsWith" dxfId="380" priority="21" operator="endsWith" text="5">
      <formula>RIGHT(O31,LEN("5"))="5"</formula>
    </cfRule>
    <cfRule type="endsWith" dxfId="379" priority="22" operator="endsWith" text="4">
      <formula>RIGHT(O31,LEN("4"))="4"</formula>
    </cfRule>
    <cfRule type="endsWith" dxfId="378" priority="23" operator="endsWith" text="3">
      <formula>RIGHT(O31,LEN("3"))="3"</formula>
    </cfRule>
    <cfRule type="endsWith" dxfId="377" priority="24" operator="endsWith" text="2">
      <formula>RIGHT(O31,LEN("2"))="2"</formula>
    </cfRule>
    <cfRule type="endsWith" dxfId="376" priority="25" operator="endsWith" text="1">
      <formula>RIGHT(O31,LEN("1"))="1"</formula>
    </cfRule>
  </conditionalFormatting>
  <conditionalFormatting sqref="W173">
    <cfRule type="colorScale" priority="19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W389">
    <cfRule type="colorScale" priority="18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W181:W183">
    <cfRule type="colorScale" priority="17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O424">
    <cfRule type="endsWith" dxfId="375" priority="6" operator="endsWith" text="6">
      <formula>RIGHT(O424,LEN("6"))="6"</formula>
    </cfRule>
    <cfRule type="endsWith" dxfId="374" priority="12" operator="endsWith" text="5">
      <formula>RIGHT(O424,LEN("5"))="5"</formula>
    </cfRule>
    <cfRule type="endsWith" dxfId="373" priority="13" operator="endsWith" text="4">
      <formula>RIGHT(O424,LEN("4"))="4"</formula>
    </cfRule>
    <cfRule type="endsWith" dxfId="372" priority="14" operator="endsWith" text="3">
      <formula>RIGHT(O424,LEN("3"))="3"</formula>
    </cfRule>
    <cfRule type="endsWith" dxfId="371" priority="15" operator="endsWith" text="2">
      <formula>RIGHT(O424,LEN("2"))="2"</formula>
    </cfRule>
    <cfRule type="endsWith" dxfId="370" priority="16" operator="endsWith" text="1">
      <formula>RIGHT(O424,LEN("1"))="1"</formula>
    </cfRule>
  </conditionalFormatting>
  <conditionalFormatting sqref="K424">
    <cfRule type="endsWith" dxfId="369" priority="7" operator="endsWith" text="경비">
      <formula>RIGHT(K424,LEN("경비"))="경비"</formula>
    </cfRule>
    <cfRule type="endsWith" dxfId="368" priority="8" operator="endsWith" text="인건비">
      <formula>RIGHT(K424,LEN("인건비"))="인건비"</formula>
    </cfRule>
    <cfRule type="endsWith" dxfId="367" priority="9" operator="endsWith" text="기자재구입비">
      <formula>RIGHT(K424,LEN("기자재구입비"))="기자재구입비"</formula>
    </cfRule>
    <cfRule type="endsWith" dxfId="366" priority="10" operator="endsWith" text="환경개선비">
      <formula>RIGHT(K424,LEN("환경개선비"))="환경개선비"</formula>
    </cfRule>
    <cfRule type="endsWith" dxfId="365" priority="11" operator="endsWith" text="장학금">
      <formula>RIGHT(K424,LEN("장학금"))="장학금"</formula>
    </cfRule>
  </conditionalFormatting>
  <conditionalFormatting sqref="K415">
    <cfRule type="endsWith" dxfId="364" priority="1" operator="endsWith" text="경비">
      <formula>RIGHT(K415,LEN("경비"))="경비"</formula>
    </cfRule>
    <cfRule type="endsWith" dxfId="363" priority="2" operator="endsWith" text="인건비">
      <formula>RIGHT(K415,LEN("인건비"))="인건비"</formula>
    </cfRule>
    <cfRule type="endsWith" dxfId="362" priority="3" operator="endsWith" text="기자재구입비">
      <formula>RIGHT(K415,LEN("기자재구입비"))="기자재구입비"</formula>
    </cfRule>
    <cfRule type="endsWith" dxfId="361" priority="4" operator="endsWith" text="환경개선비">
      <formula>RIGHT(K415,LEN("환경개선비"))="환경개선비"</formula>
    </cfRule>
    <cfRule type="endsWith" dxfId="360" priority="5" operator="endsWith" text="장학금">
      <formula>RIGHT(K415,LEN("장학금"))="장학금"</formula>
    </cfRule>
  </conditionalFormatting>
  <conditionalFormatting sqref="W434:W455 W269 W377:W378">
    <cfRule type="colorScale" priority="364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pageMargins left="0" right="0" top="0" bottom="0.74803149606299213" header="0" footer="0.31496062992125984"/>
  <pageSetup paperSize="9" scale="2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917C-A13E-419A-8FAD-F49FFF872DC5}">
  <dimension ref="A3:B8"/>
  <sheetViews>
    <sheetView workbookViewId="0">
      <selection activeCell="C11" sqref="C11"/>
    </sheetView>
  </sheetViews>
  <sheetFormatPr defaultRowHeight="16.5"/>
  <cols>
    <col min="1" max="1" width="11.875" bestFit="1" customWidth="1"/>
    <col min="2" max="2" width="15.25" style="1" bestFit="1" customWidth="1"/>
  </cols>
  <sheetData>
    <row r="3" spans="1:2">
      <c r="A3" s="3" t="s">
        <v>6</v>
      </c>
      <c r="B3" t="s">
        <v>5</v>
      </c>
    </row>
    <row r="4" spans="1:2">
      <c r="A4" s="2" t="s">
        <v>4</v>
      </c>
      <c r="B4" s="382">
        <v>4625921892</v>
      </c>
    </row>
    <row r="5" spans="1:2">
      <c r="A5" s="2" t="s">
        <v>3</v>
      </c>
      <c r="B5" s="382">
        <v>728011280</v>
      </c>
    </row>
    <row r="6" spans="1:2">
      <c r="A6" s="2" t="s">
        <v>2</v>
      </c>
      <c r="B6" s="382">
        <v>1893185400</v>
      </c>
    </row>
    <row r="7" spans="1:2">
      <c r="A7" s="2" t="s">
        <v>1</v>
      </c>
      <c r="B7" s="382"/>
    </row>
    <row r="8" spans="1:2">
      <c r="A8" s="2" t="s">
        <v>0</v>
      </c>
      <c r="B8" s="382">
        <v>7247118572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E0C8-E552-41B8-8DBC-6C07C10BC22B}">
  <dimension ref="A4:H26"/>
  <sheetViews>
    <sheetView topLeftCell="A10" workbookViewId="0">
      <selection activeCell="G39" sqref="G39"/>
    </sheetView>
  </sheetViews>
  <sheetFormatPr defaultRowHeight="16.5"/>
  <cols>
    <col min="1" max="1" width="15.25" style="46" bestFit="1" customWidth="1"/>
    <col min="2" max="3" width="28.125" style="46" bestFit="1" customWidth="1"/>
    <col min="4" max="4" width="19.75" style="46" bestFit="1" customWidth="1"/>
    <col min="5" max="5" width="16" style="46" bestFit="1" customWidth="1"/>
    <col min="6" max="6" width="14.125" style="46" bestFit="1" customWidth="1"/>
    <col min="7" max="7" width="21.875" style="46" bestFit="1" customWidth="1"/>
    <col min="8" max="8" width="16" style="46" bestFit="1" customWidth="1"/>
  </cols>
  <sheetData>
    <row r="4" spans="1:8">
      <c r="A4" s="46" t="s">
        <v>1440</v>
      </c>
    </row>
    <row r="5" spans="1:8">
      <c r="A5" s="383" t="s">
        <v>6</v>
      </c>
      <c r="B5" s="383" t="s">
        <v>130</v>
      </c>
      <c r="C5" s="383" t="s">
        <v>1438</v>
      </c>
      <c r="D5" s="383" t="s">
        <v>205</v>
      </c>
      <c r="E5" s="383" t="s">
        <v>43</v>
      </c>
      <c r="F5" s="383" t="s">
        <v>101</v>
      </c>
      <c r="G5" s="383" t="s">
        <v>80</v>
      </c>
      <c r="H5" s="383" t="s">
        <v>0</v>
      </c>
    </row>
    <row r="6" spans="1:8">
      <c r="A6" s="383" t="s">
        <v>4</v>
      </c>
      <c r="B6" s="383">
        <v>1731440272</v>
      </c>
      <c r="C6" s="383">
        <v>31323000</v>
      </c>
      <c r="D6" s="383">
        <v>1993231780</v>
      </c>
      <c r="E6" s="383">
        <v>517014600</v>
      </c>
      <c r="F6" s="383">
        <v>348912240</v>
      </c>
      <c r="G6" s="383">
        <v>4000000</v>
      </c>
      <c r="H6" s="383">
        <f>SUM(B6:G6)</f>
        <v>4625921892</v>
      </c>
    </row>
    <row r="7" spans="1:8">
      <c r="A7" s="383" t="s">
        <v>183</v>
      </c>
      <c r="B7" s="383"/>
      <c r="C7" s="383"/>
      <c r="D7" s="383"/>
      <c r="E7" s="383"/>
      <c r="F7" s="383"/>
      <c r="G7" s="383"/>
      <c r="H7" s="383"/>
    </row>
    <row r="8" spans="1:8">
      <c r="A8" s="383" t="s">
        <v>3</v>
      </c>
      <c r="B8" s="383">
        <v>581180000</v>
      </c>
      <c r="C8" s="383">
        <v>1374000</v>
      </c>
      <c r="D8" s="46">
        <v>60000000</v>
      </c>
      <c r="E8" s="383"/>
      <c r="F8" s="383">
        <v>85457280</v>
      </c>
      <c r="G8" s="383"/>
      <c r="H8" s="383">
        <f t="shared" ref="H8:H10" si="0">SUM(B8:G8)</f>
        <v>728011280</v>
      </c>
    </row>
    <row r="9" spans="1:8">
      <c r="A9" s="383" t="s">
        <v>2</v>
      </c>
      <c r="B9" s="383"/>
      <c r="C9" s="383"/>
      <c r="D9" s="383"/>
      <c r="E9" s="383">
        <v>1197985400</v>
      </c>
      <c r="F9" s="383">
        <v>13000000</v>
      </c>
      <c r="G9" s="383">
        <v>682200000</v>
      </c>
      <c r="H9" s="383">
        <f t="shared" si="0"/>
        <v>1893185400</v>
      </c>
    </row>
    <row r="10" spans="1:8">
      <c r="A10" s="383" t="s">
        <v>0</v>
      </c>
      <c r="B10" s="383">
        <v>2312620272</v>
      </c>
      <c r="C10" s="383">
        <v>32697000</v>
      </c>
      <c r="D10" s="383">
        <v>2053231780</v>
      </c>
      <c r="E10" s="383">
        <v>1715000000</v>
      </c>
      <c r="F10" s="383">
        <v>447369520</v>
      </c>
      <c r="G10" s="383">
        <v>686200000</v>
      </c>
      <c r="H10" s="383">
        <f t="shared" si="0"/>
        <v>7247118572</v>
      </c>
    </row>
    <row r="12" spans="1:8">
      <c r="A12" s="46" t="s">
        <v>48</v>
      </c>
    </row>
    <row r="13" spans="1:8">
      <c r="A13" s="383" t="s">
        <v>6</v>
      </c>
      <c r="B13" s="383" t="s">
        <v>130</v>
      </c>
      <c r="C13" s="383" t="s">
        <v>1438</v>
      </c>
      <c r="D13" s="383" t="s">
        <v>205</v>
      </c>
      <c r="E13" s="383" t="s">
        <v>43</v>
      </c>
      <c r="F13" s="383" t="s">
        <v>101</v>
      </c>
      <c r="G13" s="383" t="s">
        <v>80</v>
      </c>
      <c r="H13" s="383" t="s">
        <v>0</v>
      </c>
    </row>
    <row r="14" spans="1:8">
      <c r="A14" s="383" t="s">
        <v>4</v>
      </c>
      <c r="B14" s="383">
        <v>7470000</v>
      </c>
      <c r="C14" s="383"/>
      <c r="D14" s="383">
        <v>90000000</v>
      </c>
      <c r="E14" s="383">
        <v>0</v>
      </c>
      <c r="F14" s="383">
        <v>32600000</v>
      </c>
      <c r="G14" s="383"/>
      <c r="H14" s="383">
        <f>SUM(B14:G14)</f>
        <v>130070000</v>
      </c>
    </row>
    <row r="15" spans="1:8">
      <c r="A15" s="383" t="s">
        <v>183</v>
      </c>
      <c r="B15" s="383">
        <v>0</v>
      </c>
      <c r="C15" s="383"/>
      <c r="D15" s="383"/>
      <c r="E15" s="383">
        <v>0</v>
      </c>
      <c r="F15" s="383">
        <v>0</v>
      </c>
      <c r="G15" s="383"/>
      <c r="H15" s="383">
        <f t="shared" ref="H15:H17" si="1">SUM(B15:G15)</f>
        <v>0</v>
      </c>
    </row>
    <row r="16" spans="1:8">
      <c r="A16" s="383" t="s">
        <v>3</v>
      </c>
      <c r="B16" s="383">
        <v>92530000</v>
      </c>
      <c r="C16" s="383"/>
      <c r="D16" s="383">
        <v>60000000</v>
      </c>
      <c r="E16" s="383">
        <v>0</v>
      </c>
      <c r="F16" s="383">
        <v>4400000</v>
      </c>
      <c r="G16" s="383"/>
      <c r="H16" s="383">
        <f t="shared" si="1"/>
        <v>156930000</v>
      </c>
    </row>
    <row r="17" spans="1:8">
      <c r="A17" s="383" t="s">
        <v>2</v>
      </c>
      <c r="B17" s="383">
        <v>0</v>
      </c>
      <c r="C17" s="383"/>
      <c r="D17" s="383"/>
      <c r="E17" s="383">
        <v>85118572</v>
      </c>
      <c r="F17" s="383">
        <v>13000000</v>
      </c>
      <c r="G17" s="383"/>
      <c r="H17" s="383">
        <f t="shared" si="1"/>
        <v>98118572</v>
      </c>
    </row>
    <row r="18" spans="1:8">
      <c r="A18" s="383" t="s">
        <v>0</v>
      </c>
      <c r="B18" s="383">
        <f>SUM(B14:B17)</f>
        <v>100000000</v>
      </c>
      <c r="C18" s="383">
        <f t="shared" ref="C18:G18" si="2">SUM(C14:C17)</f>
        <v>0</v>
      </c>
      <c r="D18" s="383">
        <f t="shared" si="2"/>
        <v>150000000</v>
      </c>
      <c r="E18" s="383">
        <f t="shared" si="2"/>
        <v>85118572</v>
      </c>
      <c r="F18" s="383">
        <f t="shared" si="2"/>
        <v>50000000</v>
      </c>
      <c r="G18" s="383">
        <f t="shared" si="2"/>
        <v>0</v>
      </c>
      <c r="H18" s="383">
        <f>SUM(B18:G18)</f>
        <v>385118572</v>
      </c>
    </row>
    <row r="20" spans="1:8">
      <c r="A20" s="46" t="s">
        <v>63</v>
      </c>
    </row>
    <row r="21" spans="1:8">
      <c r="A21" s="383" t="s">
        <v>6</v>
      </c>
      <c r="B21" s="383" t="s">
        <v>130</v>
      </c>
      <c r="C21" s="383" t="s">
        <v>1438</v>
      </c>
      <c r="D21" s="383" t="s">
        <v>205</v>
      </c>
      <c r="E21" s="383" t="s">
        <v>43</v>
      </c>
      <c r="F21" s="383" t="s">
        <v>101</v>
      </c>
      <c r="G21" s="383" t="s">
        <v>80</v>
      </c>
      <c r="H21" s="383" t="s">
        <v>0</v>
      </c>
    </row>
    <row r="22" spans="1:8">
      <c r="A22" s="383" t="s">
        <v>4</v>
      </c>
      <c r="B22" s="383">
        <f>B6-B14</f>
        <v>1723970272</v>
      </c>
      <c r="C22" s="383">
        <f t="shared" ref="C22:G22" si="3">C6-C14</f>
        <v>31323000</v>
      </c>
      <c r="D22" s="383">
        <f>D6-D14</f>
        <v>1903231780</v>
      </c>
      <c r="E22" s="383">
        <f t="shared" si="3"/>
        <v>517014600</v>
      </c>
      <c r="F22" s="383">
        <f t="shared" si="3"/>
        <v>316312240</v>
      </c>
      <c r="G22" s="383">
        <f t="shared" si="3"/>
        <v>4000000</v>
      </c>
      <c r="H22" s="383">
        <f>H6-H14</f>
        <v>4495851892</v>
      </c>
    </row>
    <row r="23" spans="1:8">
      <c r="A23" s="383" t="s">
        <v>183</v>
      </c>
      <c r="B23" s="383">
        <f t="shared" ref="B23:G25" si="4">B7-B15</f>
        <v>0</v>
      </c>
      <c r="C23" s="383">
        <f t="shared" si="4"/>
        <v>0</v>
      </c>
      <c r="D23" s="383">
        <f t="shared" si="4"/>
        <v>0</v>
      </c>
      <c r="E23" s="383">
        <f t="shared" si="4"/>
        <v>0</v>
      </c>
      <c r="F23" s="383">
        <f t="shared" si="4"/>
        <v>0</v>
      </c>
      <c r="G23" s="383">
        <f t="shared" si="4"/>
        <v>0</v>
      </c>
      <c r="H23" s="383">
        <f t="shared" ref="H23" si="5">H7-H15</f>
        <v>0</v>
      </c>
    </row>
    <row r="24" spans="1:8">
      <c r="A24" s="383" t="s">
        <v>3</v>
      </c>
      <c r="B24" s="383">
        <f t="shared" si="4"/>
        <v>488650000</v>
      </c>
      <c r="C24" s="383">
        <f t="shared" si="4"/>
        <v>1374000</v>
      </c>
      <c r="D24" s="383">
        <f t="shared" ref="D24" si="6">D8-D16</f>
        <v>0</v>
      </c>
      <c r="E24" s="383">
        <f t="shared" si="4"/>
        <v>0</v>
      </c>
      <c r="F24" s="383">
        <f t="shared" si="4"/>
        <v>81057280</v>
      </c>
      <c r="G24" s="383">
        <f t="shared" si="4"/>
        <v>0</v>
      </c>
      <c r="H24" s="383">
        <f t="shared" ref="H24" si="7">H8-H16</f>
        <v>571081280</v>
      </c>
    </row>
    <row r="25" spans="1:8">
      <c r="A25" s="383" t="s">
        <v>2</v>
      </c>
      <c r="B25" s="383">
        <f t="shared" si="4"/>
        <v>0</v>
      </c>
      <c r="C25" s="383">
        <f t="shared" si="4"/>
        <v>0</v>
      </c>
      <c r="D25" s="383">
        <f t="shared" ref="D25" si="8">D9-D17</f>
        <v>0</v>
      </c>
      <c r="E25" s="383">
        <f t="shared" si="4"/>
        <v>1112866828</v>
      </c>
      <c r="F25" s="383">
        <f t="shared" si="4"/>
        <v>0</v>
      </c>
      <c r="G25" s="383">
        <f t="shared" si="4"/>
        <v>682200000</v>
      </c>
      <c r="H25" s="383">
        <f t="shared" ref="H25" si="9">H9-H17</f>
        <v>1795066828</v>
      </c>
    </row>
    <row r="26" spans="1:8">
      <c r="A26" s="383" t="s">
        <v>0</v>
      </c>
      <c r="B26" s="383">
        <f>SUM(B22:B25)</f>
        <v>2212620272</v>
      </c>
      <c r="C26" s="383">
        <f>C10-C18</f>
        <v>32697000</v>
      </c>
      <c r="D26" s="383">
        <f>D10-D18</f>
        <v>1903231780</v>
      </c>
      <c r="E26" s="383">
        <f t="shared" ref="E26:G26" si="10">E10-E18</f>
        <v>1629881428</v>
      </c>
      <c r="F26" s="383">
        <f t="shared" si="10"/>
        <v>397369520</v>
      </c>
      <c r="G26" s="383">
        <f t="shared" si="10"/>
        <v>686200000</v>
      </c>
      <c r="H26" s="383">
        <f>H10-H18</f>
        <v>6862000000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EEFF-A4DE-4802-A45C-4D99569210D1}">
  <dimension ref="A3:I9"/>
  <sheetViews>
    <sheetView workbookViewId="0">
      <selection activeCell="B17" sqref="B17"/>
    </sheetView>
  </sheetViews>
  <sheetFormatPr defaultRowHeight="16.5"/>
  <cols>
    <col min="1" max="1" width="15.25" bestFit="1" customWidth="1"/>
    <col min="2" max="2" width="28" style="1" bestFit="1" customWidth="1"/>
    <col min="3" max="3" width="19.625" style="1" bestFit="1" customWidth="1"/>
    <col min="4" max="4" width="21.75" style="1" bestFit="1" customWidth="1"/>
    <col min="5" max="5" width="28" style="1" bestFit="1" customWidth="1"/>
    <col min="6" max="6" width="16.625" style="1" bestFit="1" customWidth="1"/>
    <col min="7" max="7" width="14.875" style="1" bestFit="1" customWidth="1"/>
    <col min="8" max="8" width="11.375" style="1" bestFit="1" customWidth="1"/>
    <col min="9" max="9" width="16.625" style="1" bestFit="1" customWidth="1"/>
  </cols>
  <sheetData>
    <row r="3" spans="1:9">
      <c r="A3" s="3" t="s">
        <v>5</v>
      </c>
      <c r="B3" s="384" t="s">
        <v>1439</v>
      </c>
    </row>
    <row r="4" spans="1:9">
      <c r="A4" s="3" t="s">
        <v>6</v>
      </c>
      <c r="B4" s="1" t="s">
        <v>130</v>
      </c>
      <c r="C4" s="1" t="s">
        <v>205</v>
      </c>
      <c r="D4" s="1" t="s">
        <v>80</v>
      </c>
      <c r="E4" s="1" t="s">
        <v>1438</v>
      </c>
      <c r="F4" s="1" t="s">
        <v>43</v>
      </c>
      <c r="G4" s="1" t="s">
        <v>101</v>
      </c>
      <c r="H4" s="1" t="s">
        <v>1</v>
      </c>
      <c r="I4" s="1" t="s">
        <v>0</v>
      </c>
    </row>
    <row r="5" spans="1:9">
      <c r="A5" s="2" t="s">
        <v>4</v>
      </c>
      <c r="B5" s="1">
        <v>1731440272</v>
      </c>
      <c r="C5" s="1">
        <v>1993231780</v>
      </c>
      <c r="D5" s="1">
        <v>4000000</v>
      </c>
      <c r="E5" s="1">
        <v>31323000</v>
      </c>
      <c r="F5" s="1">
        <v>517014600</v>
      </c>
      <c r="G5" s="1">
        <v>348912240</v>
      </c>
      <c r="H5" s="1">
        <v>0</v>
      </c>
      <c r="I5" s="1">
        <v>4625921892</v>
      </c>
    </row>
    <row r="6" spans="1:9">
      <c r="A6" s="2" t="s">
        <v>3</v>
      </c>
      <c r="B6" s="1">
        <v>581180000</v>
      </c>
      <c r="C6" s="1">
        <v>60000000</v>
      </c>
      <c r="E6" s="1">
        <v>1374000</v>
      </c>
      <c r="G6" s="1">
        <v>85457280</v>
      </c>
      <c r="I6" s="1">
        <v>728011280</v>
      </c>
    </row>
    <row r="7" spans="1:9">
      <c r="A7" s="2" t="s">
        <v>2</v>
      </c>
      <c r="D7" s="1">
        <v>682200000</v>
      </c>
      <c r="F7" s="1">
        <v>1197985400</v>
      </c>
      <c r="G7" s="1">
        <v>13000000</v>
      </c>
      <c r="I7" s="1">
        <v>1893185400</v>
      </c>
    </row>
    <row r="8" spans="1:9">
      <c r="A8" s="2" t="s">
        <v>1</v>
      </c>
    </row>
    <row r="9" spans="1:9">
      <c r="A9" s="2" t="s">
        <v>0</v>
      </c>
      <c r="B9" s="1">
        <v>2312620272</v>
      </c>
      <c r="C9" s="1">
        <v>2053231780</v>
      </c>
      <c r="D9" s="1">
        <v>686200000</v>
      </c>
      <c r="E9" s="1">
        <v>32697000</v>
      </c>
      <c r="F9" s="1">
        <v>1715000000</v>
      </c>
      <c r="G9" s="1">
        <v>447369520</v>
      </c>
      <c r="H9" s="1">
        <v>0</v>
      </c>
      <c r="I9" s="1">
        <v>7247118572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320F-5FFF-403E-A2AF-EE65E1490F0B}">
  <sheetPr>
    <tabColor theme="7"/>
    <pageSetUpPr fitToPage="1"/>
  </sheetPr>
  <dimension ref="A1:AC529"/>
  <sheetViews>
    <sheetView topLeftCell="A295" zoomScale="70" zoomScaleNormal="70" workbookViewId="0">
      <selection activeCell="K24" sqref="K24"/>
    </sheetView>
  </sheetViews>
  <sheetFormatPr defaultColWidth="9" defaultRowHeight="17.25" customHeight="1"/>
  <cols>
    <col min="1" max="1" width="2.125" style="4" customWidth="1"/>
    <col min="2" max="2" width="8.25" style="6" customWidth="1"/>
    <col min="3" max="3" width="15.5" style="4" customWidth="1"/>
    <col min="4" max="4" width="9.375" style="6" bestFit="1" customWidth="1"/>
    <col min="5" max="5" width="34.5" style="10" customWidth="1"/>
    <col min="6" max="6" width="34.125" style="4" customWidth="1"/>
    <col min="7" max="7" width="32.25" style="6" customWidth="1"/>
    <col min="8" max="8" width="34.125" style="4" customWidth="1"/>
    <col min="9" max="9" width="69.75" style="4" customWidth="1"/>
    <col min="10" max="10" width="24.875" style="6" customWidth="1"/>
    <col min="11" max="11" width="18.875" style="6" customWidth="1"/>
    <col min="12" max="12" width="11.5" style="6" customWidth="1"/>
    <col min="13" max="13" width="15.625" style="6" customWidth="1"/>
    <col min="14" max="14" width="11.75" style="6" customWidth="1"/>
    <col min="15" max="15" width="15.375" style="9" hidden="1" customWidth="1"/>
    <col min="16" max="16" width="13.75" style="9" hidden="1" customWidth="1"/>
    <col min="17" max="17" width="11.875" style="9" hidden="1" customWidth="1"/>
    <col min="18" max="18" width="17.5" style="9" customWidth="1"/>
    <col min="19" max="19" width="22.625" style="8" hidden="1" customWidth="1"/>
    <col min="20" max="20" width="14.375" style="5" bestFit="1" customWidth="1"/>
    <col min="21" max="21" width="8" style="4" customWidth="1"/>
    <col min="22" max="22" width="9" style="7"/>
    <col min="23" max="23" width="25.75" style="5" customWidth="1"/>
    <col min="24" max="24" width="15.875" style="6" customWidth="1"/>
    <col min="25" max="25" width="19.75" style="5" customWidth="1"/>
    <col min="26" max="26" width="20.125" style="4" customWidth="1"/>
    <col min="27" max="27" width="9" style="4"/>
    <col min="28" max="28" width="13.125" style="4" customWidth="1"/>
    <col min="29" max="29" width="10.25" style="5" bestFit="1" customWidth="1"/>
    <col min="30" max="16384" width="9" style="4"/>
  </cols>
  <sheetData>
    <row r="1" spans="1:29" ht="17.25" customHeight="1">
      <c r="B1" s="244" t="s">
        <v>1063</v>
      </c>
      <c r="C1" s="242"/>
      <c r="D1" s="241"/>
      <c r="E1" s="243"/>
      <c r="F1" s="242"/>
      <c r="G1" s="241"/>
      <c r="H1" s="242"/>
      <c r="I1" s="242"/>
      <c r="J1" s="241"/>
      <c r="K1" s="241"/>
      <c r="L1" s="241"/>
      <c r="M1" s="241"/>
      <c r="N1" s="241"/>
      <c r="O1" s="240"/>
      <c r="P1" s="240" t="s">
        <v>1062</v>
      </c>
      <c r="Q1" s="240" t="s">
        <v>1061</v>
      </c>
      <c r="R1" s="237">
        <f>SUBTOTAL(9,R3:R475)</f>
        <v>7337118572</v>
      </c>
      <c r="S1" s="238"/>
      <c r="T1" s="237">
        <f>SUBTOTAL(9,T31:T6888)</f>
        <v>5721257160</v>
      </c>
      <c r="V1" s="7">
        <f>T1/R1</f>
        <v>0.77976893842680017</v>
      </c>
      <c r="W1" s="5">
        <v>7247118572</v>
      </c>
      <c r="X1" s="225" t="s">
        <v>63</v>
      </c>
      <c r="Y1" s="224">
        <v>6862000000</v>
      </c>
      <c r="Z1" s="49">
        <f>R1-T1</f>
        <v>1615861412</v>
      </c>
    </row>
    <row r="2" spans="1:29" ht="17.25" customHeight="1">
      <c r="A2" s="4" t="s">
        <v>1060</v>
      </c>
      <c r="B2" s="235" t="s">
        <v>1059</v>
      </c>
      <c r="C2" s="235" t="s">
        <v>1058</v>
      </c>
      <c r="D2" s="234" t="s">
        <v>1057</v>
      </c>
      <c r="E2" s="235" t="s">
        <v>1055</v>
      </c>
      <c r="F2" s="236" t="s">
        <v>1054</v>
      </c>
      <c r="G2" s="235" t="s">
        <v>1053</v>
      </c>
      <c r="H2" s="235" t="s">
        <v>1052</v>
      </c>
      <c r="I2" s="235" t="s">
        <v>1051</v>
      </c>
      <c r="J2" s="235" t="s">
        <v>1050</v>
      </c>
      <c r="K2" s="235" t="s">
        <v>1049</v>
      </c>
      <c r="L2" s="234" t="s">
        <v>1048</v>
      </c>
      <c r="M2" s="233" t="s">
        <v>1047</v>
      </c>
      <c r="N2" s="232" t="s">
        <v>1046</v>
      </c>
      <c r="O2" s="231" t="s">
        <v>1045</v>
      </c>
      <c r="P2" s="231" t="s">
        <v>1045</v>
      </c>
      <c r="Q2" s="231" t="s">
        <v>1045</v>
      </c>
      <c r="R2" s="231" t="s">
        <v>1044</v>
      </c>
      <c r="S2" s="229"/>
      <c r="T2" s="228" t="s">
        <v>1043</v>
      </c>
      <c r="U2" s="227" t="s">
        <v>1042</v>
      </c>
      <c r="V2" s="226" t="s">
        <v>1041</v>
      </c>
      <c r="W2" s="5">
        <f>W1-R1</f>
        <v>-90000000</v>
      </c>
      <c r="X2" s="225" t="s">
        <v>48</v>
      </c>
      <c r="Y2" s="224">
        <v>385118572</v>
      </c>
    </row>
    <row r="3" spans="1:29" s="59" customFormat="1" ht="17.25" customHeight="1">
      <c r="A3" s="59" t="s">
        <v>257</v>
      </c>
      <c r="B3" s="72" t="s">
        <v>905</v>
      </c>
      <c r="C3" s="155" t="s">
        <v>904</v>
      </c>
      <c r="D3" s="58" t="str">
        <f>VLOOKUP(C3,코드!$E$3:$F$30,2,FALSE)</f>
        <v>8634</v>
      </c>
      <c r="E3" s="65" t="s">
        <v>995</v>
      </c>
      <c r="F3" s="65" t="s">
        <v>1031</v>
      </c>
      <c r="G3" s="66" t="s">
        <v>1037</v>
      </c>
      <c r="H3" s="65" t="s">
        <v>1039</v>
      </c>
      <c r="I3" s="65" t="s">
        <v>1040</v>
      </c>
      <c r="J3" s="72" t="s">
        <v>130</v>
      </c>
      <c r="K3" s="72" t="s">
        <v>17</v>
      </c>
      <c r="L3" s="58">
        <f>VLOOKUP(K3,코드!$B$3:$C$29,2,FALSE)</f>
        <v>4241130</v>
      </c>
      <c r="M3" s="72" t="s">
        <v>129</v>
      </c>
      <c r="N3" s="72" t="s">
        <v>990</v>
      </c>
      <c r="O3" s="75">
        <v>30000</v>
      </c>
      <c r="P3" s="75">
        <v>20</v>
      </c>
      <c r="Q3" s="75">
        <v>2</v>
      </c>
      <c r="R3" s="75">
        <f t="shared" ref="R3:R17" si="0">O3*P3*Q3</f>
        <v>1200000</v>
      </c>
      <c r="S3" s="75"/>
      <c r="T3" s="78">
        <v>1200000</v>
      </c>
      <c r="U3" s="71" t="s">
        <v>316</v>
      </c>
      <c r="V3" s="60">
        <f t="shared" ref="V3:V17" si="1">T3/R3</f>
        <v>1</v>
      </c>
      <c r="W3" s="46"/>
      <c r="X3" s="25"/>
      <c r="Y3" s="26">
        <f>SUM(Y1:Y2)</f>
        <v>7247118572</v>
      </c>
      <c r="AC3" s="46"/>
    </row>
    <row r="4" spans="1:29" s="59" customFormat="1" ht="17.25" customHeight="1">
      <c r="A4" s="59" t="s">
        <v>257</v>
      </c>
      <c r="B4" s="72" t="s">
        <v>905</v>
      </c>
      <c r="C4" s="155" t="s">
        <v>904</v>
      </c>
      <c r="D4" s="58" t="str">
        <f>VLOOKUP(C4,코드!$E$3:$F$30,2,FALSE)</f>
        <v>8634</v>
      </c>
      <c r="E4" s="65" t="s">
        <v>995</v>
      </c>
      <c r="F4" s="65" t="s">
        <v>1031</v>
      </c>
      <c r="G4" s="66" t="s">
        <v>1037</v>
      </c>
      <c r="H4" s="65" t="s">
        <v>1039</v>
      </c>
      <c r="I4" s="65" t="s">
        <v>1038</v>
      </c>
      <c r="J4" s="72" t="s">
        <v>130</v>
      </c>
      <c r="K4" s="72" t="s">
        <v>11</v>
      </c>
      <c r="L4" s="58">
        <f>VLOOKUP(K4,코드!$B$3:$C$29,2,FALSE)</f>
        <v>4113401</v>
      </c>
      <c r="M4" s="72" t="s">
        <v>682</v>
      </c>
      <c r="N4" s="72" t="s">
        <v>990</v>
      </c>
      <c r="O4" s="75">
        <v>3000000</v>
      </c>
      <c r="P4" s="75">
        <v>4</v>
      </c>
      <c r="Q4" s="75">
        <v>1</v>
      </c>
      <c r="R4" s="75">
        <f t="shared" si="0"/>
        <v>12000000</v>
      </c>
      <c r="S4" s="75"/>
      <c r="T4" s="78">
        <v>12000000</v>
      </c>
      <c r="U4" s="71" t="s">
        <v>316</v>
      </c>
      <c r="V4" s="60">
        <f t="shared" si="1"/>
        <v>1</v>
      </c>
      <c r="W4" s="46"/>
      <c r="X4" s="74"/>
      <c r="Y4" s="223">
        <f>T1</f>
        <v>5721257160</v>
      </c>
      <c r="AC4" s="46"/>
    </row>
    <row r="5" spans="1:29" s="59" customFormat="1" ht="17.25" customHeight="1">
      <c r="A5" s="59" t="s">
        <v>257</v>
      </c>
      <c r="B5" s="72" t="s">
        <v>905</v>
      </c>
      <c r="C5" s="155" t="s">
        <v>904</v>
      </c>
      <c r="D5" s="58" t="str">
        <f>VLOOKUP(C5,코드!$E$3:$F$30,2,FALSE)</f>
        <v>8634</v>
      </c>
      <c r="E5" s="65" t="s">
        <v>995</v>
      </c>
      <c r="F5" s="65" t="s">
        <v>1031</v>
      </c>
      <c r="G5" s="66" t="s">
        <v>1037</v>
      </c>
      <c r="H5" s="65" t="s">
        <v>1036</v>
      </c>
      <c r="I5" s="65" t="s">
        <v>1035</v>
      </c>
      <c r="J5" s="72" t="s">
        <v>130</v>
      </c>
      <c r="K5" s="72" t="s">
        <v>17</v>
      </c>
      <c r="L5" s="58">
        <f>VLOOKUP(K5,코드!$B$3:$C$29,2,FALSE)</f>
        <v>4241130</v>
      </c>
      <c r="M5" s="72" t="s">
        <v>129</v>
      </c>
      <c r="N5" s="72" t="s">
        <v>990</v>
      </c>
      <c r="O5" s="75">
        <v>30000</v>
      </c>
      <c r="P5" s="75">
        <v>20</v>
      </c>
      <c r="Q5" s="75">
        <v>1</v>
      </c>
      <c r="R5" s="75">
        <f t="shared" si="0"/>
        <v>600000</v>
      </c>
      <c r="S5" s="75"/>
      <c r="T5" s="78">
        <v>600000</v>
      </c>
      <c r="U5" s="61" t="s">
        <v>127</v>
      </c>
      <c r="V5" s="60">
        <f t="shared" si="1"/>
        <v>1</v>
      </c>
      <c r="W5" s="46"/>
      <c r="X5" s="74"/>
      <c r="Y5" s="46">
        <f>R1-T1</f>
        <v>1615861412</v>
      </c>
      <c r="AC5" s="46"/>
    </row>
    <row r="6" spans="1:29" s="59" customFormat="1" ht="17.25" customHeight="1">
      <c r="A6" s="59" t="s">
        <v>257</v>
      </c>
      <c r="B6" s="72" t="s">
        <v>905</v>
      </c>
      <c r="C6" s="155" t="s">
        <v>904</v>
      </c>
      <c r="D6" s="58" t="str">
        <f>VLOOKUP(C6,코드!$E$3:$F$30,2,FALSE)</f>
        <v>8634</v>
      </c>
      <c r="E6" s="65" t="s">
        <v>995</v>
      </c>
      <c r="F6" s="65" t="s">
        <v>1031</v>
      </c>
      <c r="G6" s="66" t="s">
        <v>1034</v>
      </c>
      <c r="H6" s="65" t="s">
        <v>1033</v>
      </c>
      <c r="I6" s="65" t="s">
        <v>1032</v>
      </c>
      <c r="J6" s="72" t="s">
        <v>130</v>
      </c>
      <c r="K6" s="72" t="s">
        <v>17</v>
      </c>
      <c r="L6" s="58">
        <f>VLOOKUP(K6,코드!$B$3:$C$29,2,FALSE)</f>
        <v>4241130</v>
      </c>
      <c r="M6" s="72" t="s">
        <v>129</v>
      </c>
      <c r="N6" s="72" t="s">
        <v>990</v>
      </c>
      <c r="O6" s="75">
        <v>30000</v>
      </c>
      <c r="P6" s="75">
        <v>20</v>
      </c>
      <c r="Q6" s="75">
        <v>1</v>
      </c>
      <c r="R6" s="75">
        <f t="shared" si="0"/>
        <v>600000</v>
      </c>
      <c r="S6" s="75"/>
      <c r="T6" s="78">
        <v>0</v>
      </c>
      <c r="U6" s="71"/>
      <c r="V6" s="60">
        <f t="shared" si="1"/>
        <v>0</v>
      </c>
      <c r="W6" s="46"/>
      <c r="X6" s="74"/>
      <c r="Y6" s="46"/>
      <c r="AC6" s="46"/>
    </row>
    <row r="7" spans="1:29" s="59" customFormat="1" ht="17.25" customHeight="1">
      <c r="A7" s="59" t="s">
        <v>257</v>
      </c>
      <c r="B7" s="72" t="s">
        <v>905</v>
      </c>
      <c r="C7" s="155" t="s">
        <v>904</v>
      </c>
      <c r="D7" s="58" t="str">
        <f>VLOOKUP(C7,코드!$E$3:$F$30,2,FALSE)</f>
        <v>8634</v>
      </c>
      <c r="E7" s="65" t="s">
        <v>995</v>
      </c>
      <c r="F7" s="65" t="s">
        <v>1031</v>
      </c>
      <c r="G7" s="66" t="s">
        <v>1030</v>
      </c>
      <c r="H7" s="65" t="s">
        <v>1029</v>
      </c>
      <c r="I7" s="65" t="s">
        <v>1028</v>
      </c>
      <c r="J7" s="72" t="s">
        <v>130</v>
      </c>
      <c r="K7" s="72" t="s">
        <v>17</v>
      </c>
      <c r="L7" s="58">
        <f>VLOOKUP(K7,코드!$B$3:$C$29,2,FALSE)</f>
        <v>4241130</v>
      </c>
      <c r="M7" s="72" t="s">
        <v>129</v>
      </c>
      <c r="N7" s="72" t="s">
        <v>990</v>
      </c>
      <c r="O7" s="75">
        <v>30000</v>
      </c>
      <c r="P7" s="75">
        <v>30</v>
      </c>
      <c r="Q7" s="75">
        <v>1</v>
      </c>
      <c r="R7" s="75">
        <f t="shared" si="0"/>
        <v>900000</v>
      </c>
      <c r="S7" s="75"/>
      <c r="T7" s="78">
        <v>900000</v>
      </c>
      <c r="U7" s="71" t="s">
        <v>316</v>
      </c>
      <c r="V7" s="60">
        <f t="shared" si="1"/>
        <v>1</v>
      </c>
      <c r="W7" s="46"/>
      <c r="X7" s="74"/>
      <c r="Y7" s="46"/>
      <c r="AC7" s="46"/>
    </row>
    <row r="8" spans="1:29" s="59" customFormat="1" ht="17.25" customHeight="1">
      <c r="A8" s="59" t="s">
        <v>257</v>
      </c>
      <c r="B8" s="72" t="s">
        <v>905</v>
      </c>
      <c r="C8" s="155" t="s">
        <v>904</v>
      </c>
      <c r="D8" s="58" t="str">
        <f>VLOOKUP(C8,코드!$E$3:$F$30,2,FALSE)</f>
        <v>8634</v>
      </c>
      <c r="E8" s="65" t="s">
        <v>995</v>
      </c>
      <c r="F8" s="65" t="s">
        <v>1014</v>
      </c>
      <c r="G8" s="66" t="s">
        <v>1013</v>
      </c>
      <c r="H8" s="65" t="s">
        <v>1026</v>
      </c>
      <c r="I8" s="65" t="s">
        <v>1025</v>
      </c>
      <c r="J8" s="72" t="s">
        <v>130</v>
      </c>
      <c r="K8" s="72" t="s">
        <v>17</v>
      </c>
      <c r="L8" s="58">
        <f>VLOOKUP(K8,코드!$B$3:$C$29,2,FALSE)</f>
        <v>4241130</v>
      </c>
      <c r="M8" s="72" t="s">
        <v>129</v>
      </c>
      <c r="N8" s="72" t="s">
        <v>990</v>
      </c>
      <c r="O8" s="75">
        <v>30000</v>
      </c>
      <c r="P8" s="75">
        <v>20</v>
      </c>
      <c r="Q8" s="75">
        <v>1</v>
      </c>
      <c r="R8" s="75">
        <f t="shared" si="0"/>
        <v>600000</v>
      </c>
      <c r="S8" s="75"/>
      <c r="T8" s="78">
        <v>600000</v>
      </c>
      <c r="U8" s="71" t="s">
        <v>316</v>
      </c>
      <c r="V8" s="60">
        <f t="shared" si="1"/>
        <v>1</v>
      </c>
      <c r="W8" s="46"/>
      <c r="X8" s="74"/>
      <c r="Y8" s="46"/>
      <c r="AC8" s="46"/>
    </row>
    <row r="9" spans="1:29" ht="17.25" customHeight="1">
      <c r="A9" s="59" t="s">
        <v>257</v>
      </c>
      <c r="B9" s="72" t="s">
        <v>905</v>
      </c>
      <c r="C9" s="155" t="s">
        <v>904</v>
      </c>
      <c r="D9" s="58" t="str">
        <f>VLOOKUP(C9,코드!$E$3:$F$30,2,FALSE)</f>
        <v>8634</v>
      </c>
      <c r="E9" s="65" t="s">
        <v>1023</v>
      </c>
      <c r="F9" s="65" t="s">
        <v>1014</v>
      </c>
      <c r="G9" s="66" t="s">
        <v>1013</v>
      </c>
      <c r="H9" s="65" t="s">
        <v>1022</v>
      </c>
      <c r="I9" s="65" t="s">
        <v>1021</v>
      </c>
      <c r="J9" s="72" t="s">
        <v>130</v>
      </c>
      <c r="K9" s="72" t="s">
        <v>17</v>
      </c>
      <c r="L9" s="58">
        <f>VLOOKUP(K9,코드!$B$3:$C$29,2,FALSE)</f>
        <v>4241130</v>
      </c>
      <c r="M9" s="72" t="s">
        <v>129</v>
      </c>
      <c r="N9" s="72" t="s">
        <v>990</v>
      </c>
      <c r="O9" s="75">
        <v>30000</v>
      </c>
      <c r="P9" s="75">
        <v>30</v>
      </c>
      <c r="Q9" s="75">
        <v>2</v>
      </c>
      <c r="R9" s="75">
        <f t="shared" si="0"/>
        <v>1800000</v>
      </c>
      <c r="S9" s="75"/>
      <c r="T9" s="78">
        <v>1800000</v>
      </c>
      <c r="U9" s="61" t="s">
        <v>127</v>
      </c>
      <c r="V9" s="60">
        <f t="shared" si="1"/>
        <v>1</v>
      </c>
      <c r="W9" s="46"/>
      <c r="X9" s="74"/>
      <c r="Y9" s="46"/>
      <c r="Z9" s="59"/>
      <c r="AA9" s="59"/>
      <c r="AB9" s="59"/>
      <c r="AC9" s="46"/>
    </row>
    <row r="10" spans="1:29" s="59" customFormat="1" ht="17.25" customHeight="1">
      <c r="A10" s="59" t="s">
        <v>257</v>
      </c>
      <c r="B10" s="72" t="s">
        <v>905</v>
      </c>
      <c r="C10" s="155" t="s">
        <v>904</v>
      </c>
      <c r="D10" s="58" t="str">
        <f>VLOOKUP(C10,코드!$E$3:$F$30,2,FALSE)</f>
        <v>8634</v>
      </c>
      <c r="E10" s="65" t="s">
        <v>995</v>
      </c>
      <c r="F10" s="65" t="s">
        <v>1014</v>
      </c>
      <c r="G10" s="66" t="s">
        <v>1013</v>
      </c>
      <c r="H10" s="65" t="s">
        <v>1012</v>
      </c>
      <c r="I10" s="65" t="s">
        <v>1011</v>
      </c>
      <c r="J10" s="72" t="s">
        <v>130</v>
      </c>
      <c r="K10" s="72" t="s">
        <v>17</v>
      </c>
      <c r="L10" s="58">
        <f>VLOOKUP(K10,코드!$B$3:$C$29,2,FALSE)</f>
        <v>4241130</v>
      </c>
      <c r="M10" s="72" t="s">
        <v>129</v>
      </c>
      <c r="N10" s="72" t="s">
        <v>990</v>
      </c>
      <c r="O10" s="75">
        <v>30000</v>
      </c>
      <c r="P10" s="75">
        <v>15</v>
      </c>
      <c r="Q10" s="75">
        <v>1</v>
      </c>
      <c r="R10" s="75">
        <f t="shared" si="0"/>
        <v>450000</v>
      </c>
      <c r="S10" s="75"/>
      <c r="T10" s="78">
        <v>450000</v>
      </c>
      <c r="U10" s="71" t="s">
        <v>316</v>
      </c>
      <c r="V10" s="60">
        <f t="shared" si="1"/>
        <v>1</v>
      </c>
      <c r="W10" s="46"/>
      <c r="X10" s="74"/>
      <c r="Y10" s="46"/>
      <c r="AC10" s="46"/>
    </row>
    <row r="11" spans="1:29" s="59" customFormat="1" ht="17.25" customHeight="1">
      <c r="A11" s="59" t="s">
        <v>257</v>
      </c>
      <c r="B11" s="72" t="s">
        <v>905</v>
      </c>
      <c r="C11" s="155" t="s">
        <v>904</v>
      </c>
      <c r="D11" s="58" t="str">
        <f>VLOOKUP(C11,코드!$E$3:$F$30,2,FALSE)</f>
        <v>8634</v>
      </c>
      <c r="E11" s="65" t="s">
        <v>995</v>
      </c>
      <c r="F11" s="65" t="s">
        <v>1014</v>
      </c>
      <c r="G11" s="66" t="s">
        <v>1018</v>
      </c>
      <c r="H11" s="65" t="s">
        <v>1017</v>
      </c>
      <c r="I11" s="65" t="s">
        <v>1016</v>
      </c>
      <c r="J11" s="72" t="s">
        <v>130</v>
      </c>
      <c r="K11" s="72" t="s">
        <v>17</v>
      </c>
      <c r="L11" s="58">
        <f>VLOOKUP(K11,코드!$B$3:$C$29,2,FALSE)</f>
        <v>4241130</v>
      </c>
      <c r="M11" s="72" t="s">
        <v>129</v>
      </c>
      <c r="N11" s="72" t="s">
        <v>990</v>
      </c>
      <c r="O11" s="75">
        <v>30000</v>
      </c>
      <c r="P11" s="75">
        <v>30</v>
      </c>
      <c r="Q11" s="75">
        <v>1</v>
      </c>
      <c r="R11" s="75">
        <f t="shared" si="0"/>
        <v>900000</v>
      </c>
      <c r="S11" s="75"/>
      <c r="T11" s="78">
        <v>900000</v>
      </c>
      <c r="U11" s="61" t="s">
        <v>127</v>
      </c>
      <c r="V11" s="60">
        <f t="shared" si="1"/>
        <v>1</v>
      </c>
      <c r="W11" s="46"/>
      <c r="X11" s="74"/>
      <c r="Y11" s="46"/>
      <c r="AC11" s="46"/>
    </row>
    <row r="12" spans="1:29" s="59" customFormat="1" ht="17.25" customHeight="1">
      <c r="A12" s="59" t="s">
        <v>257</v>
      </c>
      <c r="B12" s="72" t="s">
        <v>905</v>
      </c>
      <c r="C12" s="155" t="s">
        <v>904</v>
      </c>
      <c r="D12" s="58" t="str">
        <f>VLOOKUP(C12,코드!$E$3:$F$30,2,FALSE)</f>
        <v>8634</v>
      </c>
      <c r="E12" s="65" t="s">
        <v>995</v>
      </c>
      <c r="F12" s="65" t="s">
        <v>1014</v>
      </c>
      <c r="G12" s="66" t="s">
        <v>1013</v>
      </c>
      <c r="H12" s="65" t="s">
        <v>1012</v>
      </c>
      <c r="I12" s="65" t="s">
        <v>1011</v>
      </c>
      <c r="J12" s="72" t="s">
        <v>130</v>
      </c>
      <c r="K12" s="72" t="s">
        <v>11</v>
      </c>
      <c r="L12" s="58">
        <f>VLOOKUP(K12,코드!$B$3:$C$29,2,FALSE)</f>
        <v>4113401</v>
      </c>
      <c r="M12" s="72" t="s">
        <v>154</v>
      </c>
      <c r="N12" s="72" t="s">
        <v>990</v>
      </c>
      <c r="O12" s="75">
        <v>3000000</v>
      </c>
      <c r="P12" s="75">
        <v>2</v>
      </c>
      <c r="Q12" s="75">
        <v>1</v>
      </c>
      <c r="R12" s="75">
        <f t="shared" si="0"/>
        <v>6000000</v>
      </c>
      <c r="S12" s="75"/>
      <c r="T12" s="78">
        <v>6000000</v>
      </c>
      <c r="U12" s="71" t="s">
        <v>316</v>
      </c>
      <c r="V12" s="60">
        <f t="shared" si="1"/>
        <v>1</v>
      </c>
      <c r="W12" s="46"/>
      <c r="X12" s="74"/>
      <c r="Y12" s="46"/>
      <c r="AC12" s="46"/>
    </row>
    <row r="13" spans="1:29" s="59" customFormat="1" ht="17.25" customHeight="1">
      <c r="A13" s="59" t="s">
        <v>257</v>
      </c>
      <c r="B13" s="72" t="s">
        <v>905</v>
      </c>
      <c r="C13" s="155" t="s">
        <v>904</v>
      </c>
      <c r="D13" s="58" t="str">
        <f>VLOOKUP(C13,코드!$E$3:$F$30,2,FALSE)</f>
        <v>8634</v>
      </c>
      <c r="E13" s="65" t="s">
        <v>995</v>
      </c>
      <c r="F13" s="65" t="s">
        <v>994</v>
      </c>
      <c r="G13" s="66" t="s">
        <v>1009</v>
      </c>
      <c r="H13" s="65" t="s">
        <v>1008</v>
      </c>
      <c r="I13" s="65" t="s">
        <v>1007</v>
      </c>
      <c r="J13" s="72" t="s">
        <v>130</v>
      </c>
      <c r="K13" s="72" t="s">
        <v>17</v>
      </c>
      <c r="L13" s="58">
        <f>VLOOKUP(K13,코드!$B$3:$C$29,2,FALSE)</f>
        <v>4241130</v>
      </c>
      <c r="M13" s="72" t="s">
        <v>129</v>
      </c>
      <c r="N13" s="72" t="s">
        <v>990</v>
      </c>
      <c r="O13" s="75">
        <v>30000</v>
      </c>
      <c r="P13" s="75">
        <v>30</v>
      </c>
      <c r="Q13" s="75">
        <v>1</v>
      </c>
      <c r="R13" s="75">
        <f t="shared" si="0"/>
        <v>900000</v>
      </c>
      <c r="S13" s="75"/>
      <c r="T13" s="78">
        <v>900000</v>
      </c>
      <c r="U13" s="61" t="s">
        <v>127</v>
      </c>
      <c r="V13" s="60">
        <f t="shared" si="1"/>
        <v>1</v>
      </c>
      <c r="W13" s="46"/>
      <c r="X13" s="74"/>
      <c r="Y13" s="46"/>
      <c r="AC13" s="46"/>
    </row>
    <row r="14" spans="1:29" s="59" customFormat="1" ht="17.25" customHeight="1">
      <c r="A14" s="59" t="s">
        <v>257</v>
      </c>
      <c r="B14" s="72" t="s">
        <v>905</v>
      </c>
      <c r="C14" s="155" t="s">
        <v>904</v>
      </c>
      <c r="D14" s="58" t="str">
        <f>VLOOKUP(C14,코드!$E$3:$F$30,2,FALSE)</f>
        <v>8634</v>
      </c>
      <c r="E14" s="65" t="s">
        <v>995</v>
      </c>
      <c r="F14" s="65" t="s">
        <v>994</v>
      </c>
      <c r="G14" s="66" t="s">
        <v>1005</v>
      </c>
      <c r="H14" s="65" t="s">
        <v>1004</v>
      </c>
      <c r="I14" s="65" t="s">
        <v>1003</v>
      </c>
      <c r="J14" s="72" t="s">
        <v>130</v>
      </c>
      <c r="K14" s="72" t="s">
        <v>17</v>
      </c>
      <c r="L14" s="58">
        <f>VLOOKUP(K14,코드!$B$3:$C$29,2,FALSE)</f>
        <v>4241130</v>
      </c>
      <c r="M14" s="72" t="s">
        <v>129</v>
      </c>
      <c r="N14" s="72" t="s">
        <v>990</v>
      </c>
      <c r="O14" s="75">
        <v>30000</v>
      </c>
      <c r="P14" s="75">
        <v>30</v>
      </c>
      <c r="Q14" s="75">
        <v>1</v>
      </c>
      <c r="R14" s="75">
        <f t="shared" si="0"/>
        <v>900000</v>
      </c>
      <c r="S14" s="75"/>
      <c r="T14" s="78">
        <v>900000</v>
      </c>
      <c r="U14" s="61" t="s">
        <v>127</v>
      </c>
      <c r="V14" s="60">
        <f t="shared" si="1"/>
        <v>1</v>
      </c>
      <c r="W14" s="46"/>
      <c r="X14" s="74"/>
      <c r="Y14" s="46"/>
      <c r="AC14" s="46"/>
    </row>
    <row r="15" spans="1:29" s="59" customFormat="1" ht="17.25" customHeight="1">
      <c r="A15" s="59" t="s">
        <v>257</v>
      </c>
      <c r="B15" s="72" t="s">
        <v>905</v>
      </c>
      <c r="C15" s="155" t="s">
        <v>904</v>
      </c>
      <c r="D15" s="58" t="str">
        <f>VLOOKUP(C15,코드!$E$3:$F$30,2,FALSE)</f>
        <v>8634</v>
      </c>
      <c r="E15" s="65" t="s">
        <v>995</v>
      </c>
      <c r="F15" s="65" t="s">
        <v>994</v>
      </c>
      <c r="G15" s="66" t="s">
        <v>993</v>
      </c>
      <c r="H15" s="65" t="s">
        <v>1001</v>
      </c>
      <c r="I15" s="65" t="s">
        <v>1000</v>
      </c>
      <c r="J15" s="72" t="s">
        <v>130</v>
      </c>
      <c r="K15" s="72" t="s">
        <v>17</v>
      </c>
      <c r="L15" s="58">
        <f>VLOOKUP(K15,코드!$B$3:$C$29,2,FALSE)</f>
        <v>4241130</v>
      </c>
      <c r="M15" s="72" t="s">
        <v>129</v>
      </c>
      <c r="N15" s="72" t="s">
        <v>990</v>
      </c>
      <c r="O15" s="75">
        <v>30000</v>
      </c>
      <c r="P15" s="75">
        <v>30</v>
      </c>
      <c r="Q15" s="75">
        <v>1</v>
      </c>
      <c r="R15" s="75">
        <f t="shared" si="0"/>
        <v>900000</v>
      </c>
      <c r="S15" s="75"/>
      <c r="T15" s="78">
        <v>900000</v>
      </c>
      <c r="U15" s="61" t="s">
        <v>127</v>
      </c>
      <c r="V15" s="60">
        <f t="shared" si="1"/>
        <v>1</v>
      </c>
      <c r="W15" s="46"/>
      <c r="X15" s="74"/>
      <c r="Y15" s="46"/>
      <c r="AC15" s="46"/>
    </row>
    <row r="16" spans="1:29" s="59" customFormat="1" ht="17.25" customHeight="1">
      <c r="A16" s="59" t="s">
        <v>257</v>
      </c>
      <c r="B16" s="72" t="s">
        <v>905</v>
      </c>
      <c r="C16" s="155" t="s">
        <v>904</v>
      </c>
      <c r="D16" s="58" t="str">
        <f>VLOOKUP(C16,코드!$E$3:$F$30,2,FALSE)</f>
        <v>8634</v>
      </c>
      <c r="E16" s="65" t="s">
        <v>995</v>
      </c>
      <c r="F16" s="65" t="s">
        <v>994</v>
      </c>
      <c r="G16" s="66" t="s">
        <v>993</v>
      </c>
      <c r="H16" s="65" t="s">
        <v>998</v>
      </c>
      <c r="I16" s="65" t="s">
        <v>997</v>
      </c>
      <c r="J16" s="72" t="s">
        <v>130</v>
      </c>
      <c r="K16" s="72" t="s">
        <v>17</v>
      </c>
      <c r="L16" s="58">
        <f>VLOOKUP(K16,코드!$B$3:$C$29,2,FALSE)</f>
        <v>4241130</v>
      </c>
      <c r="M16" s="72" t="s">
        <v>129</v>
      </c>
      <c r="N16" s="72" t="s">
        <v>990</v>
      </c>
      <c r="O16" s="75">
        <v>30000</v>
      </c>
      <c r="P16" s="75">
        <v>15</v>
      </c>
      <c r="Q16" s="75">
        <v>2</v>
      </c>
      <c r="R16" s="75">
        <f t="shared" si="0"/>
        <v>900000</v>
      </c>
      <c r="S16" s="75"/>
      <c r="T16" s="78">
        <v>900000</v>
      </c>
      <c r="U16" s="61" t="s">
        <v>127</v>
      </c>
      <c r="V16" s="60">
        <f t="shared" si="1"/>
        <v>1</v>
      </c>
      <c r="W16" s="46"/>
      <c r="X16" s="74"/>
      <c r="Y16" s="46"/>
      <c r="AC16" s="46"/>
    </row>
    <row r="17" spans="1:29" s="59" customFormat="1" ht="17.25" customHeight="1">
      <c r="A17" s="59" t="s">
        <v>257</v>
      </c>
      <c r="B17" s="72" t="s">
        <v>905</v>
      </c>
      <c r="C17" s="155" t="s">
        <v>904</v>
      </c>
      <c r="D17" s="58" t="str">
        <f>VLOOKUP(C17,코드!$E$3:$F$30,2,FALSE)</f>
        <v>8634</v>
      </c>
      <c r="E17" s="65" t="s">
        <v>995</v>
      </c>
      <c r="F17" s="65" t="s">
        <v>994</v>
      </c>
      <c r="G17" s="66" t="s">
        <v>993</v>
      </c>
      <c r="H17" s="65" t="s">
        <v>992</v>
      </c>
      <c r="I17" s="65" t="s">
        <v>991</v>
      </c>
      <c r="J17" s="72" t="s">
        <v>130</v>
      </c>
      <c r="K17" s="72" t="s">
        <v>17</v>
      </c>
      <c r="L17" s="58">
        <f>VLOOKUP(K17,코드!$B$3:$C$29,2,FALSE)</f>
        <v>4241130</v>
      </c>
      <c r="M17" s="72" t="s">
        <v>129</v>
      </c>
      <c r="N17" s="72" t="s">
        <v>990</v>
      </c>
      <c r="O17" s="75">
        <v>1000000</v>
      </c>
      <c r="P17" s="75">
        <v>1</v>
      </c>
      <c r="Q17" s="75">
        <v>1</v>
      </c>
      <c r="R17" s="75">
        <f t="shared" si="0"/>
        <v>1000000</v>
      </c>
      <c r="S17" s="75"/>
      <c r="T17" s="78">
        <v>1000000</v>
      </c>
      <c r="U17" s="71" t="s">
        <v>316</v>
      </c>
      <c r="V17" s="60">
        <f t="shared" si="1"/>
        <v>1</v>
      </c>
      <c r="W17" s="46"/>
      <c r="Z17" s="4"/>
      <c r="AC17" s="46"/>
    </row>
    <row r="18" spans="1:29" s="59" customFormat="1" ht="17.25" customHeight="1">
      <c r="B18" s="72"/>
      <c r="C18" s="155"/>
      <c r="D18" s="58"/>
      <c r="E18" s="65"/>
      <c r="F18" s="65"/>
      <c r="G18" s="66"/>
      <c r="H18" s="65"/>
      <c r="I18" s="65"/>
      <c r="J18" s="72"/>
      <c r="K18" s="72"/>
      <c r="L18" s="58"/>
      <c r="M18" s="72"/>
      <c r="N18" s="72"/>
      <c r="O18" s="75"/>
      <c r="P18" s="75"/>
      <c r="Q18" s="75"/>
      <c r="R18" s="75"/>
      <c r="S18" s="75"/>
      <c r="T18" s="78"/>
      <c r="U18" s="71"/>
      <c r="V18" s="60"/>
      <c r="W18" s="46"/>
      <c r="Z18" s="4"/>
      <c r="AC18" s="46"/>
    </row>
    <row r="19" spans="1:29" s="59" customFormat="1" ht="17.25" customHeight="1">
      <c r="A19" s="59" t="s">
        <v>257</v>
      </c>
      <c r="B19" s="72" t="s">
        <v>905</v>
      </c>
      <c r="C19" s="155" t="s">
        <v>904</v>
      </c>
      <c r="D19" s="58" t="str">
        <f>VLOOKUP(C19,코드!$E$3:$F$30,2,FALSE)</f>
        <v>8634</v>
      </c>
      <c r="E19" s="65" t="s">
        <v>942</v>
      </c>
      <c r="F19" s="65" t="s">
        <v>972</v>
      </c>
      <c r="G19" s="66" t="s">
        <v>985</v>
      </c>
      <c r="H19" s="65" t="s">
        <v>988</v>
      </c>
      <c r="I19" s="65" t="s">
        <v>987</v>
      </c>
      <c r="J19" s="72" t="s">
        <v>130</v>
      </c>
      <c r="K19" s="72" t="s">
        <v>17</v>
      </c>
      <c r="L19" s="58">
        <f>VLOOKUP(K19,코드!$B$3:$C$29,2,FALSE)</f>
        <v>4241130</v>
      </c>
      <c r="M19" s="72" t="s">
        <v>129</v>
      </c>
      <c r="N19" s="72" t="s">
        <v>944</v>
      </c>
      <c r="O19" s="75">
        <v>30000</v>
      </c>
      <c r="P19" s="75">
        <v>30</v>
      </c>
      <c r="Q19" s="75">
        <v>1</v>
      </c>
      <c r="R19" s="75">
        <f t="shared" ref="R19:R28" si="2">O19*P19*Q19</f>
        <v>900000</v>
      </c>
      <c r="S19" s="75"/>
      <c r="T19" s="78">
        <v>0</v>
      </c>
      <c r="U19" s="71"/>
      <c r="V19" s="60">
        <f t="shared" ref="V19:V28" si="3">T19/R19</f>
        <v>0</v>
      </c>
      <c r="W19" s="46"/>
      <c r="Z19" s="4"/>
      <c r="AC19" s="46"/>
    </row>
    <row r="20" spans="1:29" s="59" customFormat="1" ht="17.25" customHeight="1">
      <c r="A20" s="59" t="s">
        <v>257</v>
      </c>
      <c r="B20" s="72" t="s">
        <v>905</v>
      </c>
      <c r="C20" s="155" t="s">
        <v>904</v>
      </c>
      <c r="D20" s="58" t="str">
        <f>VLOOKUP(C20,코드!$E$3:$F$30,2,FALSE)</f>
        <v>8634</v>
      </c>
      <c r="E20" s="65" t="s">
        <v>942</v>
      </c>
      <c r="F20" s="65" t="s">
        <v>972</v>
      </c>
      <c r="G20" s="66" t="s">
        <v>985</v>
      </c>
      <c r="H20" s="65" t="s">
        <v>984</v>
      </c>
      <c r="I20" s="65" t="s">
        <v>983</v>
      </c>
      <c r="J20" s="72" t="s">
        <v>130</v>
      </c>
      <c r="K20" s="72" t="s">
        <v>17</v>
      </c>
      <c r="L20" s="58">
        <f>VLOOKUP(K20,코드!$B$3:$C$29,2,FALSE)</f>
        <v>4241130</v>
      </c>
      <c r="M20" s="72" t="s">
        <v>107</v>
      </c>
      <c r="N20" s="72" t="s">
        <v>944</v>
      </c>
      <c r="O20" s="75">
        <v>300000</v>
      </c>
      <c r="P20" s="75">
        <v>2</v>
      </c>
      <c r="Q20" s="75">
        <v>2</v>
      </c>
      <c r="R20" s="75">
        <f t="shared" si="2"/>
        <v>1200000</v>
      </c>
      <c r="S20" s="75"/>
      <c r="T20" s="78">
        <v>1200000</v>
      </c>
      <c r="U20" s="71"/>
      <c r="V20" s="60">
        <f t="shared" si="3"/>
        <v>1</v>
      </c>
      <c r="W20" s="46"/>
      <c r="Z20" s="4"/>
      <c r="AC20" s="46"/>
    </row>
    <row r="21" spans="1:29" ht="17.25" customHeight="1">
      <c r="A21" s="59" t="s">
        <v>257</v>
      </c>
      <c r="B21" s="72" t="s">
        <v>905</v>
      </c>
      <c r="C21" s="155" t="s">
        <v>904</v>
      </c>
      <c r="D21" s="58" t="str">
        <f>VLOOKUP(C21,코드!$E$3:$F$30,2,FALSE)</f>
        <v>8634</v>
      </c>
      <c r="E21" s="65" t="s">
        <v>942</v>
      </c>
      <c r="F21" s="65" t="s">
        <v>972</v>
      </c>
      <c r="G21" s="66" t="s">
        <v>971</v>
      </c>
      <c r="H21" s="65" t="s">
        <v>976</v>
      </c>
      <c r="I21" s="65" t="s">
        <v>981</v>
      </c>
      <c r="J21" s="72" t="s">
        <v>130</v>
      </c>
      <c r="K21" s="72" t="s">
        <v>17</v>
      </c>
      <c r="L21" s="58">
        <f>VLOOKUP(K21,코드!$B$3:$C$29,2,FALSE)</f>
        <v>4241130</v>
      </c>
      <c r="M21" s="72" t="s">
        <v>129</v>
      </c>
      <c r="N21" s="72" t="s">
        <v>944</v>
      </c>
      <c r="O21" s="75">
        <v>30000</v>
      </c>
      <c r="P21" s="75">
        <v>20</v>
      </c>
      <c r="Q21" s="75">
        <v>2</v>
      </c>
      <c r="R21" s="75">
        <f t="shared" si="2"/>
        <v>1200000</v>
      </c>
      <c r="S21" s="75"/>
      <c r="T21" s="78">
        <v>1200000</v>
      </c>
      <c r="U21" s="71" t="s">
        <v>316</v>
      </c>
      <c r="V21" s="60">
        <f t="shared" si="3"/>
        <v>1</v>
      </c>
      <c r="W21" s="46"/>
      <c r="AA21" s="59"/>
      <c r="AB21" s="59"/>
      <c r="AC21" s="46"/>
    </row>
    <row r="22" spans="1:29" ht="17.25" customHeight="1">
      <c r="A22" s="59" t="s">
        <v>257</v>
      </c>
      <c r="B22" s="72" t="s">
        <v>905</v>
      </c>
      <c r="C22" s="155" t="s">
        <v>904</v>
      </c>
      <c r="D22" s="58" t="str">
        <f>VLOOKUP(C22,코드!$E$3:$F$30,2,FALSE)</f>
        <v>8634</v>
      </c>
      <c r="E22" s="65" t="s">
        <v>942</v>
      </c>
      <c r="F22" s="65" t="s">
        <v>972</v>
      </c>
      <c r="G22" s="66" t="s">
        <v>971</v>
      </c>
      <c r="H22" s="65" t="s">
        <v>970</v>
      </c>
      <c r="I22" s="65" t="s">
        <v>979</v>
      </c>
      <c r="J22" s="72" t="s">
        <v>130</v>
      </c>
      <c r="K22" s="72" t="s">
        <v>17</v>
      </c>
      <c r="L22" s="58">
        <f>VLOOKUP(K22,코드!$B$3:$C$29,2,FALSE)</f>
        <v>4241130</v>
      </c>
      <c r="M22" s="72" t="s">
        <v>129</v>
      </c>
      <c r="N22" s="72" t="s">
        <v>944</v>
      </c>
      <c r="O22" s="75">
        <v>30000</v>
      </c>
      <c r="P22" s="75">
        <v>30</v>
      </c>
      <c r="Q22" s="75">
        <v>1</v>
      </c>
      <c r="R22" s="75">
        <f t="shared" si="2"/>
        <v>900000</v>
      </c>
      <c r="S22" s="75"/>
      <c r="T22" s="78">
        <v>0</v>
      </c>
      <c r="U22" s="71"/>
      <c r="V22" s="60">
        <f t="shared" si="3"/>
        <v>0</v>
      </c>
      <c r="W22" s="46"/>
      <c r="AA22" s="59"/>
      <c r="AB22" s="59"/>
      <c r="AC22" s="46"/>
    </row>
    <row r="23" spans="1:29" ht="17.25" customHeight="1">
      <c r="A23" s="59" t="s">
        <v>257</v>
      </c>
      <c r="B23" s="72" t="s">
        <v>905</v>
      </c>
      <c r="C23" s="155" t="s">
        <v>904</v>
      </c>
      <c r="D23" s="58" t="str">
        <f>VLOOKUP(C23,코드!$E$3:$F$30,2,FALSE)</f>
        <v>8634</v>
      </c>
      <c r="E23" s="65" t="s">
        <v>942</v>
      </c>
      <c r="F23" s="65" t="s">
        <v>972</v>
      </c>
      <c r="G23" s="66" t="s">
        <v>971</v>
      </c>
      <c r="H23" s="65" t="s">
        <v>976</v>
      </c>
      <c r="I23" s="65" t="s">
        <v>975</v>
      </c>
      <c r="J23" s="72" t="s">
        <v>130</v>
      </c>
      <c r="K23" s="72" t="s">
        <v>11</v>
      </c>
      <c r="L23" s="58">
        <f>VLOOKUP(K23,코드!$B$3:$C$29,2,FALSE)</f>
        <v>4113401</v>
      </c>
      <c r="M23" s="72" t="s">
        <v>154</v>
      </c>
      <c r="N23" s="72" t="s">
        <v>944</v>
      </c>
      <c r="O23" s="75">
        <v>3000000</v>
      </c>
      <c r="P23" s="75">
        <v>2</v>
      </c>
      <c r="Q23" s="75">
        <v>1</v>
      </c>
      <c r="R23" s="75">
        <f t="shared" si="2"/>
        <v>6000000</v>
      </c>
      <c r="S23" s="75"/>
      <c r="T23" s="78">
        <v>6000000</v>
      </c>
      <c r="U23" s="71" t="s">
        <v>316</v>
      </c>
      <c r="V23" s="60">
        <f t="shared" si="3"/>
        <v>1</v>
      </c>
      <c r="W23" s="46"/>
      <c r="AA23" s="59"/>
      <c r="AB23" s="59"/>
      <c r="AC23" s="46"/>
    </row>
    <row r="24" spans="1:29" ht="17.25" customHeight="1">
      <c r="A24" s="59" t="s">
        <v>257</v>
      </c>
      <c r="B24" s="72" t="s">
        <v>905</v>
      </c>
      <c r="C24" s="155" t="s">
        <v>904</v>
      </c>
      <c r="D24" s="58" t="str">
        <f>VLOOKUP(C24,코드!$E$3:$F$30,2,FALSE)</f>
        <v>8634</v>
      </c>
      <c r="E24" s="65" t="s">
        <v>973</v>
      </c>
      <c r="F24" s="65" t="s">
        <v>972</v>
      </c>
      <c r="G24" s="66" t="s">
        <v>971</v>
      </c>
      <c r="H24" s="65" t="s">
        <v>970</v>
      </c>
      <c r="I24" s="65" t="s">
        <v>969</v>
      </c>
      <c r="J24" s="72" t="s">
        <v>130</v>
      </c>
      <c r="K24" s="72" t="s">
        <v>11</v>
      </c>
      <c r="L24" s="58">
        <f>VLOOKUP(K24,코드!$B$3:$C$29,2,FALSE)</f>
        <v>4113401</v>
      </c>
      <c r="M24" s="72" t="s">
        <v>154</v>
      </c>
      <c r="N24" s="72" t="s">
        <v>944</v>
      </c>
      <c r="O24" s="75">
        <v>3000000</v>
      </c>
      <c r="P24" s="75">
        <v>2</v>
      </c>
      <c r="Q24" s="75">
        <v>1</v>
      </c>
      <c r="R24" s="75">
        <f t="shared" si="2"/>
        <v>6000000</v>
      </c>
      <c r="S24" s="75"/>
      <c r="T24" s="78">
        <v>6000000</v>
      </c>
      <c r="U24" s="71" t="s">
        <v>316</v>
      </c>
      <c r="V24" s="60">
        <f t="shared" si="3"/>
        <v>1</v>
      </c>
      <c r="W24" s="46"/>
      <c r="AA24" s="59"/>
      <c r="AB24" s="59"/>
      <c r="AC24" s="46"/>
    </row>
    <row r="25" spans="1:29" ht="17.25" customHeight="1">
      <c r="A25" s="59" t="s">
        <v>257</v>
      </c>
      <c r="B25" s="72" t="s">
        <v>905</v>
      </c>
      <c r="C25" s="155" t="s">
        <v>904</v>
      </c>
      <c r="D25" s="58" t="str">
        <f>VLOOKUP(C25,코드!$E$3:$F$30,2,FALSE)</f>
        <v>8634</v>
      </c>
      <c r="E25" s="65" t="s">
        <v>942</v>
      </c>
      <c r="F25" s="65" t="s">
        <v>958</v>
      </c>
      <c r="G25" s="66" t="s">
        <v>964</v>
      </c>
      <c r="H25" s="65" t="s">
        <v>967</v>
      </c>
      <c r="I25" s="65" t="s">
        <v>966</v>
      </c>
      <c r="J25" s="72" t="s">
        <v>130</v>
      </c>
      <c r="K25" s="72" t="s">
        <v>17</v>
      </c>
      <c r="L25" s="58">
        <f>VLOOKUP(K25,코드!$B$3:$C$29,2,FALSE)</f>
        <v>4241130</v>
      </c>
      <c r="M25" s="72" t="s">
        <v>129</v>
      </c>
      <c r="N25" s="72" t="s">
        <v>944</v>
      </c>
      <c r="O25" s="75">
        <v>30000</v>
      </c>
      <c r="P25" s="75">
        <v>30</v>
      </c>
      <c r="Q25" s="75">
        <v>1</v>
      </c>
      <c r="R25" s="75">
        <f t="shared" si="2"/>
        <v>900000</v>
      </c>
      <c r="S25" s="75"/>
      <c r="T25" s="78">
        <v>900000</v>
      </c>
      <c r="U25" s="71" t="s">
        <v>316</v>
      </c>
      <c r="V25" s="60">
        <f t="shared" si="3"/>
        <v>1</v>
      </c>
      <c r="W25" s="46"/>
      <c r="AA25" s="59"/>
      <c r="AB25" s="59"/>
      <c r="AC25" s="46"/>
    </row>
    <row r="26" spans="1:29" ht="17.25" customHeight="1">
      <c r="A26" s="59" t="s">
        <v>257</v>
      </c>
      <c r="B26" s="72" t="s">
        <v>905</v>
      </c>
      <c r="C26" s="155" t="s">
        <v>904</v>
      </c>
      <c r="D26" s="58" t="str">
        <f>VLOOKUP(C26,코드!$E$3:$F$30,2,FALSE)</f>
        <v>8634</v>
      </c>
      <c r="E26" s="65" t="s">
        <v>942</v>
      </c>
      <c r="F26" s="65" t="s">
        <v>958</v>
      </c>
      <c r="G26" s="66" t="s">
        <v>964</v>
      </c>
      <c r="H26" s="65" t="s">
        <v>963</v>
      </c>
      <c r="I26" s="65" t="s">
        <v>962</v>
      </c>
      <c r="J26" s="72" t="s">
        <v>130</v>
      </c>
      <c r="K26" s="72" t="s">
        <v>17</v>
      </c>
      <c r="L26" s="58">
        <f>VLOOKUP(K26,코드!$B$3:$C$29,2,FALSE)</f>
        <v>4241130</v>
      </c>
      <c r="M26" s="72" t="s">
        <v>129</v>
      </c>
      <c r="N26" s="72" t="s">
        <v>944</v>
      </c>
      <c r="O26" s="75">
        <v>30000</v>
      </c>
      <c r="P26" s="75">
        <v>30</v>
      </c>
      <c r="Q26" s="75">
        <v>1</v>
      </c>
      <c r="R26" s="75">
        <f t="shared" si="2"/>
        <v>900000</v>
      </c>
      <c r="S26" s="75"/>
      <c r="T26" s="78">
        <v>900000</v>
      </c>
      <c r="U26" s="61" t="s">
        <v>127</v>
      </c>
      <c r="V26" s="60">
        <f t="shared" si="3"/>
        <v>1</v>
      </c>
      <c r="W26" s="46"/>
      <c r="AA26" s="59"/>
      <c r="AB26" s="59"/>
      <c r="AC26" s="46"/>
    </row>
    <row r="27" spans="1:29" ht="17.25" customHeight="1">
      <c r="A27" s="59" t="s">
        <v>257</v>
      </c>
      <c r="B27" s="72" t="s">
        <v>905</v>
      </c>
      <c r="C27" s="155" t="s">
        <v>904</v>
      </c>
      <c r="D27" s="58" t="str">
        <f>VLOOKUP(C27,코드!$E$3:$F$30,2,FALSE)</f>
        <v>8634</v>
      </c>
      <c r="E27" s="65" t="s">
        <v>942</v>
      </c>
      <c r="F27" s="65" t="s">
        <v>958</v>
      </c>
      <c r="G27" s="66" t="s">
        <v>957</v>
      </c>
      <c r="H27" s="65" t="s">
        <v>960</v>
      </c>
      <c r="I27" s="65" t="s">
        <v>959</v>
      </c>
      <c r="J27" s="72" t="s">
        <v>130</v>
      </c>
      <c r="K27" s="72" t="s">
        <v>17</v>
      </c>
      <c r="L27" s="58">
        <f>VLOOKUP(K27,코드!$B$3:$C$29,2,FALSE)</f>
        <v>4241130</v>
      </c>
      <c r="M27" s="72" t="s">
        <v>129</v>
      </c>
      <c r="N27" s="72" t="s">
        <v>944</v>
      </c>
      <c r="O27" s="75">
        <v>30000</v>
      </c>
      <c r="P27" s="75">
        <v>30</v>
      </c>
      <c r="Q27" s="75">
        <v>1</v>
      </c>
      <c r="R27" s="75">
        <f t="shared" si="2"/>
        <v>900000</v>
      </c>
      <c r="S27" s="75"/>
      <c r="T27" s="78">
        <v>0</v>
      </c>
      <c r="U27" s="71"/>
      <c r="V27" s="60">
        <f t="shared" si="3"/>
        <v>0</v>
      </c>
      <c r="W27" s="46"/>
      <c r="AA27" s="59"/>
      <c r="AB27" s="59"/>
      <c r="AC27" s="46"/>
    </row>
    <row r="28" spans="1:29" ht="17.25" customHeight="1">
      <c r="A28" s="59" t="s">
        <v>257</v>
      </c>
      <c r="B28" s="72" t="s">
        <v>905</v>
      </c>
      <c r="C28" s="155" t="s">
        <v>904</v>
      </c>
      <c r="D28" s="58" t="str">
        <f>VLOOKUP(C28,코드!$E$3:$F$30,2,FALSE)</f>
        <v>8634</v>
      </c>
      <c r="E28" s="65" t="s">
        <v>942</v>
      </c>
      <c r="F28" s="65" t="s">
        <v>958</v>
      </c>
      <c r="G28" s="66" t="s">
        <v>957</v>
      </c>
      <c r="H28" s="65" t="s">
        <v>956</v>
      </c>
      <c r="I28" s="65" t="s">
        <v>955</v>
      </c>
      <c r="J28" s="72" t="s">
        <v>130</v>
      </c>
      <c r="K28" s="72" t="s">
        <v>17</v>
      </c>
      <c r="L28" s="58">
        <f>VLOOKUP(K28,코드!$B$3:$C$29,2,FALSE)</f>
        <v>4241130</v>
      </c>
      <c r="M28" s="72" t="s">
        <v>129</v>
      </c>
      <c r="N28" s="72" t="s">
        <v>944</v>
      </c>
      <c r="O28" s="75">
        <v>30000</v>
      </c>
      <c r="P28" s="75">
        <v>20</v>
      </c>
      <c r="Q28" s="75">
        <v>1</v>
      </c>
      <c r="R28" s="75">
        <f t="shared" si="2"/>
        <v>600000</v>
      </c>
      <c r="S28" s="75"/>
      <c r="T28" s="78">
        <v>600000</v>
      </c>
      <c r="U28" s="61" t="s">
        <v>127</v>
      </c>
      <c r="V28" s="60">
        <f t="shared" si="3"/>
        <v>1</v>
      </c>
      <c r="W28" s="46"/>
      <c r="X28" s="74"/>
      <c r="Y28" s="46"/>
      <c r="Z28" s="59"/>
      <c r="AA28" s="59"/>
      <c r="AB28" s="59"/>
      <c r="AC28" s="46"/>
    </row>
    <row r="29" spans="1:29" ht="17.25" customHeight="1">
      <c r="A29" s="59" t="s">
        <v>257</v>
      </c>
      <c r="B29" s="72"/>
      <c r="C29" s="155"/>
      <c r="D29" s="58"/>
      <c r="E29" s="65"/>
      <c r="F29" s="65"/>
      <c r="G29" s="66"/>
      <c r="H29" s="65"/>
      <c r="I29" s="65"/>
      <c r="J29" s="72"/>
      <c r="K29" s="72"/>
      <c r="L29" s="58"/>
      <c r="M29" s="72"/>
      <c r="N29" s="72"/>
      <c r="O29" s="75"/>
      <c r="P29" s="75"/>
      <c r="Q29" s="75"/>
      <c r="R29" s="75"/>
      <c r="S29" s="75"/>
      <c r="T29" s="78"/>
      <c r="U29" s="61"/>
      <c r="V29" s="60" t="s">
        <v>126</v>
      </c>
      <c r="W29" s="46"/>
      <c r="X29" s="74"/>
      <c r="Y29" s="46"/>
      <c r="Z29" s="59"/>
      <c r="AA29" s="59"/>
      <c r="AB29" s="59"/>
      <c r="AC29" s="46"/>
    </row>
    <row r="30" spans="1:29" ht="17.25" customHeight="1">
      <c r="A30" s="59" t="s">
        <v>257</v>
      </c>
      <c r="B30" s="72" t="s">
        <v>905</v>
      </c>
      <c r="C30" s="155" t="s">
        <v>943</v>
      </c>
      <c r="D30" s="58" t="str">
        <f>VLOOKUP(C30,코드!$E$3:$F$30,2,FALSE)</f>
        <v>8718</v>
      </c>
      <c r="E30" s="65" t="s">
        <v>942</v>
      </c>
      <c r="F30" s="65" t="s">
        <v>941</v>
      </c>
      <c r="G30" s="66" t="s">
        <v>940</v>
      </c>
      <c r="H30" s="65" t="s">
        <v>953</v>
      </c>
      <c r="I30" s="65" t="s">
        <v>954</v>
      </c>
      <c r="J30" s="72" t="s">
        <v>130</v>
      </c>
      <c r="K30" s="72" t="s">
        <v>17</v>
      </c>
      <c r="L30" s="58">
        <f>VLOOKUP(K30,코드!$B$3:$C$29,2,FALSE)</f>
        <v>4241130</v>
      </c>
      <c r="M30" s="72" t="s">
        <v>232</v>
      </c>
      <c r="N30" s="72" t="s">
        <v>944</v>
      </c>
      <c r="O30" s="75">
        <v>200000</v>
      </c>
      <c r="P30" s="75">
        <v>310</v>
      </c>
      <c r="Q30" s="75">
        <v>2</v>
      </c>
      <c r="R30" s="63">
        <f>O30*P30*Q30</f>
        <v>124000000</v>
      </c>
      <c r="S30" s="63"/>
      <c r="T30" s="62">
        <v>124000000</v>
      </c>
      <c r="U30" s="61" t="s">
        <v>316</v>
      </c>
      <c r="V30" s="60">
        <f t="shared" ref="V30:V37" si="4">T30/R30</f>
        <v>1</v>
      </c>
      <c r="W30" s="46"/>
      <c r="X30" s="74"/>
      <c r="Y30" s="46"/>
      <c r="Z30" s="59"/>
      <c r="AA30" s="59"/>
      <c r="AB30" s="59"/>
      <c r="AC30" s="46"/>
    </row>
    <row r="31" spans="1:29" ht="17.25" customHeight="1">
      <c r="A31" s="59" t="s">
        <v>257</v>
      </c>
      <c r="B31" s="72" t="s">
        <v>905</v>
      </c>
      <c r="C31" s="155" t="s">
        <v>943</v>
      </c>
      <c r="D31" s="58" t="str">
        <f>VLOOKUP(C31,코드!$E$3:$F$30,2,FALSE)</f>
        <v>8718</v>
      </c>
      <c r="E31" s="65" t="s">
        <v>942</v>
      </c>
      <c r="F31" s="65" t="s">
        <v>941</v>
      </c>
      <c r="G31" s="66" t="s">
        <v>940</v>
      </c>
      <c r="H31" s="65" t="s">
        <v>953</v>
      </c>
      <c r="I31" s="65" t="s">
        <v>952</v>
      </c>
      <c r="J31" s="72" t="s">
        <v>130</v>
      </c>
      <c r="K31" s="72" t="s">
        <v>17</v>
      </c>
      <c r="L31" s="58">
        <f>VLOOKUP(K31,코드!$B$3:$C$29,2,FALSE)</f>
        <v>4241130</v>
      </c>
      <c r="M31" s="72" t="s">
        <v>262</v>
      </c>
      <c r="N31" s="72" t="s">
        <v>944</v>
      </c>
      <c r="O31" s="75">
        <v>300000</v>
      </c>
      <c r="P31" s="75">
        <v>1</v>
      </c>
      <c r="Q31" s="75">
        <v>2</v>
      </c>
      <c r="R31" s="63">
        <v>2800000</v>
      </c>
      <c r="S31" s="63"/>
      <c r="T31" s="62">
        <v>2800000</v>
      </c>
      <c r="U31" s="61" t="s">
        <v>127</v>
      </c>
      <c r="V31" s="60">
        <f t="shared" si="4"/>
        <v>1</v>
      </c>
      <c r="W31" s="46"/>
      <c r="X31" s="74"/>
      <c r="Y31" s="46"/>
      <c r="Z31" s="59"/>
      <c r="AA31" s="59"/>
      <c r="AB31" s="59"/>
      <c r="AC31" s="46"/>
    </row>
    <row r="32" spans="1:29" ht="17.25" customHeight="1">
      <c r="A32" s="59" t="s">
        <v>257</v>
      </c>
      <c r="B32" s="72" t="s">
        <v>905</v>
      </c>
      <c r="C32" s="155" t="s">
        <v>943</v>
      </c>
      <c r="D32" s="58" t="str">
        <f>VLOOKUP(C32,코드!$E$3:$F$30,2,FALSE)</f>
        <v>8718</v>
      </c>
      <c r="E32" s="65" t="s">
        <v>942</v>
      </c>
      <c r="F32" s="65" t="s">
        <v>941</v>
      </c>
      <c r="G32" s="66" t="s">
        <v>940</v>
      </c>
      <c r="H32" s="65" t="s">
        <v>946</v>
      </c>
      <c r="I32" s="65" t="s">
        <v>951</v>
      </c>
      <c r="J32" s="72" t="s">
        <v>101</v>
      </c>
      <c r="K32" s="72" t="s">
        <v>15</v>
      </c>
      <c r="L32" s="58">
        <f>VLOOKUP(K32,코드!$B$3:$C$29,2,FALSE)</f>
        <v>4321701</v>
      </c>
      <c r="M32" s="72" t="s">
        <v>349</v>
      </c>
      <c r="N32" s="72" t="s">
        <v>950</v>
      </c>
      <c r="O32" s="75">
        <v>300000</v>
      </c>
      <c r="P32" s="75">
        <v>10</v>
      </c>
      <c r="Q32" s="75">
        <v>2</v>
      </c>
      <c r="R32" s="63">
        <v>4000000</v>
      </c>
      <c r="S32" s="63"/>
      <c r="T32" s="62">
        <v>0</v>
      </c>
      <c r="U32" s="61"/>
      <c r="V32" s="60">
        <f t="shared" si="4"/>
        <v>0</v>
      </c>
      <c r="W32" s="46"/>
      <c r="X32" s="217"/>
      <c r="AA32" s="59"/>
      <c r="AB32" s="59"/>
      <c r="AC32" s="46"/>
    </row>
    <row r="33" spans="1:29" ht="17.25" customHeight="1">
      <c r="A33" s="59" t="s">
        <v>257</v>
      </c>
      <c r="B33" s="72" t="s">
        <v>905</v>
      </c>
      <c r="C33" s="155" t="s">
        <v>943</v>
      </c>
      <c r="D33" s="58" t="str">
        <f>VLOOKUP(C33,코드!$E$3:$F$30,2,FALSE)</f>
        <v>8718</v>
      </c>
      <c r="E33" s="65" t="s">
        <v>942</v>
      </c>
      <c r="F33" s="65" t="s">
        <v>941</v>
      </c>
      <c r="G33" s="66" t="s">
        <v>940</v>
      </c>
      <c r="H33" s="65" t="s">
        <v>946</v>
      </c>
      <c r="I33" s="65" t="s">
        <v>949</v>
      </c>
      <c r="J33" s="72" t="s">
        <v>130</v>
      </c>
      <c r="K33" s="72" t="s">
        <v>17</v>
      </c>
      <c r="L33" s="58">
        <f>VLOOKUP(K33,코드!$B$3:$C$29,2,FALSE)</f>
        <v>4241130</v>
      </c>
      <c r="M33" s="72" t="s">
        <v>217</v>
      </c>
      <c r="N33" s="72" t="s">
        <v>944</v>
      </c>
      <c r="O33" s="75"/>
      <c r="P33" s="75"/>
      <c r="Q33" s="75"/>
      <c r="R33" s="63">
        <v>1000000</v>
      </c>
      <c r="S33" s="63"/>
      <c r="T33" s="62"/>
      <c r="U33" s="61"/>
      <c r="V33" s="60">
        <f t="shared" si="4"/>
        <v>0</v>
      </c>
      <c r="W33" s="46"/>
      <c r="X33" s="217"/>
      <c r="AA33" s="59"/>
      <c r="AB33" s="59"/>
      <c r="AC33" s="46"/>
    </row>
    <row r="34" spans="1:29" ht="17.25" customHeight="1">
      <c r="A34" s="59" t="s">
        <v>257</v>
      </c>
      <c r="B34" s="72" t="s">
        <v>905</v>
      </c>
      <c r="C34" s="155" t="s">
        <v>943</v>
      </c>
      <c r="D34" s="58" t="str">
        <f>VLOOKUP(C34,코드!$E$3:$F$30,2,FALSE)</f>
        <v>8718</v>
      </c>
      <c r="E34" s="65" t="s">
        <v>942</v>
      </c>
      <c r="F34" s="65" t="s">
        <v>941</v>
      </c>
      <c r="G34" s="66" t="s">
        <v>940</v>
      </c>
      <c r="H34" s="65" t="s">
        <v>946</v>
      </c>
      <c r="I34" s="65" t="s">
        <v>948</v>
      </c>
      <c r="J34" s="72" t="s">
        <v>130</v>
      </c>
      <c r="K34" s="72" t="s">
        <v>17</v>
      </c>
      <c r="L34" s="58">
        <f>VLOOKUP(K34,코드!$B$3:$C$29,2,FALSE)</f>
        <v>4241130</v>
      </c>
      <c r="M34" s="72" t="s">
        <v>120</v>
      </c>
      <c r="N34" s="72" t="s">
        <v>944</v>
      </c>
      <c r="O34" s="75"/>
      <c r="P34" s="75"/>
      <c r="Q34" s="75"/>
      <c r="R34" s="63">
        <v>2000000</v>
      </c>
      <c r="S34" s="63"/>
      <c r="T34" s="62"/>
      <c r="U34" s="61"/>
      <c r="V34" s="60">
        <f t="shared" si="4"/>
        <v>0</v>
      </c>
      <c r="W34" s="46"/>
      <c r="X34" s="217"/>
      <c r="AA34" s="59"/>
      <c r="AB34" s="59"/>
      <c r="AC34" s="46"/>
    </row>
    <row r="35" spans="1:29" ht="17.25" customHeight="1">
      <c r="A35" s="59" t="s">
        <v>257</v>
      </c>
      <c r="B35" s="72" t="s">
        <v>905</v>
      </c>
      <c r="C35" s="155" t="s">
        <v>943</v>
      </c>
      <c r="D35" s="58" t="str">
        <f>VLOOKUP(C35,코드!$E$3:$F$30,2,FALSE)</f>
        <v>8718</v>
      </c>
      <c r="E35" s="65" t="s">
        <v>942</v>
      </c>
      <c r="F35" s="65" t="s">
        <v>941</v>
      </c>
      <c r="G35" s="66" t="s">
        <v>940</v>
      </c>
      <c r="H35" s="65" t="s">
        <v>946</v>
      </c>
      <c r="I35" s="65" t="s">
        <v>947</v>
      </c>
      <c r="J35" s="72" t="s">
        <v>130</v>
      </c>
      <c r="K35" s="72" t="s">
        <v>17</v>
      </c>
      <c r="L35" s="58">
        <f>VLOOKUP(K35,코드!$B$3:$C$29,2,FALSE)</f>
        <v>4241130</v>
      </c>
      <c r="M35" s="72" t="s">
        <v>356</v>
      </c>
      <c r="N35" s="72" t="s">
        <v>944</v>
      </c>
      <c r="O35" s="75">
        <v>300000</v>
      </c>
      <c r="P35" s="75">
        <v>3</v>
      </c>
      <c r="Q35" s="75">
        <v>2</v>
      </c>
      <c r="R35" s="63">
        <v>900000</v>
      </c>
      <c r="S35" s="63"/>
      <c r="T35" s="62">
        <v>0</v>
      </c>
      <c r="U35" s="61"/>
      <c r="V35" s="60">
        <f t="shared" si="4"/>
        <v>0</v>
      </c>
      <c r="W35" s="46"/>
      <c r="X35" s="217"/>
      <c r="AA35" s="59"/>
      <c r="AB35" s="59"/>
      <c r="AC35" s="46"/>
    </row>
    <row r="36" spans="1:29" ht="17.25" customHeight="1">
      <c r="A36" s="59" t="s">
        <v>257</v>
      </c>
      <c r="B36" s="72" t="s">
        <v>905</v>
      </c>
      <c r="C36" s="155" t="s">
        <v>943</v>
      </c>
      <c r="D36" s="58" t="str">
        <f>VLOOKUP(C36,코드!$E$3:$F$30,2,FALSE)</f>
        <v>8718</v>
      </c>
      <c r="E36" s="65" t="s">
        <v>942</v>
      </c>
      <c r="F36" s="65" t="s">
        <v>941</v>
      </c>
      <c r="G36" s="66" t="s">
        <v>940</v>
      </c>
      <c r="H36" s="65" t="s">
        <v>946</v>
      </c>
      <c r="I36" s="65" t="s">
        <v>945</v>
      </c>
      <c r="J36" s="72" t="s">
        <v>130</v>
      </c>
      <c r="K36" s="72" t="s">
        <v>17</v>
      </c>
      <c r="L36" s="58">
        <f>VLOOKUP(K36,코드!$B$3:$C$29,2,FALSE)</f>
        <v>4241130</v>
      </c>
      <c r="M36" s="72" t="s">
        <v>262</v>
      </c>
      <c r="N36" s="72" t="s">
        <v>944</v>
      </c>
      <c r="O36" s="75">
        <v>150000</v>
      </c>
      <c r="P36" s="75">
        <v>1</v>
      </c>
      <c r="Q36" s="75">
        <v>2</v>
      </c>
      <c r="R36" s="63">
        <v>2300000</v>
      </c>
      <c r="S36" s="63"/>
      <c r="T36" s="62">
        <v>0</v>
      </c>
      <c r="U36" s="61"/>
      <c r="V36" s="60">
        <f t="shared" si="4"/>
        <v>0</v>
      </c>
      <c r="W36" s="46"/>
      <c r="X36" s="217"/>
      <c r="AA36" s="59"/>
      <c r="AB36" s="59"/>
      <c r="AC36" s="46"/>
    </row>
    <row r="37" spans="1:29" ht="17.25" customHeight="1">
      <c r="A37" s="59" t="s">
        <v>257</v>
      </c>
      <c r="B37" s="72" t="s">
        <v>905</v>
      </c>
      <c r="C37" s="155" t="s">
        <v>943</v>
      </c>
      <c r="D37" s="58" t="str">
        <f>VLOOKUP(C37,코드!$E$3:$F$30,2,FALSE)</f>
        <v>8718</v>
      </c>
      <c r="E37" s="65" t="s">
        <v>942</v>
      </c>
      <c r="F37" s="65" t="s">
        <v>941</v>
      </c>
      <c r="G37" s="66" t="s">
        <v>940</v>
      </c>
      <c r="H37" s="70" t="s">
        <v>470</v>
      </c>
      <c r="I37" s="70" t="s">
        <v>939</v>
      </c>
      <c r="J37" s="69" t="s">
        <v>84</v>
      </c>
      <c r="K37" s="68" t="s">
        <v>97</v>
      </c>
      <c r="L37" s="68">
        <f>VLOOKUP(K37,코드!$B$3:$C$29,2,FALSE)</f>
        <v>4125101</v>
      </c>
      <c r="M37" s="69" t="s">
        <v>96</v>
      </c>
      <c r="N37" s="68" t="s">
        <v>68</v>
      </c>
      <c r="O37" s="75"/>
      <c r="P37" s="75"/>
      <c r="Q37" s="75"/>
      <c r="R37" s="63">
        <v>30000000</v>
      </c>
      <c r="S37" s="63"/>
      <c r="T37" s="63">
        <v>30000000</v>
      </c>
      <c r="U37" s="61" t="s">
        <v>67</v>
      </c>
      <c r="V37" s="60">
        <f t="shared" si="4"/>
        <v>1</v>
      </c>
      <c r="W37" s="46"/>
      <c r="X37" s="74"/>
      <c r="Y37" s="46"/>
      <c r="Z37" s="59"/>
      <c r="AA37" s="59"/>
      <c r="AB37" s="59"/>
      <c r="AC37" s="46"/>
    </row>
    <row r="38" spans="1:29" ht="17.25" customHeight="1">
      <c r="A38" s="59" t="s">
        <v>257</v>
      </c>
      <c r="B38" s="72"/>
      <c r="C38" s="155"/>
      <c r="D38" s="58"/>
      <c r="E38" s="65"/>
      <c r="F38" s="65"/>
      <c r="G38" s="66"/>
      <c r="H38" s="65"/>
      <c r="I38" s="65"/>
      <c r="J38" s="72"/>
      <c r="K38" s="72"/>
      <c r="L38" s="58"/>
      <c r="M38" s="72"/>
      <c r="N38" s="72"/>
      <c r="O38" s="75"/>
      <c r="P38" s="75"/>
      <c r="Q38" s="75"/>
      <c r="R38" s="75"/>
      <c r="S38" s="75"/>
      <c r="T38" s="78"/>
      <c r="U38" s="61"/>
      <c r="V38" s="60" t="s">
        <v>126</v>
      </c>
      <c r="W38" s="46"/>
      <c r="X38" s="74"/>
      <c r="Y38" s="46"/>
      <c r="Z38" s="59"/>
      <c r="AA38" s="59"/>
      <c r="AB38" s="59"/>
      <c r="AC38" s="46"/>
    </row>
    <row r="39" spans="1:29" ht="17.25" customHeight="1">
      <c r="A39" s="59" t="s">
        <v>257</v>
      </c>
      <c r="B39" s="72" t="s">
        <v>905</v>
      </c>
      <c r="C39" s="155" t="s">
        <v>904</v>
      </c>
      <c r="D39" s="58" t="str">
        <f>VLOOKUP(C39,코드!$E$3:$F$30,2,FALSE)</f>
        <v>8634</v>
      </c>
      <c r="E39" s="65" t="s">
        <v>903</v>
      </c>
      <c r="F39" s="65" t="s">
        <v>931</v>
      </c>
      <c r="G39" s="66" t="s">
        <v>937</v>
      </c>
      <c r="H39" s="70" t="s">
        <v>470</v>
      </c>
      <c r="I39" s="70" t="s">
        <v>938</v>
      </c>
      <c r="J39" s="68" t="s">
        <v>84</v>
      </c>
      <c r="K39" s="68" t="s">
        <v>97</v>
      </c>
      <c r="L39" s="68">
        <f>VLOOKUP(K39,코드!$B$3:$C$29,2,FALSE)</f>
        <v>4125101</v>
      </c>
      <c r="M39" s="69" t="s">
        <v>96</v>
      </c>
      <c r="N39" s="68" t="s">
        <v>68</v>
      </c>
      <c r="O39" s="63"/>
      <c r="P39" s="63"/>
      <c r="Q39" s="63"/>
      <c r="R39" s="63">
        <v>30000000</v>
      </c>
      <c r="S39" s="63"/>
      <c r="T39" s="63">
        <v>30000000</v>
      </c>
      <c r="U39" s="61" t="s">
        <v>67</v>
      </c>
      <c r="V39" s="60">
        <f t="shared" ref="V39:V52" si="5">T39/R39</f>
        <v>1</v>
      </c>
    </row>
    <row r="40" spans="1:29" ht="17.25" customHeight="1">
      <c r="A40" s="59" t="s">
        <v>257</v>
      </c>
      <c r="B40" s="72" t="s">
        <v>905</v>
      </c>
      <c r="C40" s="155" t="s">
        <v>904</v>
      </c>
      <c r="D40" s="58" t="str">
        <f>VLOOKUP(C40,코드!$E$3:$F$30,2,FALSE)</f>
        <v>8634</v>
      </c>
      <c r="E40" s="65" t="s">
        <v>903</v>
      </c>
      <c r="F40" s="65" t="s">
        <v>931</v>
      </c>
      <c r="G40" s="66" t="s">
        <v>937</v>
      </c>
      <c r="H40" s="65" t="s">
        <v>936</v>
      </c>
      <c r="I40" s="65" t="s">
        <v>935</v>
      </c>
      <c r="J40" s="72" t="s">
        <v>130</v>
      </c>
      <c r="K40" s="72" t="s">
        <v>17</v>
      </c>
      <c r="L40" s="58">
        <f>VLOOKUP(K40,코드!$B$3:$C$29,2,FALSE)</f>
        <v>4241130</v>
      </c>
      <c r="M40" s="72" t="s">
        <v>129</v>
      </c>
      <c r="N40" s="72" t="s">
        <v>898</v>
      </c>
      <c r="O40" s="75">
        <v>30000</v>
      </c>
      <c r="P40" s="75">
        <v>30</v>
      </c>
      <c r="Q40" s="75">
        <v>1</v>
      </c>
      <c r="R40" s="75">
        <f t="shared" ref="R40:R49" si="6">O40*P40*Q40</f>
        <v>900000</v>
      </c>
      <c r="S40" s="75"/>
      <c r="T40" s="78">
        <v>900000</v>
      </c>
      <c r="U40" s="71" t="s">
        <v>316</v>
      </c>
      <c r="V40" s="60">
        <f t="shared" si="5"/>
        <v>1</v>
      </c>
      <c r="W40" s="46"/>
      <c r="X40" s="74"/>
      <c r="Y40" s="46"/>
      <c r="Z40" s="59"/>
      <c r="AA40" s="59"/>
      <c r="AB40" s="59"/>
      <c r="AC40" s="46"/>
    </row>
    <row r="41" spans="1:29" ht="17.25" customHeight="1">
      <c r="A41" s="59" t="s">
        <v>257</v>
      </c>
      <c r="B41" s="72" t="s">
        <v>905</v>
      </c>
      <c r="C41" s="155" t="s">
        <v>904</v>
      </c>
      <c r="D41" s="58" t="str">
        <f>VLOOKUP(C41,코드!$E$3:$F$30,2,FALSE)</f>
        <v>8634</v>
      </c>
      <c r="E41" s="65" t="s">
        <v>903</v>
      </c>
      <c r="F41" s="65" t="s">
        <v>931</v>
      </c>
      <c r="G41" s="66" t="s">
        <v>934</v>
      </c>
      <c r="H41" s="65" t="s">
        <v>933</v>
      </c>
      <c r="I41" s="65" t="s">
        <v>932</v>
      </c>
      <c r="J41" s="72" t="s">
        <v>130</v>
      </c>
      <c r="K41" s="72" t="s">
        <v>17</v>
      </c>
      <c r="L41" s="58">
        <f>VLOOKUP(K41,코드!$B$3:$C$29,2,FALSE)</f>
        <v>4241130</v>
      </c>
      <c r="M41" s="72" t="s">
        <v>129</v>
      </c>
      <c r="N41" s="72" t="s">
        <v>898</v>
      </c>
      <c r="O41" s="75">
        <v>30000</v>
      </c>
      <c r="P41" s="75">
        <v>30</v>
      </c>
      <c r="Q41" s="75">
        <v>1</v>
      </c>
      <c r="R41" s="75">
        <f t="shared" si="6"/>
        <v>900000</v>
      </c>
      <c r="S41" s="75"/>
      <c r="T41" s="78">
        <v>900000</v>
      </c>
      <c r="U41" s="71" t="s">
        <v>316</v>
      </c>
      <c r="V41" s="60">
        <f t="shared" si="5"/>
        <v>1</v>
      </c>
      <c r="W41" s="46"/>
      <c r="X41" s="74"/>
      <c r="Y41" s="46"/>
      <c r="Z41" s="59"/>
      <c r="AA41" s="59"/>
      <c r="AB41" s="59"/>
      <c r="AC41" s="46"/>
    </row>
    <row r="42" spans="1:29" ht="17.25" customHeight="1">
      <c r="A42" s="59" t="s">
        <v>257</v>
      </c>
      <c r="B42" s="72" t="s">
        <v>905</v>
      </c>
      <c r="C42" s="155" t="s">
        <v>904</v>
      </c>
      <c r="D42" s="58" t="str">
        <f>VLOOKUP(C42,코드!$E$3:$F$30,2,FALSE)</f>
        <v>8634</v>
      </c>
      <c r="E42" s="65" t="s">
        <v>903</v>
      </c>
      <c r="F42" s="65" t="s">
        <v>931</v>
      </c>
      <c r="G42" s="66" t="s">
        <v>930</v>
      </c>
      <c r="H42" s="65" t="s">
        <v>929</v>
      </c>
      <c r="I42" s="65" t="s">
        <v>928</v>
      </c>
      <c r="J42" s="72" t="s">
        <v>130</v>
      </c>
      <c r="K42" s="72" t="s">
        <v>17</v>
      </c>
      <c r="L42" s="58">
        <f>VLOOKUP(K42,코드!$B$3:$C$29,2,FALSE)</f>
        <v>4241130</v>
      </c>
      <c r="M42" s="72" t="s">
        <v>129</v>
      </c>
      <c r="N42" s="72" t="s">
        <v>898</v>
      </c>
      <c r="O42" s="75">
        <v>30000</v>
      </c>
      <c r="P42" s="75">
        <v>30</v>
      </c>
      <c r="Q42" s="75">
        <v>1</v>
      </c>
      <c r="R42" s="75">
        <f t="shared" si="6"/>
        <v>900000</v>
      </c>
      <c r="S42" s="75"/>
      <c r="T42" s="78">
        <v>900000</v>
      </c>
      <c r="U42" s="61" t="s">
        <v>127</v>
      </c>
      <c r="V42" s="60">
        <f t="shared" si="5"/>
        <v>1</v>
      </c>
      <c r="W42" s="46"/>
      <c r="X42" s="74"/>
      <c r="Y42" s="46"/>
      <c r="Z42" s="59"/>
      <c r="AA42" s="59"/>
      <c r="AB42" s="59"/>
      <c r="AC42" s="46"/>
    </row>
    <row r="43" spans="1:29" ht="17.25" customHeight="1">
      <c r="A43" s="59" t="s">
        <v>257</v>
      </c>
      <c r="B43" s="72" t="s">
        <v>905</v>
      </c>
      <c r="C43" s="155" t="s">
        <v>904</v>
      </c>
      <c r="D43" s="58" t="str">
        <f>VLOOKUP(C43,코드!$E$3:$F$30,2,FALSE)</f>
        <v>8634</v>
      </c>
      <c r="E43" s="65" t="s">
        <v>903</v>
      </c>
      <c r="F43" s="65" t="s">
        <v>922</v>
      </c>
      <c r="G43" s="66" t="s">
        <v>925</v>
      </c>
      <c r="H43" s="65" t="s">
        <v>927</v>
      </c>
      <c r="I43" s="65" t="s">
        <v>926</v>
      </c>
      <c r="J43" s="72" t="s">
        <v>130</v>
      </c>
      <c r="K43" s="72" t="s">
        <v>17</v>
      </c>
      <c r="L43" s="58">
        <f>VLOOKUP(K43,코드!$B$3:$C$29,2,FALSE)</f>
        <v>4241130</v>
      </c>
      <c r="M43" s="72" t="s">
        <v>129</v>
      </c>
      <c r="N43" s="72" t="s">
        <v>898</v>
      </c>
      <c r="O43" s="75">
        <v>30000</v>
      </c>
      <c r="P43" s="75">
        <v>30</v>
      </c>
      <c r="Q43" s="75">
        <v>1</v>
      </c>
      <c r="R43" s="75">
        <f t="shared" si="6"/>
        <v>900000</v>
      </c>
      <c r="S43" s="75"/>
      <c r="T43" s="78">
        <v>0</v>
      </c>
      <c r="U43" s="71"/>
      <c r="V43" s="60">
        <f t="shared" si="5"/>
        <v>0</v>
      </c>
      <c r="W43" s="46"/>
      <c r="X43" s="74"/>
      <c r="Y43" s="46"/>
      <c r="Z43" s="59"/>
      <c r="AA43" s="59"/>
      <c r="AB43" s="59"/>
      <c r="AC43" s="46"/>
    </row>
    <row r="44" spans="1:29" s="59" customFormat="1" ht="17.25" customHeight="1">
      <c r="A44" s="59" t="s">
        <v>257</v>
      </c>
      <c r="B44" s="72" t="s">
        <v>905</v>
      </c>
      <c r="C44" s="155" t="s">
        <v>904</v>
      </c>
      <c r="D44" s="58" t="str">
        <f>VLOOKUP(C44,코드!$E$3:$F$30,2,FALSE)</f>
        <v>8634</v>
      </c>
      <c r="E44" s="65" t="s">
        <v>903</v>
      </c>
      <c r="F44" s="65" t="s">
        <v>922</v>
      </c>
      <c r="G44" s="66" t="s">
        <v>925</v>
      </c>
      <c r="H44" s="65" t="s">
        <v>924</v>
      </c>
      <c r="I44" s="65" t="s">
        <v>923</v>
      </c>
      <c r="J44" s="72" t="s">
        <v>130</v>
      </c>
      <c r="K44" s="72" t="s">
        <v>17</v>
      </c>
      <c r="L44" s="58">
        <f>VLOOKUP(K44,코드!$B$3:$C$29,2,FALSE)</f>
        <v>4241130</v>
      </c>
      <c r="M44" s="72" t="s">
        <v>129</v>
      </c>
      <c r="N44" s="72" t="s">
        <v>898</v>
      </c>
      <c r="O44" s="75">
        <v>30000</v>
      </c>
      <c r="P44" s="75">
        <v>30</v>
      </c>
      <c r="Q44" s="75">
        <v>1</v>
      </c>
      <c r="R44" s="75">
        <f t="shared" si="6"/>
        <v>900000</v>
      </c>
      <c r="S44" s="75"/>
      <c r="T44" s="78">
        <v>0</v>
      </c>
      <c r="U44" s="71"/>
      <c r="V44" s="60">
        <f t="shared" si="5"/>
        <v>0</v>
      </c>
      <c r="W44" s="46"/>
      <c r="X44" s="74"/>
      <c r="Y44" s="46"/>
      <c r="AC44" s="46"/>
    </row>
    <row r="45" spans="1:29" s="59" customFormat="1" ht="17.25" customHeight="1">
      <c r="A45" s="59" t="s">
        <v>257</v>
      </c>
      <c r="B45" s="72" t="s">
        <v>905</v>
      </c>
      <c r="C45" s="155" t="s">
        <v>904</v>
      </c>
      <c r="D45" s="58" t="str">
        <f>VLOOKUP(C45,코드!$E$3:$F$30,2,FALSE)</f>
        <v>8634</v>
      </c>
      <c r="E45" s="65" t="s">
        <v>903</v>
      </c>
      <c r="F45" s="65" t="s">
        <v>922</v>
      </c>
      <c r="G45" s="66" t="s">
        <v>921</v>
      </c>
      <c r="H45" s="65" t="s">
        <v>920</v>
      </c>
      <c r="I45" s="65" t="s">
        <v>919</v>
      </c>
      <c r="J45" s="72" t="s">
        <v>130</v>
      </c>
      <c r="K45" s="72" t="s">
        <v>17</v>
      </c>
      <c r="L45" s="58">
        <f>VLOOKUP(K45,코드!$B$3:$C$29,2,FALSE)</f>
        <v>4241130</v>
      </c>
      <c r="M45" s="72" t="s">
        <v>129</v>
      </c>
      <c r="N45" s="72" t="s">
        <v>898</v>
      </c>
      <c r="O45" s="75">
        <v>30000</v>
      </c>
      <c r="P45" s="75">
        <v>10</v>
      </c>
      <c r="Q45" s="75">
        <v>2</v>
      </c>
      <c r="R45" s="75">
        <f t="shared" si="6"/>
        <v>600000</v>
      </c>
      <c r="S45" s="75"/>
      <c r="T45" s="78">
        <v>0</v>
      </c>
      <c r="U45" s="71"/>
      <c r="V45" s="60">
        <f t="shared" si="5"/>
        <v>0</v>
      </c>
      <c r="W45" s="46"/>
      <c r="X45" s="74"/>
      <c r="Y45" s="46"/>
      <c r="AC45" s="46"/>
    </row>
    <row r="46" spans="1:29" s="59" customFormat="1" ht="17.25" customHeight="1">
      <c r="A46" s="59" t="s">
        <v>257</v>
      </c>
      <c r="B46" s="72" t="s">
        <v>905</v>
      </c>
      <c r="C46" s="155" t="s">
        <v>904</v>
      </c>
      <c r="D46" s="58" t="str">
        <f>VLOOKUP(C46,코드!$E$3:$F$30,2,FALSE)</f>
        <v>8634</v>
      </c>
      <c r="E46" s="65" t="s">
        <v>918</v>
      </c>
      <c r="F46" s="65" t="s">
        <v>902</v>
      </c>
      <c r="G46" s="66" t="s">
        <v>912</v>
      </c>
      <c r="H46" s="65" t="s">
        <v>916</v>
      </c>
      <c r="I46" s="65" t="s">
        <v>917</v>
      </c>
      <c r="J46" s="72" t="s">
        <v>130</v>
      </c>
      <c r="K46" s="72" t="s">
        <v>17</v>
      </c>
      <c r="L46" s="58">
        <f>VLOOKUP(K46,코드!$B$3:$C$29,2,FALSE)</f>
        <v>4241130</v>
      </c>
      <c r="M46" s="72" t="s">
        <v>129</v>
      </c>
      <c r="N46" s="72" t="s">
        <v>898</v>
      </c>
      <c r="O46" s="75">
        <v>30000</v>
      </c>
      <c r="P46" s="75">
        <v>10</v>
      </c>
      <c r="Q46" s="75">
        <v>2</v>
      </c>
      <c r="R46" s="75">
        <f t="shared" si="6"/>
        <v>600000</v>
      </c>
      <c r="S46" s="75"/>
      <c r="T46" s="78">
        <v>600000</v>
      </c>
      <c r="U46" s="71" t="s">
        <v>316</v>
      </c>
      <c r="V46" s="60">
        <f t="shared" si="5"/>
        <v>1</v>
      </c>
      <c r="W46" s="46"/>
      <c r="X46" s="74"/>
      <c r="Y46" s="46"/>
      <c r="AC46" s="46"/>
    </row>
    <row r="47" spans="1:29" s="59" customFormat="1" ht="17.25" customHeight="1">
      <c r="A47" s="59" t="s">
        <v>257</v>
      </c>
      <c r="B47" s="72" t="s">
        <v>905</v>
      </c>
      <c r="C47" s="155" t="s">
        <v>904</v>
      </c>
      <c r="D47" s="58" t="str">
        <f>VLOOKUP(C47,코드!$E$3:$F$30,2,FALSE)</f>
        <v>8634</v>
      </c>
      <c r="E47" s="65" t="s">
        <v>903</v>
      </c>
      <c r="F47" s="65" t="s">
        <v>902</v>
      </c>
      <c r="G47" s="66" t="s">
        <v>912</v>
      </c>
      <c r="H47" s="65" t="s">
        <v>916</v>
      </c>
      <c r="I47" s="65" t="s">
        <v>915</v>
      </c>
      <c r="J47" s="72" t="s">
        <v>130</v>
      </c>
      <c r="K47" s="72" t="s">
        <v>17</v>
      </c>
      <c r="L47" s="58">
        <f>VLOOKUP(K47,코드!$B$3:$C$29,2,FALSE)</f>
        <v>4241130</v>
      </c>
      <c r="M47" s="72" t="s">
        <v>129</v>
      </c>
      <c r="N47" s="72" t="s">
        <v>898</v>
      </c>
      <c r="O47" s="75">
        <v>30000</v>
      </c>
      <c r="P47" s="75">
        <v>10</v>
      </c>
      <c r="Q47" s="75">
        <v>2</v>
      </c>
      <c r="R47" s="75">
        <f t="shared" si="6"/>
        <v>600000</v>
      </c>
      <c r="S47" s="75"/>
      <c r="T47" s="78">
        <v>600000</v>
      </c>
      <c r="U47" s="61" t="s">
        <v>127</v>
      </c>
      <c r="V47" s="60">
        <f t="shared" si="5"/>
        <v>1</v>
      </c>
      <c r="W47" s="46"/>
      <c r="X47" s="74"/>
      <c r="Y47" s="46"/>
      <c r="AC47" s="46"/>
    </row>
    <row r="48" spans="1:29" s="59" customFormat="1" ht="17.25" customHeight="1">
      <c r="A48" s="59" t="s">
        <v>257</v>
      </c>
      <c r="B48" s="72" t="s">
        <v>905</v>
      </c>
      <c r="C48" s="155" t="s">
        <v>904</v>
      </c>
      <c r="D48" s="58" t="str">
        <f>VLOOKUP(C48,코드!$E$3:$F$30,2,FALSE)</f>
        <v>8634</v>
      </c>
      <c r="E48" s="65" t="s">
        <v>903</v>
      </c>
      <c r="F48" s="65" t="s">
        <v>902</v>
      </c>
      <c r="G48" s="66" t="s">
        <v>912</v>
      </c>
      <c r="H48" s="65" t="s">
        <v>911</v>
      </c>
      <c r="I48" s="65" t="s">
        <v>914</v>
      </c>
      <c r="J48" s="72" t="s">
        <v>130</v>
      </c>
      <c r="K48" s="72" t="s">
        <v>17</v>
      </c>
      <c r="L48" s="58">
        <f>VLOOKUP(K48,코드!$B$3:$C$29,2,FALSE)</f>
        <v>4241130</v>
      </c>
      <c r="M48" s="72" t="s">
        <v>129</v>
      </c>
      <c r="N48" s="72" t="s">
        <v>898</v>
      </c>
      <c r="O48" s="75">
        <v>30000</v>
      </c>
      <c r="P48" s="75">
        <v>30</v>
      </c>
      <c r="Q48" s="75">
        <v>2</v>
      </c>
      <c r="R48" s="75">
        <f t="shared" si="6"/>
        <v>1800000</v>
      </c>
      <c r="S48" s="75"/>
      <c r="T48" s="78">
        <v>1800000</v>
      </c>
      <c r="U48" s="71" t="s">
        <v>316</v>
      </c>
      <c r="V48" s="60">
        <f t="shared" si="5"/>
        <v>1</v>
      </c>
      <c r="W48" s="46"/>
      <c r="X48" s="74"/>
      <c r="Y48" s="46"/>
      <c r="AC48" s="46"/>
    </row>
    <row r="49" spans="1:29" s="59" customFormat="1" ht="17.25" customHeight="1">
      <c r="A49" s="59" t="s">
        <v>257</v>
      </c>
      <c r="B49" s="72" t="s">
        <v>905</v>
      </c>
      <c r="C49" s="155" t="s">
        <v>904</v>
      </c>
      <c r="D49" s="58" t="str">
        <f>VLOOKUP(C49,코드!$E$3:$F$30,2,FALSE)</f>
        <v>8634</v>
      </c>
      <c r="E49" s="65" t="s">
        <v>903</v>
      </c>
      <c r="F49" s="65" t="s">
        <v>902</v>
      </c>
      <c r="G49" s="66" t="s">
        <v>912</v>
      </c>
      <c r="H49" s="65" t="s">
        <v>911</v>
      </c>
      <c r="I49" s="65" t="s">
        <v>913</v>
      </c>
      <c r="J49" s="72" t="s">
        <v>58</v>
      </c>
      <c r="K49" s="72" t="s">
        <v>179</v>
      </c>
      <c r="L49" s="58">
        <f>VLOOKUP(K49,코드!$B$3:$C$29,2,FALSE)</f>
        <v>4233201</v>
      </c>
      <c r="M49" s="72" t="s">
        <v>178</v>
      </c>
      <c r="N49" s="72" t="s">
        <v>909</v>
      </c>
      <c r="O49" s="75">
        <v>269000000</v>
      </c>
      <c r="P49" s="75">
        <v>1</v>
      </c>
      <c r="Q49" s="75">
        <v>1</v>
      </c>
      <c r="R49" s="75">
        <f t="shared" si="6"/>
        <v>269000000</v>
      </c>
      <c r="S49" s="75"/>
      <c r="T49" s="78">
        <v>269000000</v>
      </c>
      <c r="U49" s="71" t="s">
        <v>316</v>
      </c>
      <c r="V49" s="60">
        <f t="shared" si="5"/>
        <v>1</v>
      </c>
      <c r="W49" s="46"/>
      <c r="X49" s="74"/>
      <c r="Y49" s="46"/>
      <c r="AC49" s="46"/>
    </row>
    <row r="50" spans="1:29" s="59" customFormat="1" ht="17.25" customHeight="1">
      <c r="A50" s="59" t="s">
        <v>257</v>
      </c>
      <c r="B50" s="216" t="s">
        <v>905</v>
      </c>
      <c r="C50" s="215" t="s">
        <v>904</v>
      </c>
      <c r="D50" s="214" t="str">
        <f>VLOOKUP(C50,코드!$E$3:$F$30,2,FALSE)</f>
        <v>8634</v>
      </c>
      <c r="E50" s="212" t="s">
        <v>903</v>
      </c>
      <c r="F50" s="212" t="s">
        <v>902</v>
      </c>
      <c r="G50" s="213" t="s">
        <v>912</v>
      </c>
      <c r="H50" s="212" t="s">
        <v>911</v>
      </c>
      <c r="I50" s="212" t="s">
        <v>910</v>
      </c>
      <c r="J50" s="72" t="s">
        <v>58</v>
      </c>
      <c r="K50" s="72" t="s">
        <v>179</v>
      </c>
      <c r="L50" s="58">
        <f>VLOOKUP(K50,코드!$B$3:$C$29,2,FALSE)</f>
        <v>4233201</v>
      </c>
      <c r="M50" s="72" t="s">
        <v>178</v>
      </c>
      <c r="N50" s="72" t="s">
        <v>909</v>
      </c>
      <c r="O50" s="210"/>
      <c r="P50" s="210"/>
      <c r="Q50" s="210"/>
      <c r="R50" s="210">
        <v>12100000.000000002</v>
      </c>
      <c r="S50" s="210"/>
      <c r="T50" s="209">
        <v>0</v>
      </c>
      <c r="U50" s="266"/>
      <c r="V50" s="60">
        <f t="shared" si="5"/>
        <v>0</v>
      </c>
      <c r="W50" s="46" t="s">
        <v>908</v>
      </c>
      <c r="X50" s="74"/>
      <c r="Y50" s="46"/>
      <c r="AC50" s="46"/>
    </row>
    <row r="51" spans="1:29" s="59" customFormat="1" ht="17.25" customHeight="1">
      <c r="A51" s="59" t="s">
        <v>257</v>
      </c>
      <c r="B51" s="72" t="s">
        <v>905</v>
      </c>
      <c r="C51" s="155" t="s">
        <v>904</v>
      </c>
      <c r="D51" s="58" t="str">
        <f>VLOOKUP(C51,코드!$E$3:$F$30,2,FALSE)</f>
        <v>8634</v>
      </c>
      <c r="E51" s="65" t="s">
        <v>903</v>
      </c>
      <c r="F51" s="65" t="s">
        <v>902</v>
      </c>
      <c r="G51" s="66" t="s">
        <v>901</v>
      </c>
      <c r="H51" s="65" t="s">
        <v>907</v>
      </c>
      <c r="I51" s="65" t="s">
        <v>906</v>
      </c>
      <c r="J51" s="72" t="s">
        <v>130</v>
      </c>
      <c r="K51" s="72" t="s">
        <v>17</v>
      </c>
      <c r="L51" s="58">
        <f>VLOOKUP(K51,코드!$B$3:$C$29,2,FALSE)</f>
        <v>4241130</v>
      </c>
      <c r="M51" s="72" t="s">
        <v>129</v>
      </c>
      <c r="N51" s="72" t="s">
        <v>898</v>
      </c>
      <c r="O51" s="75">
        <v>30000</v>
      </c>
      <c r="P51" s="75">
        <v>15</v>
      </c>
      <c r="Q51" s="75">
        <v>2</v>
      </c>
      <c r="R51" s="75">
        <f>O51*P51*Q51</f>
        <v>900000</v>
      </c>
      <c r="S51" s="75"/>
      <c r="T51" s="78">
        <v>0</v>
      </c>
      <c r="U51" s="71"/>
      <c r="V51" s="60">
        <f t="shared" si="5"/>
        <v>0</v>
      </c>
      <c r="W51" s="46"/>
      <c r="X51" s="74"/>
      <c r="Y51" s="46"/>
      <c r="AC51" s="46"/>
    </row>
    <row r="52" spans="1:29" s="59" customFormat="1" ht="17.25" customHeight="1">
      <c r="A52" s="59" t="s">
        <v>257</v>
      </c>
      <c r="B52" s="72" t="s">
        <v>905</v>
      </c>
      <c r="C52" s="155" t="s">
        <v>904</v>
      </c>
      <c r="D52" s="58" t="str">
        <f>VLOOKUP(C52,코드!$E$3:$F$30,2,FALSE)</f>
        <v>8634</v>
      </c>
      <c r="E52" s="65" t="s">
        <v>903</v>
      </c>
      <c r="F52" s="65" t="s">
        <v>902</v>
      </c>
      <c r="G52" s="66" t="s">
        <v>901</v>
      </c>
      <c r="H52" s="65" t="s">
        <v>900</v>
      </c>
      <c r="I52" s="65" t="s">
        <v>899</v>
      </c>
      <c r="J52" s="72" t="s">
        <v>130</v>
      </c>
      <c r="K52" s="72" t="s">
        <v>17</v>
      </c>
      <c r="L52" s="58">
        <f>VLOOKUP(K52,코드!$B$3:$C$29,2,FALSE)</f>
        <v>4241130</v>
      </c>
      <c r="M52" s="72" t="s">
        <v>129</v>
      </c>
      <c r="N52" s="72" t="s">
        <v>898</v>
      </c>
      <c r="O52" s="75">
        <v>30000</v>
      </c>
      <c r="P52" s="75">
        <v>15</v>
      </c>
      <c r="Q52" s="75">
        <v>2</v>
      </c>
      <c r="R52" s="75">
        <f>O52*P52*Q52</f>
        <v>900000</v>
      </c>
      <c r="S52" s="75"/>
      <c r="T52" s="78">
        <v>0</v>
      </c>
      <c r="U52" s="71"/>
      <c r="V52" s="60">
        <f t="shared" si="5"/>
        <v>0</v>
      </c>
      <c r="W52" s="46"/>
      <c r="X52" s="74"/>
      <c r="Y52" s="46"/>
      <c r="AC52" s="46"/>
    </row>
    <row r="53" spans="1:29" s="59" customFormat="1" ht="17.25" customHeight="1">
      <c r="B53" s="72"/>
      <c r="C53" s="155"/>
      <c r="D53" s="58"/>
      <c r="E53" s="65"/>
      <c r="F53" s="65"/>
      <c r="G53" s="66"/>
      <c r="H53" s="65"/>
      <c r="I53" s="65"/>
      <c r="J53" s="72"/>
      <c r="K53" s="72"/>
      <c r="L53" s="58"/>
      <c r="M53" s="72"/>
      <c r="N53" s="72"/>
      <c r="O53" s="75"/>
      <c r="P53" s="75"/>
      <c r="Q53" s="75"/>
      <c r="R53" s="75"/>
      <c r="S53" s="75"/>
      <c r="T53" s="78"/>
      <c r="U53" s="71"/>
      <c r="V53" s="60" t="s">
        <v>126</v>
      </c>
      <c r="W53" s="46"/>
      <c r="X53" s="74"/>
      <c r="Y53" s="46"/>
      <c r="AC53" s="46"/>
    </row>
    <row r="54" spans="1:29" s="59" customFormat="1" ht="17.25" customHeight="1">
      <c r="A54" s="59" t="s">
        <v>257</v>
      </c>
      <c r="B54" s="79" t="s">
        <v>715</v>
      </c>
      <c r="C54" s="71" t="s">
        <v>255</v>
      </c>
      <c r="D54" s="58" t="str">
        <f>VLOOKUP(C54,코드!$E$3:$F$30,2,FALSE)</f>
        <v>8623</v>
      </c>
      <c r="E54" s="61" t="s">
        <v>874</v>
      </c>
      <c r="F54" s="61" t="s">
        <v>896</v>
      </c>
      <c r="G54" s="83" t="s">
        <v>893</v>
      </c>
      <c r="H54" s="70" t="s">
        <v>470</v>
      </c>
      <c r="I54" s="70" t="s">
        <v>897</v>
      </c>
      <c r="J54" s="69" t="s">
        <v>84</v>
      </c>
      <c r="K54" s="68" t="s">
        <v>97</v>
      </c>
      <c r="L54" s="68">
        <f>VLOOKUP(K54,코드!$B$3:$C$29,2,FALSE)</f>
        <v>4125101</v>
      </c>
      <c r="M54" s="69" t="s">
        <v>96</v>
      </c>
      <c r="N54" s="68" t="s">
        <v>68</v>
      </c>
      <c r="O54" s="63"/>
      <c r="P54" s="63"/>
      <c r="Q54" s="63"/>
      <c r="R54" s="63">
        <v>30000000</v>
      </c>
      <c r="S54" s="63"/>
      <c r="T54" s="63">
        <v>30000000</v>
      </c>
      <c r="U54" s="61" t="s">
        <v>67</v>
      </c>
      <c r="V54" s="60">
        <f t="shared" ref="V54:V61" si="7">T54/R54</f>
        <v>1</v>
      </c>
      <c r="W54" s="5"/>
      <c r="X54" s="6"/>
      <c r="Y54" s="5"/>
      <c r="Z54" s="4"/>
      <c r="AA54" s="4"/>
      <c r="AB54" s="4"/>
      <c r="AC54" s="5"/>
    </row>
    <row r="55" spans="1:29" s="59" customFormat="1" ht="17.25" customHeight="1">
      <c r="A55" s="59" t="s">
        <v>257</v>
      </c>
      <c r="B55" s="79" t="s">
        <v>715</v>
      </c>
      <c r="C55" s="71" t="s">
        <v>255</v>
      </c>
      <c r="D55" s="58" t="str">
        <f>VLOOKUP(C55,코드!$E$3:$F$30,2,FALSE)</f>
        <v>8623</v>
      </c>
      <c r="E55" s="61" t="s">
        <v>874</v>
      </c>
      <c r="F55" s="61" t="s">
        <v>896</v>
      </c>
      <c r="G55" s="208" t="s">
        <v>895</v>
      </c>
      <c r="H55" s="70" t="s">
        <v>251</v>
      </c>
      <c r="I55" s="70" t="s">
        <v>894</v>
      </c>
      <c r="J55" s="69" t="s">
        <v>84</v>
      </c>
      <c r="K55" s="68" t="s">
        <v>22</v>
      </c>
      <c r="L55" s="68">
        <f>VLOOKUP(K55,코드!$B$3:$C$29,2,FALSE)</f>
        <v>4118701</v>
      </c>
      <c r="M55" s="69" t="s">
        <v>96</v>
      </c>
      <c r="N55" s="68" t="s">
        <v>68</v>
      </c>
      <c r="O55" s="63"/>
      <c r="P55" s="63"/>
      <c r="Q55" s="63"/>
      <c r="R55" s="63">
        <v>31836000</v>
      </c>
      <c r="S55" s="63"/>
      <c r="T55" s="63">
        <v>31836000</v>
      </c>
      <c r="U55" s="61" t="s">
        <v>67</v>
      </c>
      <c r="V55" s="60">
        <f t="shared" si="7"/>
        <v>1</v>
      </c>
      <c r="W55" s="5"/>
      <c r="X55" s="6"/>
      <c r="Y55" s="5"/>
      <c r="Z55" s="4"/>
      <c r="AA55" s="4"/>
      <c r="AB55" s="4"/>
      <c r="AC55" s="5"/>
    </row>
    <row r="56" spans="1:29" s="59" customFormat="1" ht="17.25" customHeight="1">
      <c r="A56" s="59" t="s">
        <v>257</v>
      </c>
      <c r="B56" s="79" t="s">
        <v>715</v>
      </c>
      <c r="C56" s="71" t="s">
        <v>255</v>
      </c>
      <c r="D56" s="58" t="str">
        <f>VLOOKUP(C56,코드!$E$3:$F$30,2,FALSE)</f>
        <v>8623</v>
      </c>
      <c r="E56" s="61" t="s">
        <v>874</v>
      </c>
      <c r="F56" s="61" t="s">
        <v>887</v>
      </c>
      <c r="G56" s="83" t="s">
        <v>893</v>
      </c>
      <c r="H56" s="61" t="s">
        <v>892</v>
      </c>
      <c r="I56" s="61" t="s">
        <v>891</v>
      </c>
      <c r="J56" s="79" t="s">
        <v>130</v>
      </c>
      <c r="K56" s="79" t="s">
        <v>17</v>
      </c>
      <c r="L56" s="58">
        <f>VLOOKUP(K56,코드!$B$3:$C$29,2,FALSE)</f>
        <v>4241130</v>
      </c>
      <c r="M56" s="79" t="s">
        <v>262</v>
      </c>
      <c r="N56" s="79" t="s">
        <v>869</v>
      </c>
      <c r="O56" s="82">
        <v>250000</v>
      </c>
      <c r="P56" s="82">
        <v>1</v>
      </c>
      <c r="Q56" s="82">
        <v>6</v>
      </c>
      <c r="R56" s="82">
        <v>6000000</v>
      </c>
      <c r="S56" s="82"/>
      <c r="T56" s="78">
        <v>1500000</v>
      </c>
      <c r="U56" s="71" t="s">
        <v>431</v>
      </c>
      <c r="V56" s="60">
        <f t="shared" si="7"/>
        <v>0.25</v>
      </c>
      <c r="W56" s="46"/>
      <c r="X56" s="74"/>
      <c r="Y56" s="46"/>
      <c r="AC56" s="46"/>
    </row>
    <row r="57" spans="1:29" s="59" customFormat="1" ht="17.25" customHeight="1">
      <c r="A57" s="59" t="s">
        <v>257</v>
      </c>
      <c r="B57" s="79" t="s">
        <v>715</v>
      </c>
      <c r="C57" s="71" t="s">
        <v>255</v>
      </c>
      <c r="D57" s="58" t="str">
        <f>VLOOKUP(C57,코드!$E$3:$F$30,2,FALSE)</f>
        <v>8623</v>
      </c>
      <c r="E57" s="61" t="s">
        <v>874</v>
      </c>
      <c r="F57" s="61" t="s">
        <v>887</v>
      </c>
      <c r="G57" s="83" t="s">
        <v>890</v>
      </c>
      <c r="H57" s="61" t="s">
        <v>889</v>
      </c>
      <c r="I57" s="61" t="s">
        <v>888</v>
      </c>
      <c r="J57" s="79" t="s">
        <v>130</v>
      </c>
      <c r="K57" s="79" t="s">
        <v>17</v>
      </c>
      <c r="L57" s="58">
        <f>VLOOKUP(K57,코드!$B$3:$C$29,2,FALSE)</f>
        <v>4241130</v>
      </c>
      <c r="M57" s="79" t="s">
        <v>280</v>
      </c>
      <c r="N57" s="79" t="s">
        <v>869</v>
      </c>
      <c r="O57" s="82">
        <v>85000</v>
      </c>
      <c r="P57" s="82">
        <v>1</v>
      </c>
      <c r="Q57" s="82">
        <v>5</v>
      </c>
      <c r="R57" s="82">
        <v>935000</v>
      </c>
      <c r="S57" s="82"/>
      <c r="T57" s="78">
        <v>425000</v>
      </c>
      <c r="U57" s="71" t="s">
        <v>136</v>
      </c>
      <c r="V57" s="60">
        <f t="shared" si="7"/>
        <v>0.45454545454545453</v>
      </c>
      <c r="W57" s="46"/>
      <c r="X57" s="74"/>
      <c r="Y57" s="46"/>
      <c r="AC57" s="46"/>
    </row>
    <row r="58" spans="1:29" ht="49.5" customHeight="1">
      <c r="A58" s="59" t="s">
        <v>257</v>
      </c>
      <c r="B58" s="79" t="s">
        <v>715</v>
      </c>
      <c r="C58" s="71" t="s">
        <v>255</v>
      </c>
      <c r="D58" s="58" t="str">
        <f>VLOOKUP(C58,코드!$E$3:$F$30,2,FALSE)</f>
        <v>8623</v>
      </c>
      <c r="E58" s="61" t="s">
        <v>874</v>
      </c>
      <c r="F58" s="61" t="s">
        <v>887</v>
      </c>
      <c r="G58" s="83" t="s">
        <v>886</v>
      </c>
      <c r="H58" s="61" t="s">
        <v>885</v>
      </c>
      <c r="I58" s="207" t="s">
        <v>884</v>
      </c>
      <c r="J58" s="79" t="s">
        <v>130</v>
      </c>
      <c r="K58" s="79" t="s">
        <v>18</v>
      </c>
      <c r="L58" s="58">
        <f>VLOOKUP(K58,코드!$B$3:$C$29,2,FALSE)</f>
        <v>4233201</v>
      </c>
      <c r="M58" s="79" t="s">
        <v>266</v>
      </c>
      <c r="N58" s="79" t="s">
        <v>869</v>
      </c>
      <c r="O58" s="82">
        <v>2000000</v>
      </c>
      <c r="P58" s="82">
        <v>1</v>
      </c>
      <c r="Q58" s="82">
        <v>1</v>
      </c>
      <c r="R58" s="82">
        <v>2000000</v>
      </c>
      <c r="S58" s="82"/>
      <c r="T58" s="78">
        <v>2000000</v>
      </c>
      <c r="U58" s="71" t="s">
        <v>431</v>
      </c>
      <c r="V58" s="60">
        <f t="shared" si="7"/>
        <v>1</v>
      </c>
      <c r="W58" s="46"/>
      <c r="X58" s="74"/>
      <c r="Y58" s="46"/>
      <c r="Z58" s="59"/>
      <c r="AA58" s="59"/>
      <c r="AB58" s="59"/>
      <c r="AC58" s="46"/>
    </row>
    <row r="59" spans="1:29" ht="52.5" customHeight="1">
      <c r="A59" s="59" t="s">
        <v>257</v>
      </c>
      <c r="B59" s="79" t="s">
        <v>715</v>
      </c>
      <c r="C59" s="71" t="s">
        <v>255</v>
      </c>
      <c r="D59" s="58" t="str">
        <f>VLOOKUP(C59,코드!$E$3:$F$30,2,FALSE)</f>
        <v>8623</v>
      </c>
      <c r="E59" s="61" t="s">
        <v>883</v>
      </c>
      <c r="F59" s="61" t="s">
        <v>1069</v>
      </c>
      <c r="G59" s="83" t="s">
        <v>881</v>
      </c>
      <c r="H59" s="206" t="s">
        <v>880</v>
      </c>
      <c r="I59" s="205" t="s">
        <v>879</v>
      </c>
      <c r="J59" s="79" t="s">
        <v>205</v>
      </c>
      <c r="K59" s="79" t="s">
        <v>18</v>
      </c>
      <c r="L59" s="58">
        <f>VLOOKUP(K59,코드!$B$3:$C$29,2,FALSE)</f>
        <v>4233201</v>
      </c>
      <c r="M59" s="79" t="s">
        <v>266</v>
      </c>
      <c r="N59" s="79" t="s">
        <v>878</v>
      </c>
      <c r="O59" s="82">
        <v>1600000</v>
      </c>
      <c r="P59" s="82">
        <v>1</v>
      </c>
      <c r="Q59" s="82">
        <v>12</v>
      </c>
      <c r="R59" s="82">
        <v>404200000</v>
      </c>
      <c r="S59" s="82"/>
      <c r="T59" s="82">
        <v>404200000</v>
      </c>
      <c r="U59" s="71" t="s">
        <v>431</v>
      </c>
      <c r="V59" s="60">
        <f t="shared" si="7"/>
        <v>1</v>
      </c>
      <c r="W59" s="46"/>
      <c r="X59" s="74"/>
      <c r="Y59" s="46"/>
      <c r="Z59" s="59"/>
      <c r="AA59" s="59"/>
      <c r="AB59" s="59"/>
      <c r="AC59" s="46"/>
    </row>
    <row r="60" spans="1:29" ht="17.25" customHeight="1">
      <c r="A60" s="59" t="s">
        <v>257</v>
      </c>
      <c r="B60" s="79" t="s">
        <v>715</v>
      </c>
      <c r="C60" s="71" t="s">
        <v>255</v>
      </c>
      <c r="D60" s="58" t="str">
        <f>VLOOKUP(C60,코드!$E$3:$F$30,2,FALSE)</f>
        <v>8623</v>
      </c>
      <c r="E60" s="61" t="s">
        <v>874</v>
      </c>
      <c r="F60" s="61" t="s">
        <v>873</v>
      </c>
      <c r="G60" s="58" t="s">
        <v>872</v>
      </c>
      <c r="H60" s="65" t="s">
        <v>876</v>
      </c>
      <c r="I60" s="65" t="s">
        <v>875</v>
      </c>
      <c r="J60" s="79" t="s">
        <v>130</v>
      </c>
      <c r="K60" s="79" t="s">
        <v>18</v>
      </c>
      <c r="L60" s="58">
        <f>VLOOKUP(K60,코드!$B$3:$C$29,2,FALSE)</f>
        <v>4233201</v>
      </c>
      <c r="M60" s="79" t="s">
        <v>266</v>
      </c>
      <c r="N60" s="79" t="s">
        <v>869</v>
      </c>
      <c r="O60" s="82">
        <v>2500000</v>
      </c>
      <c r="P60" s="82">
        <v>1</v>
      </c>
      <c r="Q60" s="82">
        <v>2</v>
      </c>
      <c r="R60" s="82">
        <v>2500000</v>
      </c>
      <c r="S60" s="82"/>
      <c r="T60" s="82"/>
      <c r="U60" s="71" t="s">
        <v>136</v>
      </c>
      <c r="V60" s="60">
        <f t="shared" si="7"/>
        <v>0</v>
      </c>
      <c r="W60" s="46"/>
      <c r="X60" s="74"/>
      <c r="Y60" s="46"/>
      <c r="Z60" s="59"/>
      <c r="AA60" s="59"/>
      <c r="AB60" s="59"/>
      <c r="AC60" s="46"/>
    </row>
    <row r="61" spans="1:29" s="59" customFormat="1" ht="16.5" customHeight="1">
      <c r="A61" s="59" t="s">
        <v>257</v>
      </c>
      <c r="B61" s="79" t="s">
        <v>715</v>
      </c>
      <c r="C61" s="71" t="s">
        <v>255</v>
      </c>
      <c r="D61" s="58" t="str">
        <f>VLOOKUP(C61,코드!$E$3:$F$30,2,FALSE)</f>
        <v>8623</v>
      </c>
      <c r="E61" s="61" t="s">
        <v>874</v>
      </c>
      <c r="F61" s="61" t="s">
        <v>873</v>
      </c>
      <c r="G61" s="58" t="s">
        <v>872</v>
      </c>
      <c r="H61" s="65" t="s">
        <v>871</v>
      </c>
      <c r="I61" s="65" t="s">
        <v>870</v>
      </c>
      <c r="J61" s="79" t="s">
        <v>130</v>
      </c>
      <c r="K61" s="79" t="s">
        <v>17</v>
      </c>
      <c r="L61" s="58">
        <f>VLOOKUP(K61,코드!$B$3:$C$29,2,FALSE)</f>
        <v>4241130</v>
      </c>
      <c r="M61" s="79" t="s">
        <v>262</v>
      </c>
      <c r="N61" s="79" t="s">
        <v>869</v>
      </c>
      <c r="O61" s="82"/>
      <c r="P61" s="82"/>
      <c r="Q61" s="82"/>
      <c r="R61" s="82">
        <v>500000</v>
      </c>
      <c r="S61" s="82"/>
      <c r="T61" s="82"/>
      <c r="U61" s="71" t="s">
        <v>136</v>
      </c>
      <c r="V61" s="60">
        <f t="shared" si="7"/>
        <v>0</v>
      </c>
      <c r="W61" s="46"/>
      <c r="X61" s="74"/>
      <c r="Y61" s="46"/>
      <c r="AC61" s="46"/>
    </row>
    <row r="62" spans="1:29" s="59" customFormat="1" ht="17.25" customHeight="1">
      <c r="A62" s="59" t="s">
        <v>257</v>
      </c>
      <c r="B62" s="79" t="s">
        <v>715</v>
      </c>
      <c r="C62" s="71"/>
      <c r="D62" s="58"/>
      <c r="E62" s="61"/>
      <c r="F62" s="61"/>
      <c r="G62" s="83"/>
      <c r="H62" s="61"/>
      <c r="I62" s="61"/>
      <c r="J62" s="79"/>
      <c r="K62" s="79"/>
      <c r="L62" s="58"/>
      <c r="M62" s="79"/>
      <c r="N62" s="79"/>
      <c r="O62" s="82"/>
      <c r="P62" s="82"/>
      <c r="Q62" s="82"/>
      <c r="R62" s="82"/>
      <c r="S62" s="82"/>
      <c r="T62" s="78">
        <v>0</v>
      </c>
      <c r="U62" s="71"/>
      <c r="V62" s="60" t="s">
        <v>126</v>
      </c>
      <c r="W62" s="46"/>
      <c r="X62" s="74"/>
      <c r="Y62" s="46"/>
      <c r="AC62" s="46"/>
    </row>
    <row r="63" spans="1:29" s="59" customFormat="1" ht="17.25" customHeight="1">
      <c r="A63" s="59" t="s">
        <v>257</v>
      </c>
      <c r="B63" s="72" t="s">
        <v>715</v>
      </c>
      <c r="C63" s="155" t="s">
        <v>247</v>
      </c>
      <c r="D63" s="58" t="str">
        <f>VLOOKUP(C63,코드!$E$3:$F$30,2,FALSE)</f>
        <v>8711</v>
      </c>
      <c r="E63" s="66" t="s">
        <v>802</v>
      </c>
      <c r="F63" s="65" t="s">
        <v>855</v>
      </c>
      <c r="G63" s="66" t="s">
        <v>862</v>
      </c>
      <c r="H63" s="70" t="s">
        <v>470</v>
      </c>
      <c r="I63" s="70" t="s">
        <v>868</v>
      </c>
      <c r="J63" s="69" t="s">
        <v>84</v>
      </c>
      <c r="K63" s="68" t="s">
        <v>97</v>
      </c>
      <c r="L63" s="68">
        <f>VLOOKUP(K63,코드!$B$3:$C$29,2,FALSE)</f>
        <v>4125101</v>
      </c>
      <c r="M63" s="69" t="s">
        <v>96</v>
      </c>
      <c r="N63" s="68" t="s">
        <v>68</v>
      </c>
      <c r="O63" s="82"/>
      <c r="P63" s="82"/>
      <c r="Q63" s="82"/>
      <c r="R63" s="63">
        <v>30000000</v>
      </c>
      <c r="S63" s="82"/>
      <c r="T63" s="63">
        <v>30000000</v>
      </c>
      <c r="U63" s="61" t="s">
        <v>67</v>
      </c>
      <c r="V63" s="60">
        <f t="shared" ref="V63:V110" si="8">T63/R63</f>
        <v>1</v>
      </c>
      <c r="W63" s="46"/>
      <c r="X63" s="74"/>
      <c r="Y63" s="46"/>
      <c r="AC63" s="46"/>
    </row>
    <row r="64" spans="1:29" s="59" customFormat="1" ht="17.25" customHeight="1">
      <c r="A64" s="59" t="s">
        <v>257</v>
      </c>
      <c r="B64" s="72" t="s">
        <v>715</v>
      </c>
      <c r="C64" s="155" t="s">
        <v>247</v>
      </c>
      <c r="D64" s="58" t="str">
        <f>VLOOKUP(C64,코드!$E$3:$F$30,2,FALSE)</f>
        <v>8711</v>
      </c>
      <c r="E64" s="66" t="s">
        <v>802</v>
      </c>
      <c r="F64" s="65" t="s">
        <v>855</v>
      </c>
      <c r="G64" s="66" t="s">
        <v>862</v>
      </c>
      <c r="H64" s="70" t="s">
        <v>470</v>
      </c>
      <c r="I64" s="70" t="s">
        <v>867</v>
      </c>
      <c r="J64" s="69" t="s">
        <v>84</v>
      </c>
      <c r="K64" s="68" t="s">
        <v>97</v>
      </c>
      <c r="L64" s="68">
        <f>VLOOKUP(K64,코드!$B$3:$C$29,2,FALSE)</f>
        <v>4125101</v>
      </c>
      <c r="M64" s="69" t="s">
        <v>96</v>
      </c>
      <c r="N64" s="68" t="s">
        <v>68</v>
      </c>
      <c r="O64" s="82"/>
      <c r="P64" s="82"/>
      <c r="Q64" s="82"/>
      <c r="R64" s="63">
        <v>30000000</v>
      </c>
      <c r="S64" s="82"/>
      <c r="T64" s="63">
        <v>30000000</v>
      </c>
      <c r="U64" s="61" t="s">
        <v>67</v>
      </c>
      <c r="V64" s="60">
        <f t="shared" si="8"/>
        <v>1</v>
      </c>
      <c r="W64" s="46"/>
      <c r="X64" s="74"/>
      <c r="Y64" s="46"/>
      <c r="AC64" s="46"/>
    </row>
    <row r="65" spans="1:29" s="59" customFormat="1" ht="17.25" customHeight="1">
      <c r="A65" s="59" t="s">
        <v>257</v>
      </c>
      <c r="B65" s="72" t="s">
        <v>715</v>
      </c>
      <c r="C65" s="155" t="s">
        <v>247</v>
      </c>
      <c r="D65" s="58" t="str">
        <f>VLOOKUP(C65,코드!$E$3:$F$30,2,FALSE)</f>
        <v>8711</v>
      </c>
      <c r="E65" s="66" t="s">
        <v>802</v>
      </c>
      <c r="F65" s="65" t="s">
        <v>855</v>
      </c>
      <c r="G65" s="66" t="s">
        <v>862</v>
      </c>
      <c r="H65" s="65" t="s">
        <v>866</v>
      </c>
      <c r="I65" s="65" t="s">
        <v>865</v>
      </c>
      <c r="J65" s="72" t="s">
        <v>130</v>
      </c>
      <c r="K65" s="72" t="s">
        <v>17</v>
      </c>
      <c r="L65" s="58">
        <f>VLOOKUP(K65,코드!$B$3:$C$29,2,FALSE)</f>
        <v>4241130</v>
      </c>
      <c r="M65" s="72" t="s">
        <v>356</v>
      </c>
      <c r="N65" s="79" t="s">
        <v>797</v>
      </c>
      <c r="O65" s="75">
        <v>150000</v>
      </c>
      <c r="P65" s="75">
        <v>200</v>
      </c>
      <c r="Q65" s="75">
        <v>1</v>
      </c>
      <c r="R65" s="75">
        <v>25000000</v>
      </c>
      <c r="S65" s="75"/>
      <c r="T65" s="78">
        <v>25000000</v>
      </c>
      <c r="U65" s="61" t="s">
        <v>127</v>
      </c>
      <c r="V65" s="60">
        <f t="shared" si="8"/>
        <v>1</v>
      </c>
      <c r="W65" s="46"/>
      <c r="X65" s="74"/>
      <c r="Y65" s="46"/>
      <c r="AC65" s="46"/>
    </row>
    <row r="66" spans="1:29" s="59" customFormat="1" ht="17.25" customHeight="1">
      <c r="A66" s="59" t="s">
        <v>257</v>
      </c>
      <c r="B66" s="72" t="s">
        <v>715</v>
      </c>
      <c r="C66" s="155" t="s">
        <v>247</v>
      </c>
      <c r="D66" s="58" t="str">
        <f>VLOOKUP(C66,코드!$E$3:$F$30,2,FALSE)</f>
        <v>8711</v>
      </c>
      <c r="E66" s="66" t="s">
        <v>802</v>
      </c>
      <c r="F66" s="65" t="s">
        <v>855</v>
      </c>
      <c r="G66" s="66" t="s">
        <v>862</v>
      </c>
      <c r="H66" s="65" t="s">
        <v>864</v>
      </c>
      <c r="I66" s="65" t="s">
        <v>863</v>
      </c>
      <c r="J66" s="72" t="s">
        <v>130</v>
      </c>
      <c r="K66" s="72" t="s">
        <v>17</v>
      </c>
      <c r="L66" s="58">
        <f>VLOOKUP(K66,코드!$B$3:$C$29,2,FALSE)</f>
        <v>4241130</v>
      </c>
      <c r="M66" s="72" t="s">
        <v>365</v>
      </c>
      <c r="N66" s="79" t="s">
        <v>797</v>
      </c>
      <c r="O66" s="75">
        <v>3300000</v>
      </c>
      <c r="P66" s="75">
        <v>1</v>
      </c>
      <c r="Q66" s="75">
        <v>1</v>
      </c>
      <c r="R66" s="75">
        <v>3000000</v>
      </c>
      <c r="S66" s="75"/>
      <c r="T66" s="78">
        <v>0</v>
      </c>
      <c r="U66" s="71"/>
      <c r="V66" s="60">
        <f t="shared" si="8"/>
        <v>0</v>
      </c>
      <c r="W66" s="73"/>
      <c r="X66" s="74"/>
      <c r="Y66" s="46"/>
      <c r="AC66" s="46"/>
    </row>
    <row r="67" spans="1:29" s="59" customFormat="1" ht="17.25" customHeight="1">
      <c r="A67" s="59" t="s">
        <v>257</v>
      </c>
      <c r="B67" s="72" t="s">
        <v>715</v>
      </c>
      <c r="C67" s="155" t="s">
        <v>247</v>
      </c>
      <c r="D67" s="58" t="str">
        <f>VLOOKUP(C67,코드!$E$3:$F$30,2,FALSE)</f>
        <v>8711</v>
      </c>
      <c r="E67" s="66" t="s">
        <v>802</v>
      </c>
      <c r="F67" s="65" t="s">
        <v>855</v>
      </c>
      <c r="G67" s="66" t="s">
        <v>862</v>
      </c>
      <c r="H67" s="65" t="s">
        <v>861</v>
      </c>
      <c r="I67" s="65" t="s">
        <v>860</v>
      </c>
      <c r="J67" s="72" t="s">
        <v>130</v>
      </c>
      <c r="K67" s="72" t="s">
        <v>17</v>
      </c>
      <c r="L67" s="58">
        <f>VLOOKUP(K67,코드!$B$3:$C$29,2,FALSE)</f>
        <v>4241130</v>
      </c>
      <c r="M67" s="72" t="s">
        <v>365</v>
      </c>
      <c r="N67" s="79" t="s">
        <v>797</v>
      </c>
      <c r="O67" s="75">
        <v>5400000</v>
      </c>
      <c r="P67" s="75">
        <v>1</v>
      </c>
      <c r="Q67" s="75">
        <v>1</v>
      </c>
      <c r="R67" s="75">
        <v>5000000</v>
      </c>
      <c r="S67" s="75"/>
      <c r="T67" s="78">
        <v>4400000</v>
      </c>
      <c r="U67" s="71" t="s">
        <v>127</v>
      </c>
      <c r="V67" s="60">
        <f t="shared" si="8"/>
        <v>0.88</v>
      </c>
      <c r="W67" s="73"/>
      <c r="X67" s="74"/>
      <c r="Y67" s="46"/>
      <c r="AC67" s="46"/>
    </row>
    <row r="68" spans="1:29" s="59" customFormat="1" ht="17.25" customHeight="1">
      <c r="A68" s="59" t="s">
        <v>257</v>
      </c>
      <c r="B68" s="72" t="s">
        <v>715</v>
      </c>
      <c r="C68" s="155" t="s">
        <v>247</v>
      </c>
      <c r="D68" s="58" t="str">
        <f>VLOOKUP(C68,코드!$E$3:$F$30,2,FALSE)</f>
        <v>8711</v>
      </c>
      <c r="E68" s="66" t="s">
        <v>802</v>
      </c>
      <c r="F68" s="65" t="s">
        <v>855</v>
      </c>
      <c r="G68" s="66" t="s">
        <v>854</v>
      </c>
      <c r="H68" s="65" t="s">
        <v>858</v>
      </c>
      <c r="I68" s="65" t="s">
        <v>859</v>
      </c>
      <c r="J68" s="72" t="s">
        <v>130</v>
      </c>
      <c r="K68" s="72" t="s">
        <v>17</v>
      </c>
      <c r="L68" s="58">
        <f>VLOOKUP(K68,코드!$B$3:$C$29,2,FALSE)</f>
        <v>4241130</v>
      </c>
      <c r="M68" s="72" t="s">
        <v>262</v>
      </c>
      <c r="N68" s="79" t="s">
        <v>797</v>
      </c>
      <c r="O68" s="193">
        <v>2700000</v>
      </c>
      <c r="P68" s="193">
        <v>1</v>
      </c>
      <c r="Q68" s="193">
        <v>1</v>
      </c>
      <c r="R68" s="193">
        <v>2500000</v>
      </c>
      <c r="S68" s="193"/>
      <c r="T68" s="194">
        <v>1500000</v>
      </c>
      <c r="U68" s="61" t="s">
        <v>127</v>
      </c>
      <c r="V68" s="60">
        <f t="shared" si="8"/>
        <v>0.6</v>
      </c>
      <c r="W68" s="73"/>
      <c r="X68" s="74"/>
      <c r="Y68" s="46"/>
      <c r="AC68" s="46"/>
    </row>
    <row r="69" spans="1:29" s="59" customFormat="1" ht="17.25" customHeight="1">
      <c r="A69" s="59" t="s">
        <v>257</v>
      </c>
      <c r="B69" s="72" t="s">
        <v>715</v>
      </c>
      <c r="C69" s="155" t="s">
        <v>247</v>
      </c>
      <c r="D69" s="58" t="str">
        <f>VLOOKUP(C69,코드!$E$3:$F$30,2,FALSE)</f>
        <v>8711</v>
      </c>
      <c r="E69" s="66" t="s">
        <v>802</v>
      </c>
      <c r="F69" s="65" t="s">
        <v>855</v>
      </c>
      <c r="G69" s="66" t="s">
        <v>854</v>
      </c>
      <c r="H69" s="65" t="s">
        <v>858</v>
      </c>
      <c r="I69" s="65" t="s">
        <v>857</v>
      </c>
      <c r="J69" s="72" t="s">
        <v>130</v>
      </c>
      <c r="K69" s="72" t="s">
        <v>17</v>
      </c>
      <c r="L69" s="58">
        <f>VLOOKUP(K69,코드!$B$3:$C$29,2,FALSE)</f>
        <v>4241130</v>
      </c>
      <c r="M69" s="72" t="s">
        <v>259</v>
      </c>
      <c r="N69" s="79" t="s">
        <v>797</v>
      </c>
      <c r="O69" s="193">
        <v>2500000</v>
      </c>
      <c r="P69" s="193">
        <v>1</v>
      </c>
      <c r="Q69" s="193">
        <v>1</v>
      </c>
      <c r="R69" s="265">
        <v>2000000</v>
      </c>
      <c r="S69" s="193"/>
      <c r="T69" s="78">
        <v>0</v>
      </c>
      <c r="U69" s="71"/>
      <c r="V69" s="60">
        <f t="shared" si="8"/>
        <v>0</v>
      </c>
      <c r="W69" s="73"/>
      <c r="X69" s="74"/>
      <c r="Y69" s="46"/>
      <c r="AC69" s="46"/>
    </row>
    <row r="70" spans="1:29" s="59" customFormat="1" ht="17.25" customHeight="1">
      <c r="A70" s="59" t="s">
        <v>257</v>
      </c>
      <c r="B70" s="72" t="s">
        <v>715</v>
      </c>
      <c r="C70" s="155" t="s">
        <v>247</v>
      </c>
      <c r="D70" s="58" t="str">
        <f>VLOOKUP(C70,코드!$E$3:$F$30,2,FALSE)</f>
        <v>8711</v>
      </c>
      <c r="E70" s="65" t="s">
        <v>802</v>
      </c>
      <c r="F70" s="65" t="s">
        <v>855</v>
      </c>
      <c r="G70" s="66" t="s">
        <v>854</v>
      </c>
      <c r="H70" s="65" t="s">
        <v>853</v>
      </c>
      <c r="I70" s="65" t="s">
        <v>852</v>
      </c>
      <c r="J70" s="72" t="s">
        <v>130</v>
      </c>
      <c r="K70" s="72" t="s">
        <v>17</v>
      </c>
      <c r="L70" s="58">
        <f>VLOOKUP(K70,코드!$B$3:$C$29,2,FALSE)</f>
        <v>4241130</v>
      </c>
      <c r="M70" s="72" t="s">
        <v>356</v>
      </c>
      <c r="N70" s="79" t="s">
        <v>797</v>
      </c>
      <c r="O70" s="193">
        <v>200000</v>
      </c>
      <c r="P70" s="193">
        <v>25</v>
      </c>
      <c r="Q70" s="193">
        <v>1</v>
      </c>
      <c r="R70" s="265">
        <v>8000000</v>
      </c>
      <c r="S70" s="193"/>
      <c r="T70" s="78">
        <v>6000000</v>
      </c>
      <c r="U70" s="71" t="s">
        <v>856</v>
      </c>
      <c r="V70" s="60">
        <f t="shared" si="8"/>
        <v>0.75</v>
      </c>
      <c r="W70" s="73"/>
      <c r="X70" s="74"/>
      <c r="Y70" s="46"/>
      <c r="AC70" s="46"/>
    </row>
    <row r="71" spans="1:29" s="59" customFormat="1" ht="17.25" customHeight="1">
      <c r="A71" s="59" t="s">
        <v>257</v>
      </c>
      <c r="B71" s="72" t="s">
        <v>715</v>
      </c>
      <c r="C71" s="155" t="s">
        <v>247</v>
      </c>
      <c r="D71" s="58" t="str">
        <f>VLOOKUP(C71,코드!$E$3:$F$30,2,FALSE)</f>
        <v>8711</v>
      </c>
      <c r="E71" s="65" t="s">
        <v>802</v>
      </c>
      <c r="F71" s="65" t="s">
        <v>855</v>
      </c>
      <c r="G71" s="66" t="s">
        <v>854</v>
      </c>
      <c r="H71" s="65" t="s">
        <v>853</v>
      </c>
      <c r="I71" s="65" t="s">
        <v>852</v>
      </c>
      <c r="J71" s="72" t="s">
        <v>130</v>
      </c>
      <c r="K71" s="72" t="s">
        <v>17</v>
      </c>
      <c r="L71" s="58">
        <f>VLOOKUP(K71,코드!$B$3:$C$29,2,FALSE)</f>
        <v>4241130</v>
      </c>
      <c r="M71" s="72" t="s">
        <v>129</v>
      </c>
      <c r="N71" s="79" t="s">
        <v>797</v>
      </c>
      <c r="O71" s="193">
        <v>20000</v>
      </c>
      <c r="P71" s="193">
        <v>10</v>
      </c>
      <c r="Q71" s="193">
        <v>25</v>
      </c>
      <c r="R71" s="264">
        <v>500000</v>
      </c>
      <c r="S71" s="193"/>
      <c r="T71" s="78">
        <v>500000</v>
      </c>
      <c r="U71" s="71" t="s">
        <v>856</v>
      </c>
      <c r="V71" s="60">
        <f t="shared" si="8"/>
        <v>1</v>
      </c>
      <c r="W71" s="73"/>
      <c r="X71" s="74"/>
      <c r="Y71" s="46"/>
      <c r="AC71" s="46"/>
    </row>
    <row r="72" spans="1:29" s="59" customFormat="1" ht="17.25" customHeight="1">
      <c r="A72" s="59" t="s">
        <v>257</v>
      </c>
      <c r="B72" s="72" t="s">
        <v>715</v>
      </c>
      <c r="C72" s="155" t="s">
        <v>247</v>
      </c>
      <c r="D72" s="58" t="str">
        <f>VLOOKUP(C72,코드!$E$3:$F$30,2,FALSE)</f>
        <v>8711</v>
      </c>
      <c r="E72" s="65" t="s">
        <v>802</v>
      </c>
      <c r="F72" s="65" t="s">
        <v>855</v>
      </c>
      <c r="G72" s="66" t="s">
        <v>854</v>
      </c>
      <c r="H72" s="65" t="s">
        <v>853</v>
      </c>
      <c r="I72" s="65" t="s">
        <v>852</v>
      </c>
      <c r="J72" s="72" t="s">
        <v>130</v>
      </c>
      <c r="K72" s="72" t="s">
        <v>17</v>
      </c>
      <c r="L72" s="58">
        <f>VLOOKUP(K72,코드!$B$3:$C$29,2,FALSE)</f>
        <v>4241130</v>
      </c>
      <c r="M72" s="72" t="s">
        <v>259</v>
      </c>
      <c r="N72" s="79" t="s">
        <v>797</v>
      </c>
      <c r="O72" s="193">
        <v>20000</v>
      </c>
      <c r="P72" s="193">
        <v>10</v>
      </c>
      <c r="Q72" s="193">
        <v>25</v>
      </c>
      <c r="R72" s="264">
        <v>1500000</v>
      </c>
      <c r="S72" s="193"/>
      <c r="T72" s="78">
        <v>1500000</v>
      </c>
      <c r="U72" s="71" t="s">
        <v>378</v>
      </c>
      <c r="V72" s="60">
        <f t="shared" si="8"/>
        <v>1</v>
      </c>
      <c r="W72" s="73"/>
      <c r="X72" s="74"/>
      <c r="Y72" s="46"/>
      <c r="AC72" s="46"/>
    </row>
    <row r="73" spans="1:29" s="59" customFormat="1" ht="17.25" customHeight="1">
      <c r="A73" s="59" t="s">
        <v>257</v>
      </c>
      <c r="B73" s="72" t="s">
        <v>715</v>
      </c>
      <c r="C73" s="155" t="s">
        <v>247</v>
      </c>
      <c r="D73" s="58" t="str">
        <f>VLOOKUP(C73,코드!$E$3:$F$30,2,FALSE)</f>
        <v>8711</v>
      </c>
      <c r="E73" s="65" t="s">
        <v>802</v>
      </c>
      <c r="F73" s="65" t="s">
        <v>812</v>
      </c>
      <c r="G73" s="66" t="s">
        <v>824</v>
      </c>
      <c r="H73" s="65" t="s">
        <v>851</v>
      </c>
      <c r="I73" s="65" t="s">
        <v>850</v>
      </c>
      <c r="J73" s="72" t="s">
        <v>130</v>
      </c>
      <c r="K73" s="72" t="s">
        <v>17</v>
      </c>
      <c r="L73" s="58">
        <f>VLOOKUP(K73,코드!$B$3:$C$29,2,FALSE)</f>
        <v>4241130</v>
      </c>
      <c r="M73" s="72" t="s">
        <v>356</v>
      </c>
      <c r="N73" s="79" t="s">
        <v>797</v>
      </c>
      <c r="O73" s="75">
        <v>300000</v>
      </c>
      <c r="P73" s="75">
        <v>1</v>
      </c>
      <c r="Q73" s="75">
        <v>80</v>
      </c>
      <c r="R73" s="160">
        <v>21000000</v>
      </c>
      <c r="S73" s="75"/>
      <c r="T73" s="78">
        <v>21000000</v>
      </c>
      <c r="U73" s="61" t="s">
        <v>127</v>
      </c>
      <c r="V73" s="60">
        <f t="shared" si="8"/>
        <v>1</v>
      </c>
      <c r="W73" s="46"/>
      <c r="X73" s="74"/>
      <c r="Y73" s="46"/>
      <c r="AC73" s="46"/>
    </row>
    <row r="74" spans="1:29" s="59" customFormat="1" ht="17.25" customHeight="1">
      <c r="A74" s="59" t="s">
        <v>257</v>
      </c>
      <c r="B74" s="72" t="s">
        <v>715</v>
      </c>
      <c r="C74" s="155" t="s">
        <v>247</v>
      </c>
      <c r="D74" s="58" t="str">
        <f>VLOOKUP(C74,코드!$E$3:$F$30,2,FALSE)</f>
        <v>8711</v>
      </c>
      <c r="E74" s="65" t="s">
        <v>802</v>
      </c>
      <c r="F74" s="65" t="s">
        <v>812</v>
      </c>
      <c r="G74" s="66" t="s">
        <v>824</v>
      </c>
      <c r="H74" s="65" t="s">
        <v>851</v>
      </c>
      <c r="I74" s="65" t="s">
        <v>850</v>
      </c>
      <c r="J74" s="72" t="s">
        <v>130</v>
      </c>
      <c r="K74" s="72" t="s">
        <v>17</v>
      </c>
      <c r="L74" s="58">
        <f>VLOOKUP(K74,코드!$B$3:$C$29,2,FALSE)</f>
        <v>4241130</v>
      </c>
      <c r="M74" s="72" t="s">
        <v>262</v>
      </c>
      <c r="N74" s="79" t="s">
        <v>797</v>
      </c>
      <c r="O74" s="75">
        <v>200000</v>
      </c>
      <c r="P74" s="75">
        <v>1</v>
      </c>
      <c r="Q74" s="75">
        <v>30</v>
      </c>
      <c r="R74" s="160">
        <v>3000000</v>
      </c>
      <c r="S74" s="75"/>
      <c r="T74" s="78">
        <v>3000000</v>
      </c>
      <c r="U74" s="61" t="s">
        <v>127</v>
      </c>
      <c r="V74" s="60">
        <f t="shared" si="8"/>
        <v>1</v>
      </c>
      <c r="W74" s="46"/>
      <c r="X74" s="74"/>
      <c r="Y74" s="46"/>
      <c r="AC74" s="46"/>
    </row>
    <row r="75" spans="1:29" s="59" customFormat="1" ht="17.25" customHeight="1">
      <c r="A75" s="59" t="s">
        <v>257</v>
      </c>
      <c r="B75" s="72" t="s">
        <v>715</v>
      </c>
      <c r="C75" s="155" t="s">
        <v>247</v>
      </c>
      <c r="D75" s="58" t="str">
        <f>VLOOKUP(C75,코드!$E$3:$F$30,2,FALSE)</f>
        <v>8711</v>
      </c>
      <c r="E75" s="65" t="s">
        <v>802</v>
      </c>
      <c r="F75" s="65" t="s">
        <v>812</v>
      </c>
      <c r="G75" s="66" t="s">
        <v>824</v>
      </c>
      <c r="H75" s="65" t="s">
        <v>851</v>
      </c>
      <c r="I75" s="65" t="s">
        <v>850</v>
      </c>
      <c r="J75" s="72" t="s">
        <v>130</v>
      </c>
      <c r="K75" s="72" t="s">
        <v>17</v>
      </c>
      <c r="L75" s="58">
        <f>VLOOKUP(K75,코드!$B$3:$C$29,2,FALSE)</f>
        <v>4241130</v>
      </c>
      <c r="M75" s="72" t="s">
        <v>129</v>
      </c>
      <c r="N75" s="79" t="s">
        <v>797</v>
      </c>
      <c r="O75" s="75"/>
      <c r="P75" s="75"/>
      <c r="Q75" s="75"/>
      <c r="R75" s="160">
        <v>3000000</v>
      </c>
      <c r="S75" s="75"/>
      <c r="T75" s="78">
        <v>3000000</v>
      </c>
      <c r="U75" s="61" t="s">
        <v>378</v>
      </c>
      <c r="V75" s="60">
        <f t="shared" si="8"/>
        <v>1</v>
      </c>
      <c r="W75" s="46"/>
      <c r="X75" s="74"/>
      <c r="Y75" s="46"/>
      <c r="AC75" s="46"/>
    </row>
    <row r="76" spans="1:29" s="59" customFormat="1" ht="17.25" customHeight="1">
      <c r="A76" s="59" t="s">
        <v>257</v>
      </c>
      <c r="B76" s="72" t="s">
        <v>715</v>
      </c>
      <c r="C76" s="155" t="s">
        <v>247</v>
      </c>
      <c r="D76" s="58" t="str">
        <f>VLOOKUP(C76,코드!$E$3:$F$30,2,FALSE)</f>
        <v>8711</v>
      </c>
      <c r="E76" s="65" t="s">
        <v>802</v>
      </c>
      <c r="F76" s="65" t="s">
        <v>812</v>
      </c>
      <c r="G76" s="66" t="s">
        <v>824</v>
      </c>
      <c r="H76" s="65" t="s">
        <v>851</v>
      </c>
      <c r="I76" s="65" t="s">
        <v>850</v>
      </c>
      <c r="J76" s="72" t="s">
        <v>130</v>
      </c>
      <c r="K76" s="72" t="s">
        <v>17</v>
      </c>
      <c r="L76" s="58">
        <f>VLOOKUP(K76,코드!$B$3:$C$29,2,FALSE)</f>
        <v>4241130</v>
      </c>
      <c r="M76" s="72" t="s">
        <v>849</v>
      </c>
      <c r="N76" s="79" t="s">
        <v>797</v>
      </c>
      <c r="O76" s="75"/>
      <c r="P76" s="75"/>
      <c r="Q76" s="75"/>
      <c r="R76" s="160">
        <v>7000000</v>
      </c>
      <c r="S76" s="75"/>
      <c r="T76" s="78">
        <v>0</v>
      </c>
      <c r="U76" s="61" t="s">
        <v>378</v>
      </c>
      <c r="V76" s="60">
        <f t="shared" si="8"/>
        <v>0</v>
      </c>
      <c r="W76" s="46"/>
      <c r="X76" s="74"/>
      <c r="Y76" s="46"/>
      <c r="AC76" s="46"/>
    </row>
    <row r="77" spans="1:29" s="59" customFormat="1" ht="17.25" customHeight="1">
      <c r="A77" s="59" t="s">
        <v>257</v>
      </c>
      <c r="B77" s="72" t="s">
        <v>715</v>
      </c>
      <c r="C77" s="155" t="s">
        <v>247</v>
      </c>
      <c r="D77" s="58" t="str">
        <f>VLOOKUP(C77,코드!$E$3:$F$30,2,FALSE)</f>
        <v>8711</v>
      </c>
      <c r="E77" s="65" t="s">
        <v>802</v>
      </c>
      <c r="F77" s="65" t="s">
        <v>848</v>
      </c>
      <c r="G77" s="66" t="s">
        <v>847</v>
      </c>
      <c r="H77" s="65" t="s">
        <v>846</v>
      </c>
      <c r="I77" s="65" t="s">
        <v>845</v>
      </c>
      <c r="J77" s="72" t="s">
        <v>130</v>
      </c>
      <c r="K77" s="72" t="s">
        <v>17</v>
      </c>
      <c r="L77" s="58">
        <f>VLOOKUP(K77,코드!$B$3:$C$29,2,FALSE)</f>
        <v>4241130</v>
      </c>
      <c r="M77" s="72" t="s">
        <v>356</v>
      </c>
      <c r="N77" s="79" t="s">
        <v>797</v>
      </c>
      <c r="O77" s="75">
        <v>300000</v>
      </c>
      <c r="P77" s="75">
        <v>40</v>
      </c>
      <c r="Q77" s="75">
        <v>2</v>
      </c>
      <c r="R77" s="75">
        <v>24000000</v>
      </c>
      <c r="S77" s="75"/>
      <c r="T77" s="78">
        <v>24000000</v>
      </c>
      <c r="U77" s="71" t="s">
        <v>127</v>
      </c>
      <c r="V77" s="60">
        <f t="shared" si="8"/>
        <v>1</v>
      </c>
      <c r="W77" s="46"/>
      <c r="X77" s="74"/>
      <c r="Y77" s="46"/>
      <c r="AC77" s="46"/>
    </row>
    <row r="78" spans="1:29" s="59" customFormat="1" ht="17.25" customHeight="1">
      <c r="A78" s="59" t="s">
        <v>257</v>
      </c>
      <c r="B78" s="72" t="s">
        <v>715</v>
      </c>
      <c r="C78" s="155" t="s">
        <v>247</v>
      </c>
      <c r="D78" s="58" t="str">
        <f>VLOOKUP(C78,코드!$E$3:$F$30,2,FALSE)</f>
        <v>8711</v>
      </c>
      <c r="E78" s="65" t="s">
        <v>802</v>
      </c>
      <c r="F78" s="65" t="s">
        <v>848</v>
      </c>
      <c r="G78" s="66" t="s">
        <v>847</v>
      </c>
      <c r="H78" s="65" t="s">
        <v>846</v>
      </c>
      <c r="I78" s="65" t="s">
        <v>845</v>
      </c>
      <c r="J78" s="72" t="s">
        <v>130</v>
      </c>
      <c r="K78" s="72" t="s">
        <v>17</v>
      </c>
      <c r="L78" s="58">
        <f>VLOOKUP(K78,코드!$B$3:$C$29,2,FALSE)</f>
        <v>4241130</v>
      </c>
      <c r="M78" s="72" t="s">
        <v>262</v>
      </c>
      <c r="N78" s="79" t="s">
        <v>797</v>
      </c>
      <c r="O78" s="75">
        <v>200000</v>
      </c>
      <c r="P78" s="75">
        <v>1</v>
      </c>
      <c r="Q78" s="75">
        <v>5</v>
      </c>
      <c r="R78" s="75">
        <v>4413000</v>
      </c>
      <c r="S78" s="75"/>
      <c r="T78" s="78">
        <v>4363000</v>
      </c>
      <c r="U78" s="71" t="s">
        <v>378</v>
      </c>
      <c r="V78" s="60">
        <f t="shared" si="8"/>
        <v>0.98866983911171535</v>
      </c>
      <c r="W78" s="46"/>
      <c r="X78" s="74"/>
      <c r="Y78" s="46"/>
      <c r="AC78" s="46"/>
    </row>
    <row r="79" spans="1:29" s="59" customFormat="1" ht="17.25" customHeight="1">
      <c r="A79" s="59" t="s">
        <v>257</v>
      </c>
      <c r="B79" s="72" t="s">
        <v>715</v>
      </c>
      <c r="C79" s="155" t="s">
        <v>247</v>
      </c>
      <c r="D79" s="58" t="str">
        <f>VLOOKUP(C79,코드!$E$3:$F$30,2,FALSE)</f>
        <v>8711</v>
      </c>
      <c r="E79" s="65" t="s">
        <v>802</v>
      </c>
      <c r="F79" s="65" t="s">
        <v>848</v>
      </c>
      <c r="G79" s="66" t="s">
        <v>847</v>
      </c>
      <c r="H79" s="65" t="s">
        <v>846</v>
      </c>
      <c r="I79" s="65" t="s">
        <v>845</v>
      </c>
      <c r="J79" s="72" t="s">
        <v>130</v>
      </c>
      <c r="K79" s="72" t="s">
        <v>18</v>
      </c>
      <c r="L79" s="58">
        <f>VLOOKUP(K79,코드!$B$3:$C$29,2,FALSE)</f>
        <v>4233201</v>
      </c>
      <c r="M79" s="72" t="s">
        <v>266</v>
      </c>
      <c r="N79" s="79" t="s">
        <v>797</v>
      </c>
      <c r="O79" s="75">
        <v>17500000</v>
      </c>
      <c r="P79" s="75">
        <v>1</v>
      </c>
      <c r="Q79" s="75">
        <v>2</v>
      </c>
      <c r="R79" s="75">
        <v>25632930</v>
      </c>
      <c r="S79" s="75"/>
      <c r="T79" s="78">
        <v>25632930</v>
      </c>
      <c r="U79" s="71" t="s">
        <v>378</v>
      </c>
      <c r="V79" s="60">
        <f t="shared" si="8"/>
        <v>1</v>
      </c>
      <c r="W79" s="46"/>
      <c r="X79" s="74"/>
      <c r="Y79" s="46"/>
      <c r="AC79" s="46"/>
    </row>
    <row r="80" spans="1:29" s="59" customFormat="1" ht="17.25" customHeight="1">
      <c r="A80" s="59" t="s">
        <v>257</v>
      </c>
      <c r="B80" s="72" t="s">
        <v>715</v>
      </c>
      <c r="C80" s="155" t="s">
        <v>247</v>
      </c>
      <c r="D80" s="58" t="str">
        <f>VLOOKUP(C80,코드!$E$3:$F$30,2,FALSE)</f>
        <v>8711</v>
      </c>
      <c r="E80" s="65" t="s">
        <v>802</v>
      </c>
      <c r="F80" s="65" t="s">
        <v>848</v>
      </c>
      <c r="G80" s="66" t="s">
        <v>847</v>
      </c>
      <c r="H80" s="65" t="s">
        <v>846</v>
      </c>
      <c r="I80" s="65" t="s">
        <v>845</v>
      </c>
      <c r="J80" s="72" t="s">
        <v>130</v>
      </c>
      <c r="K80" s="72" t="s">
        <v>17</v>
      </c>
      <c r="L80" s="58">
        <f>VLOOKUP(K80,코드!$B$3:$C$29,2,FALSE)</f>
        <v>4241130</v>
      </c>
      <c r="M80" s="72" t="s">
        <v>120</v>
      </c>
      <c r="N80" s="79" t="s">
        <v>797</v>
      </c>
      <c r="O80" s="75"/>
      <c r="P80" s="75"/>
      <c r="Q80" s="75"/>
      <c r="R80" s="75">
        <v>6004070</v>
      </c>
      <c r="S80" s="75"/>
      <c r="T80" s="78">
        <v>6004070</v>
      </c>
      <c r="U80" s="71" t="s">
        <v>378</v>
      </c>
      <c r="V80" s="60">
        <f t="shared" si="8"/>
        <v>1</v>
      </c>
      <c r="W80" s="46"/>
      <c r="X80" s="74"/>
      <c r="Y80" s="46"/>
      <c r="AC80" s="46"/>
    </row>
    <row r="81" spans="1:29" s="59" customFormat="1" ht="17.25" customHeight="1">
      <c r="A81" s="59" t="s">
        <v>257</v>
      </c>
      <c r="B81" s="72" t="s">
        <v>715</v>
      </c>
      <c r="C81" s="155" t="s">
        <v>247</v>
      </c>
      <c r="D81" s="58" t="str">
        <f>VLOOKUP(C81,코드!$E$3:$F$30,2,FALSE)</f>
        <v>8711</v>
      </c>
      <c r="E81" s="66" t="s">
        <v>802</v>
      </c>
      <c r="F81" s="65" t="s">
        <v>812</v>
      </c>
      <c r="G81" s="66" t="s">
        <v>824</v>
      </c>
      <c r="H81" s="65" t="s">
        <v>843</v>
      </c>
      <c r="I81" s="65" t="s">
        <v>844</v>
      </c>
      <c r="J81" s="72" t="s">
        <v>130</v>
      </c>
      <c r="K81" s="72" t="s">
        <v>17</v>
      </c>
      <c r="L81" s="58">
        <f>VLOOKUP(K81,코드!$B$3:$C$29,2,FALSE)</f>
        <v>4241130</v>
      </c>
      <c r="M81" s="72" t="s">
        <v>356</v>
      </c>
      <c r="N81" s="79" t="s">
        <v>797</v>
      </c>
      <c r="O81" s="75">
        <v>400000</v>
      </c>
      <c r="P81" s="75">
        <v>1</v>
      </c>
      <c r="Q81" s="75">
        <v>24</v>
      </c>
      <c r="R81" s="75">
        <v>4800000</v>
      </c>
      <c r="S81" s="75"/>
      <c r="T81" s="78">
        <v>4800000</v>
      </c>
      <c r="U81" s="61" t="s">
        <v>127</v>
      </c>
      <c r="V81" s="60">
        <f t="shared" si="8"/>
        <v>1</v>
      </c>
      <c r="W81" s="46"/>
      <c r="X81" s="74"/>
      <c r="Y81" s="46"/>
      <c r="AC81" s="46"/>
    </row>
    <row r="82" spans="1:29" s="59" customFormat="1" ht="17.25" customHeight="1">
      <c r="A82" s="59" t="s">
        <v>257</v>
      </c>
      <c r="B82" s="72" t="s">
        <v>715</v>
      </c>
      <c r="C82" s="155" t="s">
        <v>247</v>
      </c>
      <c r="D82" s="58" t="str">
        <f>VLOOKUP(C82,코드!$E$3:$F$30,2,FALSE)</f>
        <v>8711</v>
      </c>
      <c r="E82" s="66" t="s">
        <v>802</v>
      </c>
      <c r="F82" s="65" t="s">
        <v>812</v>
      </c>
      <c r="G82" s="66" t="s">
        <v>824</v>
      </c>
      <c r="H82" s="65" t="s">
        <v>843</v>
      </c>
      <c r="I82" s="65" t="s">
        <v>842</v>
      </c>
      <c r="J82" s="72" t="s">
        <v>130</v>
      </c>
      <c r="K82" s="72" t="s">
        <v>18</v>
      </c>
      <c r="L82" s="58">
        <f>VLOOKUP(K82,코드!$B$3:$C$29,2,FALSE)</f>
        <v>4233201</v>
      </c>
      <c r="M82" s="72" t="s">
        <v>178</v>
      </c>
      <c r="N82" s="79" t="s">
        <v>839</v>
      </c>
      <c r="O82" s="75"/>
      <c r="P82" s="75"/>
      <c r="Q82" s="75"/>
      <c r="R82" s="75">
        <v>4800000</v>
      </c>
      <c r="S82" s="75"/>
      <c r="T82" s="165">
        <v>4800000</v>
      </c>
      <c r="U82" s="61" t="s">
        <v>158</v>
      </c>
      <c r="V82" s="145">
        <f t="shared" si="8"/>
        <v>1</v>
      </c>
      <c r="W82" s="73"/>
      <c r="X82" s="74"/>
      <c r="Y82" s="73"/>
      <c r="AC82" s="73"/>
    </row>
    <row r="83" spans="1:29" s="59" customFormat="1" ht="17.25" customHeight="1">
      <c r="A83" s="59" t="s">
        <v>257</v>
      </c>
      <c r="B83" s="72" t="s">
        <v>715</v>
      </c>
      <c r="C83" s="155" t="s">
        <v>247</v>
      </c>
      <c r="D83" s="58" t="str">
        <f>VLOOKUP(C83,코드!$E$3:$F$30,2,FALSE)</f>
        <v>8711</v>
      </c>
      <c r="E83" s="66" t="s">
        <v>802</v>
      </c>
      <c r="F83" s="65" t="s">
        <v>812</v>
      </c>
      <c r="G83" s="66" t="s">
        <v>824</v>
      </c>
      <c r="H83" s="65" t="s">
        <v>841</v>
      </c>
      <c r="I83" s="65" t="s">
        <v>840</v>
      </c>
      <c r="J83" s="72" t="s">
        <v>130</v>
      </c>
      <c r="K83" s="72" t="s">
        <v>17</v>
      </c>
      <c r="L83" s="58">
        <f>VLOOKUP(K83,코드!$B$3:$C$29,2,FALSE)</f>
        <v>4241130</v>
      </c>
      <c r="M83" s="72" t="s">
        <v>356</v>
      </c>
      <c r="N83" s="79" t="s">
        <v>797</v>
      </c>
      <c r="O83" s="75">
        <v>15600000</v>
      </c>
      <c r="P83" s="75">
        <v>1</v>
      </c>
      <c r="Q83" s="75">
        <v>1</v>
      </c>
      <c r="R83" s="75">
        <v>12800000</v>
      </c>
      <c r="S83" s="75"/>
      <c r="T83" s="78">
        <v>12800000</v>
      </c>
      <c r="U83" s="71" t="s">
        <v>378</v>
      </c>
      <c r="V83" s="60">
        <f t="shared" si="8"/>
        <v>1</v>
      </c>
      <c r="W83" s="46"/>
      <c r="X83" s="74"/>
      <c r="Y83" s="46"/>
      <c r="AC83" s="46"/>
    </row>
    <row r="84" spans="1:29" s="59" customFormat="1" ht="17.25" customHeight="1">
      <c r="A84" s="59" t="s">
        <v>257</v>
      </c>
      <c r="B84" s="72" t="s">
        <v>715</v>
      </c>
      <c r="C84" s="155" t="s">
        <v>247</v>
      </c>
      <c r="D84" s="58" t="str">
        <f>VLOOKUP(C84,코드!$E$3:$F$30,2,FALSE)</f>
        <v>8711</v>
      </c>
      <c r="E84" s="66" t="s">
        <v>802</v>
      </c>
      <c r="F84" s="65" t="s">
        <v>812</v>
      </c>
      <c r="G84" s="66" t="s">
        <v>824</v>
      </c>
      <c r="H84" s="65" t="s">
        <v>841</v>
      </c>
      <c r="I84" s="65" t="s">
        <v>840</v>
      </c>
      <c r="J84" s="72" t="s">
        <v>130</v>
      </c>
      <c r="K84" s="72" t="s">
        <v>18</v>
      </c>
      <c r="L84" s="58">
        <f>VLOOKUP(K84,코드!$B$3:$C$29,2,FALSE)</f>
        <v>4233201</v>
      </c>
      <c r="M84" s="72" t="s">
        <v>178</v>
      </c>
      <c r="N84" s="79" t="s">
        <v>839</v>
      </c>
      <c r="O84" s="75">
        <v>10000000</v>
      </c>
      <c r="P84" s="75">
        <v>1</v>
      </c>
      <c r="Q84" s="75">
        <v>1</v>
      </c>
      <c r="R84" s="75">
        <v>10000000</v>
      </c>
      <c r="S84" s="75"/>
      <c r="T84" s="165">
        <v>10000000</v>
      </c>
      <c r="U84" s="71" t="s">
        <v>378</v>
      </c>
      <c r="V84" s="145">
        <f t="shared" si="8"/>
        <v>1</v>
      </c>
      <c r="W84" s="73"/>
      <c r="X84" s="74"/>
      <c r="Y84" s="73"/>
      <c r="AC84" s="73"/>
    </row>
    <row r="85" spans="1:29" s="59" customFormat="1" ht="17.25" customHeight="1">
      <c r="A85" s="59" t="s">
        <v>257</v>
      </c>
      <c r="B85" s="72" t="s">
        <v>715</v>
      </c>
      <c r="C85" s="155" t="s">
        <v>247</v>
      </c>
      <c r="D85" s="58" t="str">
        <f>VLOOKUP(C85,코드!$E$3:$F$30,2,FALSE)</f>
        <v>8711</v>
      </c>
      <c r="E85" s="65" t="s">
        <v>802</v>
      </c>
      <c r="F85" s="65" t="s">
        <v>812</v>
      </c>
      <c r="G85" s="66" t="s">
        <v>824</v>
      </c>
      <c r="H85" s="65" t="s">
        <v>838</v>
      </c>
      <c r="I85" s="155" t="s">
        <v>837</v>
      </c>
      <c r="J85" s="72" t="s">
        <v>130</v>
      </c>
      <c r="K85" s="72" t="s">
        <v>17</v>
      </c>
      <c r="L85" s="58">
        <f>VLOOKUP(K85,코드!$B$3:$C$29,2,FALSE)</f>
        <v>4241130</v>
      </c>
      <c r="M85" s="72" t="s">
        <v>217</v>
      </c>
      <c r="N85" s="79" t="s">
        <v>797</v>
      </c>
      <c r="O85" s="75">
        <v>5300000</v>
      </c>
      <c r="P85" s="75">
        <v>1</v>
      </c>
      <c r="Q85" s="75">
        <v>1</v>
      </c>
      <c r="R85" s="75">
        <v>4150000</v>
      </c>
      <c r="S85" s="75"/>
      <c r="T85" s="78">
        <v>1400000</v>
      </c>
      <c r="U85" s="61" t="s">
        <v>127</v>
      </c>
      <c r="V85" s="60">
        <f t="shared" si="8"/>
        <v>0.33734939759036142</v>
      </c>
      <c r="W85" s="46"/>
      <c r="X85" s="74"/>
      <c r="Y85" s="46"/>
      <c r="AC85" s="46"/>
    </row>
    <row r="86" spans="1:29" s="59" customFormat="1" ht="17.25" customHeight="1">
      <c r="A86" s="59" t="s">
        <v>257</v>
      </c>
      <c r="B86" s="72" t="s">
        <v>715</v>
      </c>
      <c r="C86" s="155" t="s">
        <v>247</v>
      </c>
      <c r="D86" s="58" t="str">
        <f>VLOOKUP(C86,코드!$E$3:$F$30,2,FALSE)</f>
        <v>8711</v>
      </c>
      <c r="E86" s="65" t="s">
        <v>802</v>
      </c>
      <c r="F86" s="65" t="s">
        <v>812</v>
      </c>
      <c r="G86" s="66" t="s">
        <v>824</v>
      </c>
      <c r="H86" s="65" t="s">
        <v>838</v>
      </c>
      <c r="I86" s="155" t="s">
        <v>837</v>
      </c>
      <c r="J86" s="72" t="s">
        <v>130</v>
      </c>
      <c r="K86" s="72" t="s">
        <v>17</v>
      </c>
      <c r="L86" s="58">
        <f>VLOOKUP(K86,코드!$B$3:$C$29,2,FALSE)</f>
        <v>4241130</v>
      </c>
      <c r="M86" s="72" t="s">
        <v>129</v>
      </c>
      <c r="N86" s="79" t="s">
        <v>797</v>
      </c>
      <c r="O86" s="75">
        <v>4700000</v>
      </c>
      <c r="P86" s="75">
        <v>1</v>
      </c>
      <c r="Q86" s="75">
        <v>1</v>
      </c>
      <c r="R86" s="75">
        <v>4000000</v>
      </c>
      <c r="S86" s="75"/>
      <c r="T86" s="78">
        <v>3500000</v>
      </c>
      <c r="U86" s="61" t="s">
        <v>127</v>
      </c>
      <c r="V86" s="60">
        <f t="shared" si="8"/>
        <v>0.875</v>
      </c>
      <c r="W86" s="46"/>
      <c r="X86" s="74"/>
      <c r="Y86" s="46"/>
      <c r="AC86" s="46"/>
    </row>
    <row r="87" spans="1:29" s="59" customFormat="1" ht="17.25" customHeight="1">
      <c r="A87" s="59" t="s">
        <v>257</v>
      </c>
      <c r="B87" s="72" t="s">
        <v>715</v>
      </c>
      <c r="C87" s="155" t="s">
        <v>247</v>
      </c>
      <c r="D87" s="58" t="str">
        <f>VLOOKUP(C87,코드!$E$3:$F$30,2,FALSE)</f>
        <v>8711</v>
      </c>
      <c r="E87" s="65" t="s">
        <v>802</v>
      </c>
      <c r="F87" s="65" t="s">
        <v>812</v>
      </c>
      <c r="G87" s="66" t="s">
        <v>824</v>
      </c>
      <c r="H87" s="65" t="s">
        <v>834</v>
      </c>
      <c r="I87" s="65" t="s">
        <v>836</v>
      </c>
      <c r="J87" s="72" t="s">
        <v>130</v>
      </c>
      <c r="K87" s="72" t="s">
        <v>17</v>
      </c>
      <c r="L87" s="58">
        <f>VLOOKUP(K87,코드!$B$3:$C$29,2,FALSE)</f>
        <v>4241130</v>
      </c>
      <c r="M87" s="72" t="s">
        <v>262</v>
      </c>
      <c r="N87" s="79" t="s">
        <v>797</v>
      </c>
      <c r="O87" s="75">
        <v>250000</v>
      </c>
      <c r="P87" s="75">
        <v>1</v>
      </c>
      <c r="Q87" s="75">
        <v>2</v>
      </c>
      <c r="R87" s="75">
        <v>1250000</v>
      </c>
      <c r="S87" s="75"/>
      <c r="T87" s="78">
        <v>1250000</v>
      </c>
      <c r="U87" s="61" t="s">
        <v>127</v>
      </c>
      <c r="V87" s="60">
        <f t="shared" si="8"/>
        <v>1</v>
      </c>
      <c r="W87" s="46"/>
      <c r="X87" s="74"/>
      <c r="Y87" s="46"/>
      <c r="AC87" s="46"/>
    </row>
    <row r="88" spans="1:29" s="59" customFormat="1" ht="17.25" customHeight="1">
      <c r="A88" s="59" t="s">
        <v>257</v>
      </c>
      <c r="B88" s="72" t="s">
        <v>715</v>
      </c>
      <c r="C88" s="155" t="s">
        <v>247</v>
      </c>
      <c r="D88" s="58" t="str">
        <f>VLOOKUP(C88,코드!$E$3:$F$30,2,FALSE)</f>
        <v>8711</v>
      </c>
      <c r="E88" s="65" t="s">
        <v>802</v>
      </c>
      <c r="F88" s="65" t="s">
        <v>812</v>
      </c>
      <c r="G88" s="66" t="s">
        <v>824</v>
      </c>
      <c r="H88" s="65" t="s">
        <v>834</v>
      </c>
      <c r="I88" s="65" t="s">
        <v>835</v>
      </c>
      <c r="J88" s="72" t="s">
        <v>130</v>
      </c>
      <c r="K88" s="72" t="s">
        <v>17</v>
      </c>
      <c r="L88" s="58">
        <f>VLOOKUP(K88,코드!$B$3:$C$29,2,FALSE)</f>
        <v>4241130</v>
      </c>
      <c r="M88" s="72" t="s">
        <v>259</v>
      </c>
      <c r="N88" s="79" t="s">
        <v>797</v>
      </c>
      <c r="O88" s="75">
        <v>1250000</v>
      </c>
      <c r="P88" s="75">
        <v>1</v>
      </c>
      <c r="Q88" s="75">
        <v>2</v>
      </c>
      <c r="R88" s="75">
        <v>2000000</v>
      </c>
      <c r="S88" s="75"/>
      <c r="T88" s="78">
        <v>2000000</v>
      </c>
      <c r="U88" s="61" t="s">
        <v>127</v>
      </c>
      <c r="V88" s="60">
        <f t="shared" si="8"/>
        <v>1</v>
      </c>
      <c r="W88" s="46"/>
      <c r="X88" s="74"/>
      <c r="Y88" s="46"/>
      <c r="AC88" s="46"/>
    </row>
    <row r="89" spans="1:29" s="59" customFormat="1" ht="17.25" customHeight="1">
      <c r="A89" s="59" t="s">
        <v>257</v>
      </c>
      <c r="B89" s="72" t="s">
        <v>715</v>
      </c>
      <c r="C89" s="155" t="s">
        <v>247</v>
      </c>
      <c r="D89" s="58" t="str">
        <f>VLOOKUP(C89,코드!$E$3:$F$30,2,FALSE)</f>
        <v>8711</v>
      </c>
      <c r="E89" s="65" t="s">
        <v>802</v>
      </c>
      <c r="F89" s="65" t="s">
        <v>812</v>
      </c>
      <c r="G89" s="66" t="s">
        <v>824</v>
      </c>
      <c r="H89" s="65" t="s">
        <v>834</v>
      </c>
      <c r="I89" s="65" t="s">
        <v>833</v>
      </c>
      <c r="J89" s="72" t="s">
        <v>130</v>
      </c>
      <c r="K89" s="72" t="s">
        <v>17</v>
      </c>
      <c r="L89" s="58">
        <f>VLOOKUP(K89,코드!$B$3:$C$29,2,FALSE)</f>
        <v>4241130</v>
      </c>
      <c r="M89" s="72" t="s">
        <v>365</v>
      </c>
      <c r="N89" s="79" t="s">
        <v>797</v>
      </c>
      <c r="O89" s="75">
        <v>1000000</v>
      </c>
      <c r="P89" s="75">
        <v>1</v>
      </c>
      <c r="Q89" s="75">
        <v>2</v>
      </c>
      <c r="R89" s="75">
        <v>250000</v>
      </c>
      <c r="S89" s="75"/>
      <c r="T89" s="78">
        <v>250000</v>
      </c>
      <c r="U89" s="61" t="s">
        <v>127</v>
      </c>
      <c r="V89" s="60">
        <f t="shared" si="8"/>
        <v>1</v>
      </c>
      <c r="W89" s="46"/>
      <c r="X89" s="74"/>
      <c r="Y89" s="46"/>
      <c r="AC89" s="46"/>
    </row>
    <row r="90" spans="1:29" s="59" customFormat="1" ht="17.25" customHeight="1">
      <c r="A90" s="59" t="s">
        <v>257</v>
      </c>
      <c r="B90" s="72" t="s">
        <v>715</v>
      </c>
      <c r="C90" s="155" t="s">
        <v>247</v>
      </c>
      <c r="D90" s="58" t="str">
        <f>VLOOKUP(C90,코드!$E$3:$F$30,2,FALSE)</f>
        <v>8711</v>
      </c>
      <c r="E90" s="66" t="s">
        <v>802</v>
      </c>
      <c r="F90" s="65" t="s">
        <v>812</v>
      </c>
      <c r="G90" s="66" t="s">
        <v>824</v>
      </c>
      <c r="H90" s="65" t="s">
        <v>832</v>
      </c>
      <c r="I90" s="65" t="s">
        <v>831</v>
      </c>
      <c r="J90" s="72" t="s">
        <v>130</v>
      </c>
      <c r="K90" s="72" t="s">
        <v>18</v>
      </c>
      <c r="L90" s="58">
        <f>VLOOKUP(K90,코드!$B$3:$C$29,2,FALSE)</f>
        <v>4233201</v>
      </c>
      <c r="M90" s="72" t="s">
        <v>266</v>
      </c>
      <c r="N90" s="79" t="s">
        <v>797</v>
      </c>
      <c r="O90" s="75">
        <v>5000000</v>
      </c>
      <c r="P90" s="75">
        <v>1</v>
      </c>
      <c r="Q90" s="75">
        <v>6</v>
      </c>
      <c r="R90" s="75">
        <v>23000000</v>
      </c>
      <c r="S90" s="75"/>
      <c r="T90" s="78">
        <v>23000000</v>
      </c>
      <c r="U90" s="71" t="s">
        <v>127</v>
      </c>
      <c r="V90" s="60">
        <f t="shared" si="8"/>
        <v>1</v>
      </c>
      <c r="W90" s="46"/>
      <c r="X90" s="74"/>
      <c r="Y90" s="46"/>
      <c r="AC90" s="46"/>
    </row>
    <row r="91" spans="1:29" s="59" customFormat="1" ht="17.25" customHeight="1">
      <c r="A91" s="59" t="s">
        <v>257</v>
      </c>
      <c r="B91" s="72" t="s">
        <v>715</v>
      </c>
      <c r="C91" s="155" t="s">
        <v>247</v>
      </c>
      <c r="D91" s="58" t="str">
        <f>VLOOKUP(C91,코드!$E$3:$F$30,2,FALSE)</f>
        <v>8711</v>
      </c>
      <c r="E91" s="66" t="s">
        <v>830</v>
      </c>
      <c r="F91" s="65" t="s">
        <v>812</v>
      </c>
      <c r="G91" s="66" t="s">
        <v>824</v>
      </c>
      <c r="H91" s="65" t="s">
        <v>829</v>
      </c>
      <c r="I91" s="65" t="s">
        <v>828</v>
      </c>
      <c r="J91" s="72" t="s">
        <v>130</v>
      </c>
      <c r="K91" s="176" t="s">
        <v>18</v>
      </c>
      <c r="L91" s="58">
        <f>VLOOKUP(K91,코드!$B$3:$C$29,2,FALSE)</f>
        <v>4233201</v>
      </c>
      <c r="M91" s="72" t="s">
        <v>266</v>
      </c>
      <c r="N91" s="79" t="s">
        <v>797</v>
      </c>
      <c r="O91" s="75">
        <v>5000000</v>
      </c>
      <c r="P91" s="75">
        <v>1</v>
      </c>
      <c r="Q91" s="75">
        <v>4</v>
      </c>
      <c r="R91" s="75">
        <v>18000000</v>
      </c>
      <c r="S91" s="75"/>
      <c r="T91" s="162">
        <v>17300000</v>
      </c>
      <c r="U91" s="71" t="s">
        <v>127</v>
      </c>
      <c r="V91" s="60">
        <f t="shared" si="8"/>
        <v>0.96111111111111114</v>
      </c>
      <c r="W91" s="46"/>
      <c r="X91" s="74"/>
      <c r="Y91" s="46"/>
      <c r="AC91" s="46"/>
    </row>
    <row r="92" spans="1:29" s="59" customFormat="1" ht="17.25" customHeight="1">
      <c r="A92" s="59" t="s">
        <v>257</v>
      </c>
      <c r="B92" s="72" t="s">
        <v>715</v>
      </c>
      <c r="C92" s="155" t="s">
        <v>247</v>
      </c>
      <c r="D92" s="58" t="str">
        <f>VLOOKUP(C92,코드!$E$3:$F$30,2,FALSE)</f>
        <v>8711</v>
      </c>
      <c r="E92" s="66" t="s">
        <v>802</v>
      </c>
      <c r="F92" s="65" t="s">
        <v>812</v>
      </c>
      <c r="G92" s="66" t="s">
        <v>824</v>
      </c>
      <c r="H92" s="65" t="s">
        <v>827</v>
      </c>
      <c r="I92" s="65" t="s">
        <v>826</v>
      </c>
      <c r="J92" s="72" t="s">
        <v>130</v>
      </c>
      <c r="K92" s="72" t="s">
        <v>18</v>
      </c>
      <c r="L92" s="58">
        <f>VLOOKUP(K92,코드!$B$3:$C$29,2,FALSE)</f>
        <v>4233201</v>
      </c>
      <c r="M92" s="72" t="s">
        <v>266</v>
      </c>
      <c r="N92" s="79" t="s">
        <v>797</v>
      </c>
      <c r="O92" s="75">
        <v>5000000</v>
      </c>
      <c r="P92" s="75">
        <v>1</v>
      </c>
      <c r="Q92" s="75">
        <v>3</v>
      </c>
      <c r="R92" s="75">
        <v>5000000</v>
      </c>
      <c r="S92" s="75"/>
      <c r="T92" s="78">
        <v>5000000</v>
      </c>
      <c r="U92" s="61" t="s">
        <v>127</v>
      </c>
      <c r="V92" s="60">
        <f t="shared" si="8"/>
        <v>1</v>
      </c>
      <c r="W92" s="46"/>
      <c r="X92" s="74"/>
      <c r="Y92" s="46"/>
      <c r="AC92" s="46"/>
    </row>
    <row r="93" spans="1:29" s="59" customFormat="1" ht="17.25" customHeight="1">
      <c r="A93" s="59" t="s">
        <v>257</v>
      </c>
      <c r="B93" s="72" t="s">
        <v>715</v>
      </c>
      <c r="C93" s="155" t="s">
        <v>247</v>
      </c>
      <c r="D93" s="58" t="str">
        <f>VLOOKUP(C93,코드!$E$3:$F$30,2,FALSE)</f>
        <v>8711</v>
      </c>
      <c r="E93" s="66" t="s">
        <v>802</v>
      </c>
      <c r="F93" s="65" t="s">
        <v>812</v>
      </c>
      <c r="G93" s="66" t="s">
        <v>824</v>
      </c>
      <c r="H93" s="65" t="s">
        <v>825</v>
      </c>
      <c r="I93" s="65" t="s">
        <v>825</v>
      </c>
      <c r="J93" s="72" t="s">
        <v>130</v>
      </c>
      <c r="K93" s="72" t="s">
        <v>18</v>
      </c>
      <c r="L93" s="58">
        <f>VLOOKUP(K93,코드!$B$3:$C$29,2,FALSE)</f>
        <v>4233201</v>
      </c>
      <c r="M93" s="72" t="s">
        <v>266</v>
      </c>
      <c r="N93" s="79" t="s">
        <v>797</v>
      </c>
      <c r="O93" s="75">
        <v>15000000</v>
      </c>
      <c r="P93" s="75">
        <v>1</v>
      </c>
      <c r="Q93" s="75">
        <v>1</v>
      </c>
      <c r="R93" s="75">
        <v>14700000</v>
      </c>
      <c r="S93" s="75"/>
      <c r="T93" s="78">
        <v>14700000</v>
      </c>
      <c r="U93" s="61" t="s">
        <v>127</v>
      </c>
      <c r="V93" s="60">
        <f t="shared" si="8"/>
        <v>1</v>
      </c>
      <c r="W93" s="46"/>
      <c r="X93" s="74"/>
      <c r="Y93" s="46"/>
      <c r="AC93" s="46"/>
    </row>
    <row r="94" spans="1:29" s="59" customFormat="1" ht="17.25" customHeight="1">
      <c r="A94" s="59" t="s">
        <v>257</v>
      </c>
      <c r="B94" s="72" t="s">
        <v>715</v>
      </c>
      <c r="C94" s="155" t="s">
        <v>247</v>
      </c>
      <c r="D94" s="58" t="str">
        <f>VLOOKUP(C94,코드!$E$3:$F$30,2,FALSE)</f>
        <v>8711</v>
      </c>
      <c r="E94" s="66" t="s">
        <v>802</v>
      </c>
      <c r="F94" s="65" t="s">
        <v>812</v>
      </c>
      <c r="G94" s="66" t="s">
        <v>824</v>
      </c>
      <c r="H94" s="65" t="s">
        <v>825</v>
      </c>
      <c r="I94" s="65" t="s">
        <v>825</v>
      </c>
      <c r="J94" s="72" t="s">
        <v>130</v>
      </c>
      <c r="K94" s="176" t="s">
        <v>17</v>
      </c>
      <c r="L94" s="58">
        <f>VLOOKUP(K94,코드!$B$3:$C$29,2,FALSE)</f>
        <v>4241130</v>
      </c>
      <c r="M94" s="72" t="s">
        <v>120</v>
      </c>
      <c r="N94" s="79" t="s">
        <v>797</v>
      </c>
      <c r="O94" s="75"/>
      <c r="P94" s="75"/>
      <c r="Q94" s="75"/>
      <c r="R94" s="160">
        <v>300000</v>
      </c>
      <c r="S94" s="75"/>
      <c r="T94" s="78">
        <v>0</v>
      </c>
      <c r="U94" s="61" t="s">
        <v>378</v>
      </c>
      <c r="V94" s="60">
        <f t="shared" si="8"/>
        <v>0</v>
      </c>
      <c r="W94" s="46"/>
      <c r="X94" s="74"/>
      <c r="Y94" s="46"/>
      <c r="AC94" s="46"/>
    </row>
    <row r="95" spans="1:29" s="59" customFormat="1" ht="17.25" customHeight="1">
      <c r="A95" s="59" t="s">
        <v>257</v>
      </c>
      <c r="B95" s="72" t="s">
        <v>715</v>
      </c>
      <c r="C95" s="155" t="s">
        <v>247</v>
      </c>
      <c r="D95" s="58" t="str">
        <f>VLOOKUP(C95,코드!$E$3:$F$30,2,FALSE)</f>
        <v>8711</v>
      </c>
      <c r="E95" s="66" t="s">
        <v>802</v>
      </c>
      <c r="F95" s="65" t="s">
        <v>812</v>
      </c>
      <c r="G95" s="66" t="s">
        <v>824</v>
      </c>
      <c r="H95" s="65" t="s">
        <v>823</v>
      </c>
      <c r="I95" s="65" t="s">
        <v>822</v>
      </c>
      <c r="J95" s="72" t="s">
        <v>205</v>
      </c>
      <c r="K95" s="72" t="s">
        <v>18</v>
      </c>
      <c r="L95" s="58">
        <f>VLOOKUP(K95,코드!$B$3:$C$29,2,FALSE)</f>
        <v>4233201</v>
      </c>
      <c r="M95" s="72" t="s">
        <v>266</v>
      </c>
      <c r="N95" s="79" t="s">
        <v>808</v>
      </c>
      <c r="O95" s="75">
        <v>462000</v>
      </c>
      <c r="P95" s="75">
        <v>1</v>
      </c>
      <c r="Q95" s="75">
        <v>12</v>
      </c>
      <c r="R95" s="75">
        <v>5544000</v>
      </c>
      <c r="S95" s="75"/>
      <c r="T95" s="78">
        <v>3234000</v>
      </c>
      <c r="U95" s="71" t="s">
        <v>127</v>
      </c>
      <c r="V95" s="60">
        <f t="shared" si="8"/>
        <v>0.58333333333333337</v>
      </c>
      <c r="W95" s="46"/>
      <c r="X95" s="74"/>
      <c r="Y95" s="46"/>
      <c r="AC95" s="46"/>
    </row>
    <row r="96" spans="1:29" s="59" customFormat="1" ht="17.25" customHeight="1">
      <c r="A96" s="59" t="s">
        <v>257</v>
      </c>
      <c r="B96" s="72" t="s">
        <v>715</v>
      </c>
      <c r="C96" s="155" t="s">
        <v>247</v>
      </c>
      <c r="D96" s="58" t="str">
        <f>VLOOKUP(C96,코드!$E$3:$F$30,2,FALSE)</f>
        <v>8711</v>
      </c>
      <c r="E96" s="65" t="s">
        <v>802</v>
      </c>
      <c r="F96" s="65" t="s">
        <v>812</v>
      </c>
      <c r="G96" s="66" t="s">
        <v>811</v>
      </c>
      <c r="H96" s="65" t="s">
        <v>820</v>
      </c>
      <c r="I96" s="65" t="s">
        <v>821</v>
      </c>
      <c r="J96" s="72" t="s">
        <v>130</v>
      </c>
      <c r="K96" s="72" t="s">
        <v>18</v>
      </c>
      <c r="L96" s="58">
        <f>VLOOKUP(K96,코드!$B$3:$C$29,2,FALSE)</f>
        <v>4233201</v>
      </c>
      <c r="M96" s="72" t="s">
        <v>266</v>
      </c>
      <c r="N96" s="79" t="s">
        <v>797</v>
      </c>
      <c r="O96" s="75">
        <v>50000000</v>
      </c>
      <c r="P96" s="75">
        <v>1</v>
      </c>
      <c r="Q96" s="75">
        <v>1</v>
      </c>
      <c r="R96" s="75">
        <v>50000000</v>
      </c>
      <c r="S96" s="75"/>
      <c r="T96" s="78">
        <v>50000000</v>
      </c>
      <c r="U96" s="61" t="s">
        <v>127</v>
      </c>
      <c r="V96" s="60">
        <f t="shared" si="8"/>
        <v>1</v>
      </c>
      <c r="W96" s="46"/>
      <c r="X96" s="74"/>
      <c r="Y96" s="46"/>
      <c r="AC96" s="46"/>
    </row>
    <row r="97" spans="1:29" s="59" customFormat="1" ht="17.25" customHeight="1">
      <c r="A97" s="59" t="s">
        <v>257</v>
      </c>
      <c r="B97" s="72" t="s">
        <v>715</v>
      </c>
      <c r="C97" s="155" t="s">
        <v>247</v>
      </c>
      <c r="D97" s="58" t="str">
        <f>VLOOKUP(C97,코드!$E$3:$F$30,2,FALSE)</f>
        <v>8711</v>
      </c>
      <c r="E97" s="65" t="s">
        <v>802</v>
      </c>
      <c r="F97" s="65" t="s">
        <v>812</v>
      </c>
      <c r="G97" s="66" t="s">
        <v>811</v>
      </c>
      <c r="H97" s="65" t="s">
        <v>820</v>
      </c>
      <c r="I97" s="65" t="s">
        <v>819</v>
      </c>
      <c r="J97" s="72" t="s">
        <v>130</v>
      </c>
      <c r="K97" s="72" t="s">
        <v>18</v>
      </c>
      <c r="L97" s="58">
        <f>VLOOKUP(K97,코드!$B$3:$C$29,2,FALSE)</f>
        <v>4233201</v>
      </c>
      <c r="M97" s="72" t="s">
        <v>266</v>
      </c>
      <c r="N97" s="79" t="s">
        <v>797</v>
      </c>
      <c r="O97" s="75">
        <v>60000000</v>
      </c>
      <c r="P97" s="75">
        <v>1</v>
      </c>
      <c r="Q97" s="75">
        <v>1</v>
      </c>
      <c r="R97" s="75">
        <v>60000000</v>
      </c>
      <c r="S97" s="75"/>
      <c r="T97" s="78">
        <v>60000000</v>
      </c>
      <c r="U97" s="71" t="s">
        <v>127</v>
      </c>
      <c r="V97" s="60">
        <f t="shared" si="8"/>
        <v>1</v>
      </c>
      <c r="W97" s="46"/>
      <c r="X97" s="74"/>
      <c r="Y97" s="46"/>
      <c r="AC97" s="46"/>
    </row>
    <row r="98" spans="1:29" s="59" customFormat="1" ht="17.25" customHeight="1">
      <c r="A98" s="59" t="s">
        <v>257</v>
      </c>
      <c r="B98" s="72" t="s">
        <v>715</v>
      </c>
      <c r="C98" s="155" t="s">
        <v>247</v>
      </c>
      <c r="D98" s="58" t="str">
        <f>VLOOKUP(C98,코드!$E$3:$F$30,2,FALSE)</f>
        <v>8711</v>
      </c>
      <c r="E98" s="65" t="s">
        <v>802</v>
      </c>
      <c r="F98" s="65" t="s">
        <v>812</v>
      </c>
      <c r="G98" s="66" t="s">
        <v>811</v>
      </c>
      <c r="H98" s="65" t="s">
        <v>818</v>
      </c>
      <c r="I98" s="65" t="s">
        <v>817</v>
      </c>
      <c r="J98" s="72" t="s">
        <v>130</v>
      </c>
      <c r="K98" s="72" t="s">
        <v>17</v>
      </c>
      <c r="L98" s="58">
        <f>VLOOKUP(K98,코드!$B$3:$C$29,2,FALSE)</f>
        <v>4241130</v>
      </c>
      <c r="M98" s="72" t="s">
        <v>356</v>
      </c>
      <c r="N98" s="79" t="s">
        <v>797</v>
      </c>
      <c r="O98" s="75">
        <v>500000</v>
      </c>
      <c r="P98" s="75">
        <v>1</v>
      </c>
      <c r="Q98" s="75">
        <v>10</v>
      </c>
      <c r="R98" s="75">
        <v>5000000</v>
      </c>
      <c r="S98" s="75"/>
      <c r="T98" s="78">
        <v>5000000</v>
      </c>
      <c r="U98" s="71"/>
      <c r="V98" s="60">
        <f t="shared" si="8"/>
        <v>1</v>
      </c>
      <c r="W98" s="46"/>
      <c r="X98" s="74"/>
      <c r="Y98" s="46"/>
      <c r="AC98" s="46"/>
    </row>
    <row r="99" spans="1:29" s="59" customFormat="1" ht="17.25" customHeight="1">
      <c r="A99" s="59" t="s">
        <v>257</v>
      </c>
      <c r="B99" s="72" t="s">
        <v>715</v>
      </c>
      <c r="C99" s="155" t="s">
        <v>247</v>
      </c>
      <c r="D99" s="58" t="str">
        <f>VLOOKUP(C99,코드!$E$3:$F$30,2,FALSE)</f>
        <v>8711</v>
      </c>
      <c r="E99" s="65" t="s">
        <v>802</v>
      </c>
      <c r="F99" s="65" t="s">
        <v>812</v>
      </c>
      <c r="G99" s="66" t="s">
        <v>811</v>
      </c>
      <c r="H99" s="65" t="s">
        <v>818</v>
      </c>
      <c r="I99" s="65" t="s">
        <v>817</v>
      </c>
      <c r="J99" s="72" t="s">
        <v>130</v>
      </c>
      <c r="K99" s="72" t="s">
        <v>17</v>
      </c>
      <c r="L99" s="58">
        <f>VLOOKUP(K99,코드!$B$3:$C$29,2,FALSE)</f>
        <v>4241130</v>
      </c>
      <c r="M99" s="72" t="s">
        <v>262</v>
      </c>
      <c r="N99" s="79" t="s">
        <v>797</v>
      </c>
      <c r="O99" s="75">
        <v>200000</v>
      </c>
      <c r="P99" s="75">
        <v>1</v>
      </c>
      <c r="Q99" s="75">
        <v>5</v>
      </c>
      <c r="R99" s="75">
        <v>1000000</v>
      </c>
      <c r="S99" s="75"/>
      <c r="T99" s="78">
        <v>0</v>
      </c>
      <c r="U99" s="71"/>
      <c r="V99" s="60">
        <f t="shared" si="8"/>
        <v>0</v>
      </c>
      <c r="W99" s="46"/>
      <c r="X99" s="74"/>
      <c r="Y99" s="46"/>
      <c r="AC99" s="46"/>
    </row>
    <row r="100" spans="1:29" s="59" customFormat="1" ht="17.25" customHeight="1">
      <c r="A100" s="59" t="s">
        <v>257</v>
      </c>
      <c r="B100" s="72" t="s">
        <v>715</v>
      </c>
      <c r="C100" s="155" t="s">
        <v>247</v>
      </c>
      <c r="D100" s="58" t="str">
        <f>VLOOKUP(C100,코드!$E$3:$F$30,2,FALSE)</f>
        <v>8711</v>
      </c>
      <c r="E100" s="65" t="s">
        <v>802</v>
      </c>
      <c r="F100" s="65" t="s">
        <v>812</v>
      </c>
      <c r="G100" s="66" t="s">
        <v>811</v>
      </c>
      <c r="H100" s="65" t="s">
        <v>818</v>
      </c>
      <c r="I100" s="65" t="s">
        <v>817</v>
      </c>
      <c r="J100" s="72" t="s">
        <v>130</v>
      </c>
      <c r="K100" s="72" t="s">
        <v>18</v>
      </c>
      <c r="L100" s="58">
        <f>VLOOKUP(K100,코드!$B$3:$C$29,2,FALSE)</f>
        <v>4233201</v>
      </c>
      <c r="M100" s="72" t="s">
        <v>266</v>
      </c>
      <c r="N100" s="79" t="s">
        <v>797</v>
      </c>
      <c r="O100" s="75">
        <v>8000000</v>
      </c>
      <c r="P100" s="75">
        <v>1</v>
      </c>
      <c r="Q100" s="75">
        <v>2</v>
      </c>
      <c r="R100" s="75">
        <v>15000000</v>
      </c>
      <c r="S100" s="75"/>
      <c r="T100" s="78">
        <v>15000000</v>
      </c>
      <c r="U100" s="71" t="s">
        <v>127</v>
      </c>
      <c r="V100" s="60">
        <f t="shared" si="8"/>
        <v>1</v>
      </c>
      <c r="W100" s="46"/>
      <c r="X100" s="74"/>
      <c r="AC100" s="46"/>
    </row>
    <row r="101" spans="1:29" s="59" customFormat="1" ht="17.25" customHeight="1">
      <c r="A101" s="59" t="s">
        <v>257</v>
      </c>
      <c r="B101" s="72" t="s">
        <v>715</v>
      </c>
      <c r="C101" s="155" t="s">
        <v>247</v>
      </c>
      <c r="D101" s="58" t="str">
        <f>VLOOKUP(C101,코드!$E$3:$F$30,2,FALSE)</f>
        <v>8711</v>
      </c>
      <c r="E101" s="65" t="s">
        <v>802</v>
      </c>
      <c r="F101" s="65" t="s">
        <v>812</v>
      </c>
      <c r="G101" s="66" t="s">
        <v>811</v>
      </c>
      <c r="H101" s="65" t="s">
        <v>815</v>
      </c>
      <c r="I101" s="65" t="s">
        <v>816</v>
      </c>
      <c r="J101" s="72" t="s">
        <v>130</v>
      </c>
      <c r="K101" s="72" t="s">
        <v>17</v>
      </c>
      <c r="L101" s="58">
        <f>VLOOKUP(K101,코드!$B$3:$C$29,2,FALSE)</f>
        <v>4241130</v>
      </c>
      <c r="M101" s="72" t="s">
        <v>356</v>
      </c>
      <c r="N101" s="79" t="s">
        <v>797</v>
      </c>
      <c r="O101" s="75">
        <v>1400000</v>
      </c>
      <c r="P101" s="75">
        <v>1</v>
      </c>
      <c r="Q101" s="75">
        <v>2</v>
      </c>
      <c r="R101" s="75">
        <v>2800000</v>
      </c>
      <c r="S101" s="75"/>
      <c r="T101" s="78">
        <v>1400000</v>
      </c>
      <c r="U101" s="61" t="s">
        <v>127</v>
      </c>
      <c r="V101" s="60">
        <f t="shared" si="8"/>
        <v>0.5</v>
      </c>
      <c r="W101" s="46"/>
      <c r="X101" s="74"/>
      <c r="Y101" s="46"/>
      <c r="AC101" s="46"/>
    </row>
    <row r="102" spans="1:29" s="59" customFormat="1" ht="17.25" customHeight="1">
      <c r="A102" s="59" t="s">
        <v>257</v>
      </c>
      <c r="B102" s="72" t="s">
        <v>715</v>
      </c>
      <c r="C102" s="155" t="s">
        <v>247</v>
      </c>
      <c r="D102" s="58" t="str">
        <f>VLOOKUP(C102,코드!$E$3:$F$30,2,FALSE)</f>
        <v>8711</v>
      </c>
      <c r="E102" s="65" t="s">
        <v>802</v>
      </c>
      <c r="F102" s="65" t="s">
        <v>812</v>
      </c>
      <c r="G102" s="66" t="s">
        <v>811</v>
      </c>
      <c r="H102" s="65" t="s">
        <v>815</v>
      </c>
      <c r="I102" s="65" t="s">
        <v>816</v>
      </c>
      <c r="J102" s="72" t="s">
        <v>130</v>
      </c>
      <c r="K102" s="72" t="s">
        <v>17</v>
      </c>
      <c r="L102" s="58">
        <f>VLOOKUP(K102,코드!$B$3:$C$29,2,FALSE)</f>
        <v>4241130</v>
      </c>
      <c r="M102" s="72" t="s">
        <v>259</v>
      </c>
      <c r="N102" s="79" t="s">
        <v>797</v>
      </c>
      <c r="O102" s="75">
        <v>30000</v>
      </c>
      <c r="P102" s="75">
        <v>50</v>
      </c>
      <c r="Q102" s="75">
        <v>2</v>
      </c>
      <c r="R102" s="75">
        <v>2700000</v>
      </c>
      <c r="S102" s="75"/>
      <c r="T102" s="78">
        <v>1800000</v>
      </c>
      <c r="U102" s="61" t="s">
        <v>127</v>
      </c>
      <c r="V102" s="60">
        <f t="shared" si="8"/>
        <v>0.66666666666666663</v>
      </c>
      <c r="W102" s="46"/>
      <c r="X102" s="74"/>
      <c r="Y102" s="46"/>
      <c r="AC102" s="46"/>
    </row>
    <row r="103" spans="1:29" s="59" customFormat="1" ht="17.25" customHeight="1">
      <c r="A103" s="59" t="s">
        <v>257</v>
      </c>
      <c r="B103" s="72" t="s">
        <v>715</v>
      </c>
      <c r="C103" s="155" t="s">
        <v>247</v>
      </c>
      <c r="D103" s="58" t="str">
        <f>VLOOKUP(C103,코드!$E$3:$F$30,2,FALSE)</f>
        <v>8711</v>
      </c>
      <c r="E103" s="65" t="s">
        <v>802</v>
      </c>
      <c r="F103" s="65" t="s">
        <v>812</v>
      </c>
      <c r="G103" s="66" t="s">
        <v>811</v>
      </c>
      <c r="H103" s="65" t="s">
        <v>815</v>
      </c>
      <c r="I103" s="65" t="s">
        <v>816</v>
      </c>
      <c r="J103" s="72" t="s">
        <v>130</v>
      </c>
      <c r="K103" s="72" t="s">
        <v>17</v>
      </c>
      <c r="L103" s="58">
        <f>VLOOKUP(K103,코드!$B$3:$C$29,2,FALSE)</f>
        <v>4241130</v>
      </c>
      <c r="M103" s="72" t="s">
        <v>262</v>
      </c>
      <c r="N103" s="79" t="s">
        <v>797</v>
      </c>
      <c r="O103" s="75">
        <v>100000</v>
      </c>
      <c r="P103" s="75">
        <v>1</v>
      </c>
      <c r="Q103" s="75">
        <v>2</v>
      </c>
      <c r="R103" s="75">
        <v>0</v>
      </c>
      <c r="S103" s="75"/>
      <c r="T103" s="78">
        <v>0</v>
      </c>
      <c r="U103" s="71"/>
      <c r="V103" s="60" t="e">
        <f t="shared" si="8"/>
        <v>#DIV/0!</v>
      </c>
      <c r="W103" s="46"/>
      <c r="X103" s="74"/>
      <c r="Y103" s="46"/>
      <c r="AC103" s="46"/>
    </row>
    <row r="104" spans="1:29" s="59" customFormat="1" ht="17.25" customHeight="1">
      <c r="A104" s="59" t="s">
        <v>257</v>
      </c>
      <c r="B104" s="72" t="s">
        <v>715</v>
      </c>
      <c r="C104" s="155" t="s">
        <v>247</v>
      </c>
      <c r="D104" s="58" t="str">
        <f>VLOOKUP(C104,코드!$E$3:$F$30,2,FALSE)</f>
        <v>8711</v>
      </c>
      <c r="E104" s="66" t="s">
        <v>802</v>
      </c>
      <c r="F104" s="65" t="s">
        <v>812</v>
      </c>
      <c r="G104" s="66" t="s">
        <v>811</v>
      </c>
      <c r="H104" s="65" t="s">
        <v>815</v>
      </c>
      <c r="I104" s="65" t="s">
        <v>814</v>
      </c>
      <c r="J104" s="72" t="s">
        <v>130</v>
      </c>
      <c r="K104" s="72" t="s">
        <v>17</v>
      </c>
      <c r="L104" s="58">
        <f>VLOOKUP(K104,코드!$B$3:$C$29,2,FALSE)</f>
        <v>4241130</v>
      </c>
      <c r="M104" s="72" t="s">
        <v>280</v>
      </c>
      <c r="N104" s="79" t="s">
        <v>797</v>
      </c>
      <c r="O104" s="75">
        <v>50000</v>
      </c>
      <c r="P104" s="75">
        <v>2</v>
      </c>
      <c r="Q104" s="75">
        <v>2</v>
      </c>
      <c r="R104" s="75">
        <v>400000</v>
      </c>
      <c r="S104" s="75"/>
      <c r="T104" s="78">
        <v>400000</v>
      </c>
      <c r="U104" s="71" t="s">
        <v>127</v>
      </c>
      <c r="V104" s="60">
        <f t="shared" si="8"/>
        <v>1</v>
      </c>
      <c r="W104" s="46"/>
      <c r="X104" s="74"/>
      <c r="Y104" s="46"/>
      <c r="AC104" s="46"/>
    </row>
    <row r="105" spans="1:29" s="59" customFormat="1" ht="17.25" customHeight="1">
      <c r="A105" s="59" t="s">
        <v>257</v>
      </c>
      <c r="B105" s="72" t="s">
        <v>715</v>
      </c>
      <c r="C105" s="155" t="s">
        <v>247</v>
      </c>
      <c r="D105" s="58" t="str">
        <f>VLOOKUP(C105,코드!$E$3:$F$30,2,FALSE)</f>
        <v>8711</v>
      </c>
      <c r="E105" s="66" t="s">
        <v>802</v>
      </c>
      <c r="F105" s="65" t="s">
        <v>812</v>
      </c>
      <c r="G105" s="66" t="s">
        <v>811</v>
      </c>
      <c r="H105" s="65" t="s">
        <v>815</v>
      </c>
      <c r="I105" s="65" t="s">
        <v>814</v>
      </c>
      <c r="J105" s="72" t="s">
        <v>130</v>
      </c>
      <c r="K105" s="72" t="s">
        <v>17</v>
      </c>
      <c r="L105" s="58">
        <f>VLOOKUP(K105,코드!$B$3:$C$29,2,FALSE)</f>
        <v>4241130</v>
      </c>
      <c r="M105" s="72" t="s">
        <v>288</v>
      </c>
      <c r="N105" s="79" t="s">
        <v>797</v>
      </c>
      <c r="O105" s="75">
        <v>300000</v>
      </c>
      <c r="P105" s="75">
        <v>2</v>
      </c>
      <c r="Q105" s="75">
        <v>2</v>
      </c>
      <c r="R105" s="75">
        <v>1000000</v>
      </c>
      <c r="S105" s="75"/>
      <c r="T105" s="78">
        <v>500000</v>
      </c>
      <c r="U105" s="61" t="s">
        <v>127</v>
      </c>
      <c r="V105" s="60">
        <f t="shared" si="8"/>
        <v>0.5</v>
      </c>
      <c r="W105" s="46"/>
      <c r="X105" s="74"/>
      <c r="Y105" s="46"/>
      <c r="AC105" s="46"/>
    </row>
    <row r="106" spans="1:29" s="59" customFormat="1" ht="17.25" customHeight="1">
      <c r="A106" s="59" t="s">
        <v>257</v>
      </c>
      <c r="B106" s="72" t="s">
        <v>715</v>
      </c>
      <c r="C106" s="155" t="s">
        <v>247</v>
      </c>
      <c r="D106" s="58" t="str">
        <f>VLOOKUP(C106,코드!$E$3:$F$30,2,FALSE)</f>
        <v>8711</v>
      </c>
      <c r="E106" s="66" t="s">
        <v>802</v>
      </c>
      <c r="F106" s="65" t="s">
        <v>812</v>
      </c>
      <c r="G106" s="66" t="s">
        <v>811</v>
      </c>
      <c r="H106" s="65" t="s">
        <v>810</v>
      </c>
      <c r="I106" s="65" t="s">
        <v>813</v>
      </c>
      <c r="J106" s="72" t="s">
        <v>130</v>
      </c>
      <c r="K106" s="72" t="s">
        <v>17</v>
      </c>
      <c r="L106" s="58">
        <f>VLOOKUP(K106,코드!$B$3:$C$29,2,FALSE)</f>
        <v>4241130</v>
      </c>
      <c r="M106" s="72" t="s">
        <v>262</v>
      </c>
      <c r="N106" s="79" t="s">
        <v>797</v>
      </c>
      <c r="O106" s="75">
        <v>5000000</v>
      </c>
      <c r="P106" s="75">
        <v>1</v>
      </c>
      <c r="Q106" s="75">
        <v>1</v>
      </c>
      <c r="R106" s="75">
        <v>2500000</v>
      </c>
      <c r="S106" s="75"/>
      <c r="T106" s="78">
        <v>2500000</v>
      </c>
      <c r="U106" s="61" t="s">
        <v>127</v>
      </c>
      <c r="V106" s="60">
        <f t="shared" si="8"/>
        <v>1</v>
      </c>
      <c r="W106" s="46"/>
      <c r="X106" s="74"/>
      <c r="Y106" s="46"/>
      <c r="AC106" s="46"/>
    </row>
    <row r="107" spans="1:29" s="59" customFormat="1" ht="17.25" customHeight="1">
      <c r="A107" s="59" t="s">
        <v>257</v>
      </c>
      <c r="B107" s="72" t="s">
        <v>715</v>
      </c>
      <c r="C107" s="155" t="s">
        <v>247</v>
      </c>
      <c r="D107" s="58" t="str">
        <f>VLOOKUP(C107,코드!$E$3:$F$30,2,FALSE)</f>
        <v>8711</v>
      </c>
      <c r="E107" s="66" t="s">
        <v>802</v>
      </c>
      <c r="F107" s="65" t="s">
        <v>812</v>
      </c>
      <c r="G107" s="66" t="s">
        <v>811</v>
      </c>
      <c r="H107" s="65" t="s">
        <v>810</v>
      </c>
      <c r="I107" s="65" t="s">
        <v>813</v>
      </c>
      <c r="J107" s="72" t="s">
        <v>130</v>
      </c>
      <c r="K107" s="72" t="s">
        <v>17</v>
      </c>
      <c r="L107" s="58">
        <f>VLOOKUP(K107,코드!$B$3:$C$29,2,FALSE)</f>
        <v>4241130</v>
      </c>
      <c r="M107" s="72" t="s">
        <v>365</v>
      </c>
      <c r="N107" s="79" t="s">
        <v>797</v>
      </c>
      <c r="O107" s="75">
        <v>1000000</v>
      </c>
      <c r="P107" s="75">
        <v>1</v>
      </c>
      <c r="Q107" s="75">
        <v>1</v>
      </c>
      <c r="R107" s="75">
        <v>1000000</v>
      </c>
      <c r="S107" s="75"/>
      <c r="T107" s="78">
        <v>1000000</v>
      </c>
      <c r="U107" s="61" t="s">
        <v>127</v>
      </c>
      <c r="V107" s="60">
        <f t="shared" si="8"/>
        <v>1</v>
      </c>
      <c r="W107" s="46"/>
      <c r="X107" s="74"/>
      <c r="Y107" s="46"/>
      <c r="AC107" s="46"/>
    </row>
    <row r="108" spans="1:29" s="59" customFormat="1" ht="17.25" customHeight="1">
      <c r="A108" s="59" t="s">
        <v>257</v>
      </c>
      <c r="B108" s="72" t="s">
        <v>715</v>
      </c>
      <c r="C108" s="155" t="s">
        <v>247</v>
      </c>
      <c r="D108" s="58" t="str">
        <f>VLOOKUP(C108,코드!$E$3:$F$30,2,FALSE)</f>
        <v>8711</v>
      </c>
      <c r="E108" s="66" t="s">
        <v>802</v>
      </c>
      <c r="F108" s="65" t="s">
        <v>812</v>
      </c>
      <c r="G108" s="66" t="s">
        <v>811</v>
      </c>
      <c r="H108" s="65" t="s">
        <v>810</v>
      </c>
      <c r="I108" s="65" t="s">
        <v>809</v>
      </c>
      <c r="J108" s="72" t="s">
        <v>205</v>
      </c>
      <c r="K108" s="72" t="s">
        <v>32</v>
      </c>
      <c r="L108" s="58">
        <f>VLOOKUP(K108,코드!$B$3:$C$29,2,FALSE)</f>
        <v>1315903</v>
      </c>
      <c r="M108" s="72" t="s">
        <v>276</v>
      </c>
      <c r="N108" s="79" t="s">
        <v>808</v>
      </c>
      <c r="O108" s="75">
        <v>2000000</v>
      </c>
      <c r="P108" s="75">
        <v>1</v>
      </c>
      <c r="Q108" s="75">
        <v>1</v>
      </c>
      <c r="R108" s="75">
        <v>1000000</v>
      </c>
      <c r="S108" s="75"/>
      <c r="T108" s="78">
        <v>1000000</v>
      </c>
      <c r="U108" s="71" t="s">
        <v>127</v>
      </c>
      <c r="V108" s="60">
        <f t="shared" si="8"/>
        <v>1</v>
      </c>
      <c r="W108" s="46"/>
      <c r="X108" s="74"/>
      <c r="Y108" s="46"/>
      <c r="AC108" s="46"/>
    </row>
    <row r="109" spans="1:29" s="59" customFormat="1" ht="17.25" customHeight="1">
      <c r="A109" s="59" t="s">
        <v>257</v>
      </c>
      <c r="B109" s="72" t="s">
        <v>715</v>
      </c>
      <c r="C109" s="155" t="s">
        <v>247</v>
      </c>
      <c r="D109" s="58" t="str">
        <f>VLOOKUP(C109,코드!$E$3:$F$30,2,FALSE)</f>
        <v>8711</v>
      </c>
      <c r="E109" s="66" t="s">
        <v>802</v>
      </c>
      <c r="F109" s="65" t="s">
        <v>801</v>
      </c>
      <c r="G109" s="66" t="s">
        <v>807</v>
      </c>
      <c r="H109" s="65" t="s">
        <v>806</v>
      </c>
      <c r="I109" s="65" t="s">
        <v>805</v>
      </c>
      <c r="J109" s="72" t="s">
        <v>41</v>
      </c>
      <c r="K109" s="72" t="s">
        <v>33</v>
      </c>
      <c r="L109" s="58">
        <f>VLOOKUP(K109,코드!$B$3:$C$29,2,FALSE)</f>
        <v>1314903</v>
      </c>
      <c r="M109" s="72" t="s">
        <v>804</v>
      </c>
      <c r="N109" s="79" t="s">
        <v>803</v>
      </c>
      <c r="O109" s="75">
        <v>4000000</v>
      </c>
      <c r="P109" s="75">
        <v>1</v>
      </c>
      <c r="Q109" s="75">
        <v>1</v>
      </c>
      <c r="R109" s="75">
        <v>0</v>
      </c>
      <c r="S109" s="75"/>
      <c r="T109" s="78">
        <v>0</v>
      </c>
      <c r="U109" s="71"/>
      <c r="V109" s="60" t="e">
        <f t="shared" si="8"/>
        <v>#DIV/0!</v>
      </c>
      <c r="W109" s="46"/>
      <c r="X109" s="74"/>
      <c r="Y109" s="46"/>
      <c r="AC109" s="46"/>
    </row>
    <row r="110" spans="1:29" s="59" customFormat="1" ht="17.25" customHeight="1">
      <c r="A110" s="59" t="s">
        <v>257</v>
      </c>
      <c r="B110" s="72" t="s">
        <v>715</v>
      </c>
      <c r="C110" s="155" t="s">
        <v>247</v>
      </c>
      <c r="D110" s="58" t="str">
        <f>VLOOKUP(C110,코드!$E$3:$F$30,2,FALSE)</f>
        <v>8711</v>
      </c>
      <c r="E110" s="66" t="s">
        <v>802</v>
      </c>
      <c r="F110" s="65" t="s">
        <v>801</v>
      </c>
      <c r="G110" s="66" t="s">
        <v>800</v>
      </c>
      <c r="H110" s="65" t="s">
        <v>799</v>
      </c>
      <c r="I110" s="65" t="s">
        <v>798</v>
      </c>
      <c r="J110" s="72" t="s">
        <v>130</v>
      </c>
      <c r="K110" s="72" t="s">
        <v>17</v>
      </c>
      <c r="L110" s="58">
        <f>VLOOKUP(K110,코드!$B$3:$C$29,2,FALSE)</f>
        <v>4241130</v>
      </c>
      <c r="M110" s="72" t="s">
        <v>262</v>
      </c>
      <c r="N110" s="79" t="s">
        <v>797</v>
      </c>
      <c r="O110" s="75">
        <v>40000</v>
      </c>
      <c r="P110" s="75">
        <v>1</v>
      </c>
      <c r="Q110" s="75">
        <v>12</v>
      </c>
      <c r="R110" s="63">
        <f>O110*P110*Q110</f>
        <v>480000</v>
      </c>
      <c r="S110" s="63"/>
      <c r="T110" s="78">
        <v>480000</v>
      </c>
      <c r="U110" s="61" t="s">
        <v>127</v>
      </c>
      <c r="V110" s="60">
        <f t="shared" si="8"/>
        <v>1</v>
      </c>
      <c r="W110" s="46"/>
      <c r="X110" s="74"/>
      <c r="Y110" s="46"/>
      <c r="AC110" s="46"/>
    </row>
    <row r="111" spans="1:29" s="5" customFormat="1" ht="17.25" customHeight="1">
      <c r="A111" s="59" t="s">
        <v>257</v>
      </c>
      <c r="B111" s="58"/>
      <c r="C111" s="65"/>
      <c r="D111" s="58"/>
      <c r="E111" s="66"/>
      <c r="F111" s="65"/>
      <c r="G111" s="66"/>
      <c r="H111" s="65"/>
      <c r="I111" s="65"/>
      <c r="J111" s="58"/>
      <c r="K111" s="58"/>
      <c r="L111" s="58" t="e">
        <f>VLOOKUP(K111,코드!$B$3:$C$29,2,FALSE)</f>
        <v>#N/A</v>
      </c>
      <c r="M111" s="58"/>
      <c r="N111" s="58"/>
      <c r="O111" s="63"/>
      <c r="P111" s="63"/>
      <c r="Q111" s="63"/>
      <c r="R111" s="63"/>
      <c r="S111" s="63"/>
      <c r="T111" s="62">
        <v>0</v>
      </c>
      <c r="U111" s="61"/>
      <c r="V111" s="60" t="s">
        <v>126</v>
      </c>
      <c r="X111" s="6"/>
    </row>
    <row r="112" spans="1:29" s="5" customFormat="1" ht="17.25" customHeight="1">
      <c r="A112" s="59" t="s">
        <v>257</v>
      </c>
      <c r="B112" s="58" t="s">
        <v>715</v>
      </c>
      <c r="C112" s="65" t="s">
        <v>714</v>
      </c>
      <c r="D112" s="58" t="str">
        <f>VLOOKUP(C112,코드!$E$3:$F$30,2,FALSE)</f>
        <v>8647</v>
      </c>
      <c r="E112" s="65" t="s">
        <v>713</v>
      </c>
      <c r="F112" s="65" t="s">
        <v>786</v>
      </c>
      <c r="G112" s="66" t="s">
        <v>789</v>
      </c>
      <c r="H112" s="70" t="s">
        <v>470</v>
      </c>
      <c r="I112" s="70" t="s">
        <v>796</v>
      </c>
      <c r="J112" s="69" t="s">
        <v>84</v>
      </c>
      <c r="K112" s="68" t="s">
        <v>97</v>
      </c>
      <c r="L112" s="68">
        <f>VLOOKUP(K112,코드!$B$3:$C$29,2,FALSE)</f>
        <v>4125101</v>
      </c>
      <c r="M112" s="69" t="s">
        <v>96</v>
      </c>
      <c r="N112" s="68" t="s">
        <v>68</v>
      </c>
      <c r="O112" s="63"/>
      <c r="P112" s="63"/>
      <c r="Q112" s="63"/>
      <c r="R112" s="63">
        <v>31200000</v>
      </c>
      <c r="S112" s="63"/>
      <c r="T112" s="63">
        <v>31200000</v>
      </c>
      <c r="U112" s="61" t="s">
        <v>67</v>
      </c>
      <c r="V112" s="60">
        <f t="shared" ref="V112:V143" si="9">T112/R112</f>
        <v>1</v>
      </c>
      <c r="X112" s="6"/>
    </row>
    <row r="113" spans="1:29" s="5" customFormat="1" ht="17.25" customHeight="1">
      <c r="A113" s="59" t="s">
        <v>257</v>
      </c>
      <c r="B113" s="58" t="s">
        <v>715</v>
      </c>
      <c r="C113" s="65" t="s">
        <v>714</v>
      </c>
      <c r="D113" s="58" t="str">
        <f>VLOOKUP(C113,코드!$E$3:$F$30,2,FALSE)</f>
        <v>8647</v>
      </c>
      <c r="E113" s="65" t="s">
        <v>713</v>
      </c>
      <c r="F113" s="65" t="s">
        <v>786</v>
      </c>
      <c r="G113" s="66" t="s">
        <v>789</v>
      </c>
      <c r="H113" s="65" t="s">
        <v>794</v>
      </c>
      <c r="I113" s="65" t="s">
        <v>723</v>
      </c>
      <c r="J113" s="58" t="s">
        <v>130</v>
      </c>
      <c r="K113" s="58" t="s">
        <v>17</v>
      </c>
      <c r="L113" s="58">
        <f>VLOOKUP(K113,코드!$B$3:$C$29,2,FALSE)</f>
        <v>4241130</v>
      </c>
      <c r="M113" s="58" t="s">
        <v>129</v>
      </c>
      <c r="N113" s="79" t="s">
        <v>708</v>
      </c>
      <c r="O113" s="63">
        <v>30000</v>
      </c>
      <c r="P113" s="63">
        <v>7</v>
      </c>
      <c r="Q113" s="63">
        <v>2</v>
      </c>
      <c r="R113" s="63">
        <f t="shared" ref="R113:R144" si="10">O113*P113*Q113</f>
        <v>420000</v>
      </c>
      <c r="S113" s="63"/>
      <c r="T113" s="165">
        <v>420000</v>
      </c>
      <c r="U113" s="61" t="s">
        <v>316</v>
      </c>
      <c r="V113" s="60">
        <f t="shared" si="9"/>
        <v>1</v>
      </c>
      <c r="X113" s="6"/>
    </row>
    <row r="114" spans="1:29" s="5" customFormat="1" ht="17.25" customHeight="1">
      <c r="A114" s="59" t="s">
        <v>257</v>
      </c>
      <c r="B114" s="58" t="s">
        <v>715</v>
      </c>
      <c r="C114" s="65" t="s">
        <v>714</v>
      </c>
      <c r="D114" s="58" t="str">
        <f>VLOOKUP(C114,코드!$E$3:$F$30,2,FALSE)</f>
        <v>8647</v>
      </c>
      <c r="E114" s="65" t="s">
        <v>713</v>
      </c>
      <c r="F114" s="65" t="s">
        <v>786</v>
      </c>
      <c r="G114" s="66" t="s">
        <v>789</v>
      </c>
      <c r="H114" s="65" t="s">
        <v>794</v>
      </c>
      <c r="I114" s="65" t="s">
        <v>795</v>
      </c>
      <c r="J114" s="58" t="s">
        <v>130</v>
      </c>
      <c r="K114" s="58" t="s">
        <v>17</v>
      </c>
      <c r="L114" s="58">
        <f>VLOOKUP(K114,코드!$B$3:$C$29,2,FALSE)</f>
        <v>4241130</v>
      </c>
      <c r="M114" s="58" t="s">
        <v>217</v>
      </c>
      <c r="N114" s="79" t="s">
        <v>708</v>
      </c>
      <c r="O114" s="63">
        <v>40000</v>
      </c>
      <c r="P114" s="63">
        <v>30</v>
      </c>
      <c r="Q114" s="63">
        <v>2</v>
      </c>
      <c r="R114" s="63">
        <f t="shared" si="10"/>
        <v>2400000</v>
      </c>
      <c r="S114" s="63"/>
      <c r="T114" s="165">
        <v>2400000</v>
      </c>
      <c r="U114" s="61" t="s">
        <v>316</v>
      </c>
      <c r="V114" s="60">
        <f t="shared" si="9"/>
        <v>1</v>
      </c>
      <c r="X114" s="6"/>
    </row>
    <row r="115" spans="1:29" s="5" customFormat="1" ht="17.25" customHeight="1">
      <c r="A115" s="59" t="s">
        <v>257</v>
      </c>
      <c r="B115" s="58" t="s">
        <v>715</v>
      </c>
      <c r="C115" s="65" t="s">
        <v>714</v>
      </c>
      <c r="D115" s="58" t="str">
        <f>VLOOKUP(C115,코드!$E$3:$F$30,2,FALSE)</f>
        <v>8647</v>
      </c>
      <c r="E115" s="65" t="s">
        <v>713</v>
      </c>
      <c r="F115" s="65" t="s">
        <v>786</v>
      </c>
      <c r="G115" s="66" t="s">
        <v>789</v>
      </c>
      <c r="H115" s="65" t="s">
        <v>794</v>
      </c>
      <c r="I115" s="65" t="s">
        <v>215</v>
      </c>
      <c r="J115" s="58" t="s">
        <v>130</v>
      </c>
      <c r="K115" s="58" t="s">
        <v>17</v>
      </c>
      <c r="L115" s="58">
        <f>VLOOKUP(K115,코드!$B$3:$C$29,2,FALSE)</f>
        <v>4241130</v>
      </c>
      <c r="M115" s="58" t="s">
        <v>129</v>
      </c>
      <c r="N115" s="79" t="s">
        <v>708</v>
      </c>
      <c r="O115" s="63">
        <v>350000</v>
      </c>
      <c r="P115" s="63">
        <v>1</v>
      </c>
      <c r="Q115" s="63">
        <v>2</v>
      </c>
      <c r="R115" s="63">
        <f t="shared" si="10"/>
        <v>700000</v>
      </c>
      <c r="S115" s="63"/>
      <c r="T115" s="165">
        <v>700000</v>
      </c>
      <c r="U115" s="61" t="s">
        <v>316</v>
      </c>
      <c r="V115" s="60">
        <f t="shared" si="9"/>
        <v>1</v>
      </c>
      <c r="X115" s="6"/>
    </row>
    <row r="116" spans="1:29" s="5" customFormat="1" ht="17.25" customHeight="1">
      <c r="A116" s="59" t="s">
        <v>257</v>
      </c>
      <c r="B116" s="58" t="s">
        <v>715</v>
      </c>
      <c r="C116" s="65" t="s">
        <v>714</v>
      </c>
      <c r="D116" s="58" t="str">
        <f>VLOOKUP(C116,코드!$E$3:$F$30,2,FALSE)</f>
        <v>8647</v>
      </c>
      <c r="E116" s="65" t="s">
        <v>713</v>
      </c>
      <c r="F116" s="65" t="s">
        <v>786</v>
      </c>
      <c r="G116" s="66" t="s">
        <v>789</v>
      </c>
      <c r="H116" s="65" t="s">
        <v>791</v>
      </c>
      <c r="I116" s="65" t="s">
        <v>723</v>
      </c>
      <c r="J116" s="58" t="s">
        <v>130</v>
      </c>
      <c r="K116" s="58" t="s">
        <v>17</v>
      </c>
      <c r="L116" s="58">
        <f>VLOOKUP(K116,코드!$B$3:$C$29,2,FALSE)</f>
        <v>4241130</v>
      </c>
      <c r="M116" s="58" t="s">
        <v>129</v>
      </c>
      <c r="N116" s="79" t="s">
        <v>708</v>
      </c>
      <c r="O116" s="63">
        <v>30000</v>
      </c>
      <c r="P116" s="63">
        <v>7</v>
      </c>
      <c r="Q116" s="63">
        <v>2</v>
      </c>
      <c r="R116" s="63">
        <f t="shared" si="10"/>
        <v>420000</v>
      </c>
      <c r="S116" s="63"/>
      <c r="T116" s="165">
        <v>420000</v>
      </c>
      <c r="U116" s="61" t="s">
        <v>127</v>
      </c>
      <c r="V116" s="60">
        <f t="shared" si="9"/>
        <v>1</v>
      </c>
      <c r="X116" s="6"/>
    </row>
    <row r="117" spans="1:29" s="5" customFormat="1" ht="17.25" customHeight="1">
      <c r="A117" s="59" t="s">
        <v>257</v>
      </c>
      <c r="B117" s="58" t="s">
        <v>715</v>
      </c>
      <c r="C117" s="65" t="s">
        <v>714</v>
      </c>
      <c r="D117" s="58" t="str">
        <f>VLOOKUP(C117,코드!$E$3:$F$30,2,FALSE)</f>
        <v>8647</v>
      </c>
      <c r="E117" s="65" t="s">
        <v>713</v>
      </c>
      <c r="F117" s="65" t="s">
        <v>786</v>
      </c>
      <c r="G117" s="66" t="s">
        <v>789</v>
      </c>
      <c r="H117" s="65" t="s">
        <v>791</v>
      </c>
      <c r="I117" s="65" t="s">
        <v>793</v>
      </c>
      <c r="J117" s="58" t="s">
        <v>130</v>
      </c>
      <c r="K117" s="58" t="s">
        <v>17</v>
      </c>
      <c r="L117" s="58">
        <f>VLOOKUP(K117,코드!$B$3:$C$29,2,FALSE)</f>
        <v>4241130</v>
      </c>
      <c r="M117" s="58" t="s">
        <v>120</v>
      </c>
      <c r="N117" s="79" t="s">
        <v>708</v>
      </c>
      <c r="O117" s="63">
        <v>30000</v>
      </c>
      <c r="P117" s="63">
        <v>10</v>
      </c>
      <c r="Q117" s="63">
        <v>1</v>
      </c>
      <c r="R117" s="63">
        <f t="shared" si="10"/>
        <v>300000</v>
      </c>
      <c r="S117" s="63"/>
      <c r="T117" s="165">
        <v>300000</v>
      </c>
      <c r="U117" s="61" t="s">
        <v>127</v>
      </c>
      <c r="V117" s="60">
        <f t="shared" si="9"/>
        <v>1</v>
      </c>
      <c r="X117" s="6"/>
    </row>
    <row r="118" spans="1:29" s="5" customFormat="1" ht="17.25" customHeight="1">
      <c r="A118" s="59" t="s">
        <v>257</v>
      </c>
      <c r="B118" s="58" t="s">
        <v>715</v>
      </c>
      <c r="C118" s="65" t="s">
        <v>714</v>
      </c>
      <c r="D118" s="58" t="str">
        <f>VLOOKUP(C118,코드!$E$3:$F$30,2,FALSE)</f>
        <v>8647</v>
      </c>
      <c r="E118" s="65" t="s">
        <v>713</v>
      </c>
      <c r="F118" s="65" t="s">
        <v>786</v>
      </c>
      <c r="G118" s="66" t="s">
        <v>789</v>
      </c>
      <c r="H118" s="65" t="s">
        <v>791</v>
      </c>
      <c r="I118" s="65" t="s">
        <v>792</v>
      </c>
      <c r="J118" s="58" t="s">
        <v>130</v>
      </c>
      <c r="K118" s="58" t="s">
        <v>17</v>
      </c>
      <c r="L118" s="58">
        <f>VLOOKUP(K118,코드!$B$3:$C$29,2,FALSE)</f>
        <v>4241130</v>
      </c>
      <c r="M118" s="58" t="s">
        <v>217</v>
      </c>
      <c r="N118" s="79" t="s">
        <v>708</v>
      </c>
      <c r="O118" s="63">
        <v>40000</v>
      </c>
      <c r="P118" s="63">
        <v>50</v>
      </c>
      <c r="Q118" s="63">
        <v>1</v>
      </c>
      <c r="R118" s="63">
        <f t="shared" si="10"/>
        <v>2000000</v>
      </c>
      <c r="S118" s="63"/>
      <c r="T118" s="165">
        <v>2000000</v>
      </c>
      <c r="U118" s="61" t="s">
        <v>127</v>
      </c>
      <c r="V118" s="60">
        <f t="shared" si="9"/>
        <v>1</v>
      </c>
      <c r="X118" s="6"/>
    </row>
    <row r="119" spans="1:29" s="5" customFormat="1" ht="17.25" customHeight="1">
      <c r="A119" s="59" t="s">
        <v>257</v>
      </c>
      <c r="B119" s="58" t="s">
        <v>715</v>
      </c>
      <c r="C119" s="65" t="s">
        <v>714</v>
      </c>
      <c r="D119" s="58" t="str">
        <f>VLOOKUP(C119,코드!$E$3:$F$30,2,FALSE)</f>
        <v>8647</v>
      </c>
      <c r="E119" s="65" t="s">
        <v>713</v>
      </c>
      <c r="F119" s="65" t="s">
        <v>786</v>
      </c>
      <c r="G119" s="66" t="s">
        <v>789</v>
      </c>
      <c r="H119" s="65" t="s">
        <v>791</v>
      </c>
      <c r="I119" s="65" t="s">
        <v>790</v>
      </c>
      <c r="J119" s="58" t="s">
        <v>130</v>
      </c>
      <c r="K119" s="58" t="s">
        <v>17</v>
      </c>
      <c r="L119" s="58">
        <f>VLOOKUP(K119,코드!$B$3:$C$29,2,FALSE)</f>
        <v>4241130</v>
      </c>
      <c r="M119" s="58" t="s">
        <v>129</v>
      </c>
      <c r="N119" s="79" t="s">
        <v>708</v>
      </c>
      <c r="O119" s="63">
        <v>1500000</v>
      </c>
      <c r="P119" s="63">
        <v>1</v>
      </c>
      <c r="Q119" s="63">
        <v>1</v>
      </c>
      <c r="R119" s="63">
        <f t="shared" si="10"/>
        <v>1500000</v>
      </c>
      <c r="S119" s="63"/>
      <c r="T119" s="165">
        <v>1500000</v>
      </c>
      <c r="U119" s="61" t="s">
        <v>127</v>
      </c>
      <c r="V119" s="60">
        <f t="shared" si="9"/>
        <v>1</v>
      </c>
      <c r="X119" s="6"/>
    </row>
    <row r="120" spans="1:29" s="5" customFormat="1" ht="17.25" customHeight="1">
      <c r="A120" s="59" t="s">
        <v>257</v>
      </c>
      <c r="B120" s="58" t="s">
        <v>715</v>
      </c>
      <c r="C120" s="65" t="s">
        <v>714</v>
      </c>
      <c r="D120" s="58" t="str">
        <f>VLOOKUP(C120,코드!$E$3:$F$30,2,FALSE)</f>
        <v>8647</v>
      </c>
      <c r="E120" s="65" t="s">
        <v>713</v>
      </c>
      <c r="F120" s="65" t="s">
        <v>786</v>
      </c>
      <c r="G120" s="66" t="s">
        <v>789</v>
      </c>
      <c r="H120" s="65" t="s">
        <v>788</v>
      </c>
      <c r="I120" s="65" t="s">
        <v>787</v>
      </c>
      <c r="J120" s="58" t="s">
        <v>130</v>
      </c>
      <c r="K120" s="58" t="s">
        <v>17</v>
      </c>
      <c r="L120" s="58">
        <f>VLOOKUP(K120,코드!$B$3:$C$29,2,FALSE)</f>
        <v>4241130</v>
      </c>
      <c r="M120" s="58" t="s">
        <v>129</v>
      </c>
      <c r="N120" s="79" t="s">
        <v>708</v>
      </c>
      <c r="O120" s="63">
        <v>20000</v>
      </c>
      <c r="P120" s="63">
        <v>10</v>
      </c>
      <c r="Q120" s="63">
        <v>4</v>
      </c>
      <c r="R120" s="63">
        <f t="shared" si="10"/>
        <v>800000</v>
      </c>
      <c r="S120" s="63"/>
      <c r="T120" s="165">
        <v>400000</v>
      </c>
      <c r="U120" s="61" t="s">
        <v>127</v>
      </c>
      <c r="V120" s="60">
        <f t="shared" si="9"/>
        <v>0.5</v>
      </c>
      <c r="X120" s="6"/>
    </row>
    <row r="121" spans="1:29" s="5" customFormat="1" ht="17.25" customHeight="1">
      <c r="A121" s="59" t="s">
        <v>257</v>
      </c>
      <c r="B121" s="58" t="s">
        <v>715</v>
      </c>
      <c r="C121" s="65" t="s">
        <v>714</v>
      </c>
      <c r="D121" s="58" t="str">
        <f>VLOOKUP(C121,코드!$E$3:$F$30,2,FALSE)</f>
        <v>8647</v>
      </c>
      <c r="E121" s="65" t="s">
        <v>713</v>
      </c>
      <c r="F121" s="65" t="s">
        <v>786</v>
      </c>
      <c r="G121" s="66" t="s">
        <v>785</v>
      </c>
      <c r="H121" s="65" t="s">
        <v>784</v>
      </c>
      <c r="I121" s="65" t="s">
        <v>783</v>
      </c>
      <c r="J121" s="58" t="s">
        <v>130</v>
      </c>
      <c r="K121" s="58" t="s">
        <v>17</v>
      </c>
      <c r="L121" s="58">
        <f>VLOOKUP(K121,코드!$B$3:$C$29,2,FALSE)</f>
        <v>4241130</v>
      </c>
      <c r="M121" s="58" t="s">
        <v>107</v>
      </c>
      <c r="N121" s="79" t="s">
        <v>708</v>
      </c>
      <c r="O121" s="63">
        <v>450000</v>
      </c>
      <c r="P121" s="63">
        <v>1</v>
      </c>
      <c r="Q121" s="63">
        <v>2</v>
      </c>
      <c r="R121" s="63">
        <f t="shared" si="10"/>
        <v>900000</v>
      </c>
      <c r="S121" s="63"/>
      <c r="T121" s="165">
        <v>450000</v>
      </c>
      <c r="U121" s="61" t="s">
        <v>316</v>
      </c>
      <c r="V121" s="60">
        <f t="shared" si="9"/>
        <v>0.5</v>
      </c>
      <c r="X121" s="6"/>
    </row>
    <row r="122" spans="1:29" s="5" customFormat="1" ht="17.25" customHeight="1">
      <c r="A122" s="59" t="s">
        <v>257</v>
      </c>
      <c r="B122" s="58" t="s">
        <v>715</v>
      </c>
      <c r="C122" s="65" t="s">
        <v>714</v>
      </c>
      <c r="D122" s="58" t="str">
        <f>VLOOKUP(C122,코드!$E$3:$F$30,2,FALSE)</f>
        <v>8647</v>
      </c>
      <c r="E122" s="65" t="s">
        <v>713</v>
      </c>
      <c r="F122" s="65" t="s">
        <v>749</v>
      </c>
      <c r="G122" s="66" t="s">
        <v>768</v>
      </c>
      <c r="H122" s="65" t="s">
        <v>781</v>
      </c>
      <c r="I122" s="65" t="s">
        <v>782</v>
      </c>
      <c r="J122" s="58" t="s">
        <v>130</v>
      </c>
      <c r="K122" s="58" t="s">
        <v>17</v>
      </c>
      <c r="L122" s="58">
        <f>VLOOKUP(K122,코드!$B$3:$C$29,2,FALSE)</f>
        <v>4241130</v>
      </c>
      <c r="M122" s="58" t="s">
        <v>107</v>
      </c>
      <c r="N122" s="79" t="s">
        <v>708</v>
      </c>
      <c r="O122" s="63">
        <v>600000</v>
      </c>
      <c r="P122" s="63">
        <v>2</v>
      </c>
      <c r="Q122" s="63">
        <v>1</v>
      </c>
      <c r="R122" s="63">
        <f t="shared" si="10"/>
        <v>1200000</v>
      </c>
      <c r="S122" s="63"/>
      <c r="T122" s="165">
        <v>600000</v>
      </c>
      <c r="U122" s="61" t="s">
        <v>127</v>
      </c>
      <c r="V122" s="60">
        <f t="shared" si="9"/>
        <v>0.5</v>
      </c>
      <c r="X122" s="6"/>
    </row>
    <row r="123" spans="1:29" s="5" customFormat="1" ht="17.25" customHeight="1">
      <c r="A123" s="59" t="s">
        <v>257</v>
      </c>
      <c r="B123" s="58" t="s">
        <v>715</v>
      </c>
      <c r="C123" s="65" t="s">
        <v>714</v>
      </c>
      <c r="D123" s="58" t="str">
        <f>VLOOKUP(C123,코드!$E$3:$F$30,2,FALSE)</f>
        <v>8647</v>
      </c>
      <c r="E123" s="65" t="s">
        <v>713</v>
      </c>
      <c r="F123" s="65" t="s">
        <v>749</v>
      </c>
      <c r="G123" s="66" t="s">
        <v>768</v>
      </c>
      <c r="H123" s="65" t="s">
        <v>781</v>
      </c>
      <c r="I123" s="65" t="s">
        <v>780</v>
      </c>
      <c r="J123" s="58" t="s">
        <v>130</v>
      </c>
      <c r="K123" s="58" t="s">
        <v>17</v>
      </c>
      <c r="L123" s="58">
        <f>VLOOKUP(K123,코드!$B$3:$C$29,2,FALSE)</f>
        <v>4241130</v>
      </c>
      <c r="M123" s="58" t="s">
        <v>120</v>
      </c>
      <c r="N123" s="79" t="s">
        <v>708</v>
      </c>
      <c r="O123" s="63">
        <v>30000</v>
      </c>
      <c r="P123" s="63">
        <v>12</v>
      </c>
      <c r="Q123" s="63">
        <v>2</v>
      </c>
      <c r="R123" s="63">
        <f t="shared" si="10"/>
        <v>720000</v>
      </c>
      <c r="S123" s="63"/>
      <c r="T123" s="165">
        <v>360000</v>
      </c>
      <c r="U123" s="61" t="s">
        <v>127</v>
      </c>
      <c r="V123" s="60">
        <f t="shared" si="9"/>
        <v>0.5</v>
      </c>
      <c r="X123" s="6"/>
    </row>
    <row r="124" spans="1:29" s="5" customFormat="1" ht="17.25" customHeight="1">
      <c r="A124" s="59" t="s">
        <v>257</v>
      </c>
      <c r="B124" s="58" t="s">
        <v>715</v>
      </c>
      <c r="C124" s="65" t="s">
        <v>714</v>
      </c>
      <c r="D124" s="58" t="str">
        <f>VLOOKUP(C124,코드!$E$3:$F$30,2,FALSE)</f>
        <v>8647</v>
      </c>
      <c r="E124" s="65" t="s">
        <v>713</v>
      </c>
      <c r="F124" s="65" t="s">
        <v>749</v>
      </c>
      <c r="G124" s="66" t="s">
        <v>768</v>
      </c>
      <c r="H124" s="65" t="s">
        <v>779</v>
      </c>
      <c r="I124" s="65" t="s">
        <v>778</v>
      </c>
      <c r="J124" s="58" t="s">
        <v>130</v>
      </c>
      <c r="K124" s="58" t="s">
        <v>18</v>
      </c>
      <c r="L124" s="58">
        <f>VLOOKUP(K124,코드!$B$3:$C$29,2,FALSE)</f>
        <v>4233201</v>
      </c>
      <c r="M124" s="58" t="s">
        <v>178</v>
      </c>
      <c r="N124" s="79" t="s">
        <v>708</v>
      </c>
      <c r="O124" s="63">
        <v>60000000</v>
      </c>
      <c r="P124" s="63">
        <v>1</v>
      </c>
      <c r="Q124" s="63">
        <v>1</v>
      </c>
      <c r="R124" s="63">
        <f t="shared" si="10"/>
        <v>60000000</v>
      </c>
      <c r="S124" s="63"/>
      <c r="T124" s="165">
        <v>35000000</v>
      </c>
      <c r="U124" s="61" t="s">
        <v>316</v>
      </c>
      <c r="V124" s="60">
        <f t="shared" si="9"/>
        <v>0.58333333333333337</v>
      </c>
      <c r="X124" s="6"/>
    </row>
    <row r="125" spans="1:29" s="5" customFormat="1" ht="17.25" customHeight="1">
      <c r="A125" s="59" t="s">
        <v>257</v>
      </c>
      <c r="B125" s="58" t="s">
        <v>715</v>
      </c>
      <c r="C125" s="65" t="s">
        <v>714</v>
      </c>
      <c r="D125" s="58" t="str">
        <f>VLOOKUP(C125,코드!$E$3:$F$30,2,FALSE)</f>
        <v>8647</v>
      </c>
      <c r="E125" s="65" t="s">
        <v>713</v>
      </c>
      <c r="F125" s="65" t="s">
        <v>749</v>
      </c>
      <c r="G125" s="66" t="s">
        <v>768</v>
      </c>
      <c r="H125" s="65" t="s">
        <v>767</v>
      </c>
      <c r="I125" s="65" t="s">
        <v>777</v>
      </c>
      <c r="J125" s="58" t="s">
        <v>101</v>
      </c>
      <c r="K125" s="58" t="s">
        <v>15</v>
      </c>
      <c r="L125" s="58">
        <f>VLOOKUP(K125,코드!$B$3:$C$29,2,FALSE)</f>
        <v>4321701</v>
      </c>
      <c r="M125" s="58" t="s">
        <v>765</v>
      </c>
      <c r="N125" s="79" t="s">
        <v>776</v>
      </c>
      <c r="O125" s="63">
        <v>10320</v>
      </c>
      <c r="P125" s="63">
        <v>1</v>
      </c>
      <c r="Q125" s="63">
        <v>2336</v>
      </c>
      <c r="R125" s="63">
        <f t="shared" si="10"/>
        <v>24107520</v>
      </c>
      <c r="S125" s="63"/>
      <c r="T125" s="165">
        <v>12053760</v>
      </c>
      <c r="U125" s="61" t="s">
        <v>316</v>
      </c>
      <c r="V125" s="60">
        <f t="shared" si="9"/>
        <v>0.5</v>
      </c>
      <c r="X125" s="6"/>
    </row>
    <row r="126" spans="1:29" s="5" customFormat="1" ht="17.25" customHeight="1">
      <c r="A126" s="59" t="s">
        <v>257</v>
      </c>
      <c r="B126" s="58" t="s">
        <v>715</v>
      </c>
      <c r="C126" s="65" t="s">
        <v>714</v>
      </c>
      <c r="D126" s="58" t="str">
        <f>VLOOKUP(C126,코드!$E$3:$F$30,2,FALSE)</f>
        <v>8647</v>
      </c>
      <c r="E126" s="65" t="s">
        <v>713</v>
      </c>
      <c r="F126" s="65" t="s">
        <v>749</v>
      </c>
      <c r="G126" s="66" t="s">
        <v>768</v>
      </c>
      <c r="H126" s="65" t="s">
        <v>767</v>
      </c>
      <c r="I126" s="65" t="s">
        <v>775</v>
      </c>
      <c r="J126" s="58" t="s">
        <v>130</v>
      </c>
      <c r="K126" s="58" t="s">
        <v>17</v>
      </c>
      <c r="L126" s="58">
        <f>VLOOKUP(K126,코드!$B$3:$C$29,2,FALSE)</f>
        <v>4241130</v>
      </c>
      <c r="M126" s="58" t="s">
        <v>120</v>
      </c>
      <c r="N126" s="79" t="s">
        <v>708</v>
      </c>
      <c r="O126" s="63">
        <v>1000</v>
      </c>
      <c r="P126" s="63">
        <v>2000</v>
      </c>
      <c r="Q126" s="63">
        <v>1</v>
      </c>
      <c r="R126" s="63">
        <f t="shared" si="10"/>
        <v>2000000</v>
      </c>
      <c r="S126" s="63"/>
      <c r="T126" s="165">
        <v>1000000</v>
      </c>
      <c r="U126" s="61" t="s">
        <v>316</v>
      </c>
      <c r="V126" s="60">
        <f t="shared" si="9"/>
        <v>0.5</v>
      </c>
      <c r="X126" s="6"/>
    </row>
    <row r="127" spans="1:29" s="5" customFormat="1" ht="17.25" customHeight="1">
      <c r="A127" s="59" t="s">
        <v>257</v>
      </c>
      <c r="B127" s="58" t="s">
        <v>715</v>
      </c>
      <c r="C127" s="65" t="s">
        <v>714</v>
      </c>
      <c r="D127" s="58" t="str">
        <f>VLOOKUP(C127,코드!$E$3:$F$30,2,FALSE)</f>
        <v>8647</v>
      </c>
      <c r="E127" s="65" t="s">
        <v>713</v>
      </c>
      <c r="F127" s="65" t="s">
        <v>749</v>
      </c>
      <c r="G127" s="66" t="s">
        <v>768</v>
      </c>
      <c r="H127" s="65" t="s">
        <v>767</v>
      </c>
      <c r="I127" s="65" t="s">
        <v>774</v>
      </c>
      <c r="J127" s="58" t="s">
        <v>130</v>
      </c>
      <c r="K127" s="58" t="s">
        <v>17</v>
      </c>
      <c r="L127" s="58">
        <f>VLOOKUP(K127,코드!$B$3:$C$29,2,FALSE)</f>
        <v>4241130</v>
      </c>
      <c r="M127" s="58" t="s">
        <v>129</v>
      </c>
      <c r="N127" s="79" t="s">
        <v>708</v>
      </c>
      <c r="O127" s="63">
        <v>700</v>
      </c>
      <c r="P127" s="63">
        <v>200</v>
      </c>
      <c r="Q127" s="63">
        <v>12</v>
      </c>
      <c r="R127" s="63">
        <f t="shared" si="10"/>
        <v>1680000</v>
      </c>
      <c r="S127" s="63"/>
      <c r="T127" s="165">
        <v>840000</v>
      </c>
      <c r="U127" s="61" t="s">
        <v>316</v>
      </c>
      <c r="V127" s="60">
        <f t="shared" si="9"/>
        <v>0.5</v>
      </c>
      <c r="X127" s="6"/>
    </row>
    <row r="128" spans="1:29" s="6" customFormat="1" ht="17.25" customHeight="1">
      <c r="A128" s="59" t="s">
        <v>257</v>
      </c>
      <c r="B128" s="58" t="s">
        <v>715</v>
      </c>
      <c r="C128" s="65" t="s">
        <v>714</v>
      </c>
      <c r="D128" s="58" t="str">
        <f>VLOOKUP(C128,코드!$E$3:$F$30,2,FALSE)</f>
        <v>8647</v>
      </c>
      <c r="E128" s="65" t="s">
        <v>713</v>
      </c>
      <c r="F128" s="65" t="s">
        <v>749</v>
      </c>
      <c r="G128" s="66" t="s">
        <v>768</v>
      </c>
      <c r="H128" s="65" t="s">
        <v>767</v>
      </c>
      <c r="I128" s="65" t="s">
        <v>773</v>
      </c>
      <c r="J128" s="58" t="s">
        <v>130</v>
      </c>
      <c r="K128" s="58" t="s">
        <v>17</v>
      </c>
      <c r="L128" s="58">
        <f>VLOOKUP(K128,코드!$B$3:$C$29,2,FALSE)</f>
        <v>4241130</v>
      </c>
      <c r="M128" s="58" t="s">
        <v>129</v>
      </c>
      <c r="N128" s="79" t="s">
        <v>708</v>
      </c>
      <c r="O128" s="63">
        <v>3000000</v>
      </c>
      <c r="P128" s="63">
        <v>1</v>
      </c>
      <c r="Q128" s="63">
        <v>1</v>
      </c>
      <c r="R128" s="63">
        <f t="shared" si="10"/>
        <v>3000000</v>
      </c>
      <c r="S128" s="63"/>
      <c r="T128" s="165">
        <v>2000000</v>
      </c>
      <c r="U128" s="61" t="s">
        <v>316</v>
      </c>
      <c r="V128" s="60">
        <f t="shared" si="9"/>
        <v>0.66666666666666663</v>
      </c>
      <c r="W128" s="5"/>
      <c r="Y128" s="5"/>
      <c r="AC128" s="22"/>
    </row>
    <row r="129" spans="1:29" s="6" customFormat="1" ht="17.25" customHeight="1">
      <c r="A129" s="59" t="s">
        <v>257</v>
      </c>
      <c r="B129" s="58" t="s">
        <v>715</v>
      </c>
      <c r="C129" s="65" t="s">
        <v>714</v>
      </c>
      <c r="D129" s="58" t="str">
        <f>VLOOKUP(C129,코드!$E$3:$F$30,2,FALSE)</f>
        <v>8647</v>
      </c>
      <c r="E129" s="65" t="s">
        <v>713</v>
      </c>
      <c r="F129" s="65" t="s">
        <v>749</v>
      </c>
      <c r="G129" s="66" t="s">
        <v>768</v>
      </c>
      <c r="H129" s="65" t="s">
        <v>767</v>
      </c>
      <c r="I129" s="65" t="s">
        <v>772</v>
      </c>
      <c r="J129" s="58" t="s">
        <v>130</v>
      </c>
      <c r="K129" s="58" t="s">
        <v>17</v>
      </c>
      <c r="L129" s="58">
        <f>VLOOKUP(K129,코드!$B$3:$C$29,2,FALSE)</f>
        <v>4241130</v>
      </c>
      <c r="M129" s="58" t="s">
        <v>129</v>
      </c>
      <c r="N129" s="79" t="s">
        <v>708</v>
      </c>
      <c r="O129" s="63">
        <v>30000</v>
      </c>
      <c r="P129" s="63">
        <v>8</v>
      </c>
      <c r="Q129" s="63">
        <v>3</v>
      </c>
      <c r="R129" s="63">
        <f t="shared" si="10"/>
        <v>720000</v>
      </c>
      <c r="S129" s="63"/>
      <c r="T129" s="165">
        <v>480000</v>
      </c>
      <c r="U129" s="61" t="s">
        <v>316</v>
      </c>
      <c r="V129" s="60">
        <f t="shared" si="9"/>
        <v>0.66666666666666663</v>
      </c>
      <c r="W129" s="5"/>
      <c r="Y129" s="5"/>
      <c r="AC129" s="22"/>
    </row>
    <row r="130" spans="1:29" s="6" customFormat="1" ht="17.25" customHeight="1">
      <c r="A130" s="59" t="s">
        <v>257</v>
      </c>
      <c r="B130" s="58" t="s">
        <v>715</v>
      </c>
      <c r="C130" s="65" t="s">
        <v>714</v>
      </c>
      <c r="D130" s="58" t="str">
        <f>VLOOKUP(C130,코드!$E$3:$F$30,2,FALSE)</f>
        <v>8647</v>
      </c>
      <c r="E130" s="65" t="s">
        <v>713</v>
      </c>
      <c r="F130" s="65" t="s">
        <v>749</v>
      </c>
      <c r="G130" s="66" t="s">
        <v>768</v>
      </c>
      <c r="H130" s="65" t="s">
        <v>767</v>
      </c>
      <c r="I130" s="65" t="s">
        <v>771</v>
      </c>
      <c r="J130" s="58" t="s">
        <v>205</v>
      </c>
      <c r="K130" s="58" t="s">
        <v>148</v>
      </c>
      <c r="L130" s="58">
        <f>VLOOKUP(K130,코드!$B$3:$C$29,2,FALSE)</f>
        <v>1314901</v>
      </c>
      <c r="M130" s="58" t="s">
        <v>770</v>
      </c>
      <c r="N130" s="79" t="s">
        <v>769</v>
      </c>
      <c r="O130" s="63">
        <v>2000000</v>
      </c>
      <c r="P130" s="63">
        <v>2</v>
      </c>
      <c r="Q130" s="63">
        <v>1</v>
      </c>
      <c r="R130" s="63">
        <f t="shared" si="10"/>
        <v>4000000</v>
      </c>
      <c r="S130" s="63"/>
      <c r="T130" s="165">
        <v>0</v>
      </c>
      <c r="U130" s="61"/>
      <c r="V130" s="60">
        <f t="shared" si="9"/>
        <v>0</v>
      </c>
      <c r="W130" s="5"/>
      <c r="Y130" s="5"/>
      <c r="AC130" s="22"/>
    </row>
    <row r="131" spans="1:29" s="6" customFormat="1" ht="17.25" customHeight="1">
      <c r="A131" s="59" t="s">
        <v>257</v>
      </c>
      <c r="B131" s="58" t="s">
        <v>715</v>
      </c>
      <c r="C131" s="65" t="s">
        <v>714</v>
      </c>
      <c r="D131" s="58" t="str">
        <f>VLOOKUP(C131,코드!$E$3:$F$30,2,FALSE)</f>
        <v>8647</v>
      </c>
      <c r="E131" s="65" t="s">
        <v>713</v>
      </c>
      <c r="F131" s="65" t="s">
        <v>749</v>
      </c>
      <c r="G131" s="66" t="s">
        <v>768</v>
      </c>
      <c r="H131" s="65" t="s">
        <v>767</v>
      </c>
      <c r="I131" s="65" t="s">
        <v>766</v>
      </c>
      <c r="J131" s="58" t="s">
        <v>101</v>
      </c>
      <c r="K131" s="58" t="s">
        <v>9</v>
      </c>
      <c r="L131" s="58">
        <f>VLOOKUP(K131,코드!$B$3:$C$29,2,FALSE)</f>
        <v>4321701</v>
      </c>
      <c r="M131" s="58" t="s">
        <v>765</v>
      </c>
      <c r="N131" s="79" t="s">
        <v>708</v>
      </c>
      <c r="O131" s="63">
        <v>4000000</v>
      </c>
      <c r="P131" s="63">
        <v>1</v>
      </c>
      <c r="Q131" s="63">
        <v>1</v>
      </c>
      <c r="R131" s="63">
        <f t="shared" si="10"/>
        <v>4000000</v>
      </c>
      <c r="S131" s="63"/>
      <c r="T131" s="165">
        <v>4000000</v>
      </c>
      <c r="U131" s="61" t="s">
        <v>127</v>
      </c>
      <c r="V131" s="60">
        <f t="shared" si="9"/>
        <v>1</v>
      </c>
      <c r="W131" s="5"/>
      <c r="Y131" s="5"/>
      <c r="AC131" s="22"/>
    </row>
    <row r="132" spans="1:29" s="6" customFormat="1" ht="17.25" customHeight="1">
      <c r="A132" s="59" t="s">
        <v>257</v>
      </c>
      <c r="B132" s="58" t="s">
        <v>715</v>
      </c>
      <c r="C132" s="65" t="s">
        <v>714</v>
      </c>
      <c r="D132" s="58" t="str">
        <f>VLOOKUP(C132,코드!$E$3:$F$30,2,FALSE)</f>
        <v>8647</v>
      </c>
      <c r="E132" s="65" t="s">
        <v>713</v>
      </c>
      <c r="F132" s="65" t="s">
        <v>749</v>
      </c>
      <c r="G132" s="66" t="s">
        <v>748</v>
      </c>
      <c r="H132" s="65" t="s">
        <v>763</v>
      </c>
      <c r="I132" s="65" t="s">
        <v>764</v>
      </c>
      <c r="J132" s="58" t="s">
        <v>130</v>
      </c>
      <c r="K132" s="58" t="s">
        <v>17</v>
      </c>
      <c r="L132" s="58">
        <f>VLOOKUP(K132,코드!$B$3:$C$29,2,FALSE)</f>
        <v>4241130</v>
      </c>
      <c r="M132" s="58" t="s">
        <v>129</v>
      </c>
      <c r="N132" s="79" t="s">
        <v>708</v>
      </c>
      <c r="O132" s="63">
        <v>4500</v>
      </c>
      <c r="P132" s="63">
        <v>100</v>
      </c>
      <c r="Q132" s="63">
        <v>2</v>
      </c>
      <c r="R132" s="63">
        <f t="shared" si="10"/>
        <v>900000</v>
      </c>
      <c r="S132" s="63"/>
      <c r="T132" s="165">
        <v>450000</v>
      </c>
      <c r="U132" s="61" t="s">
        <v>316</v>
      </c>
      <c r="V132" s="60">
        <f t="shared" si="9"/>
        <v>0.5</v>
      </c>
      <c r="W132" s="5"/>
      <c r="Y132" s="5"/>
      <c r="AC132" s="22"/>
    </row>
    <row r="133" spans="1:29" s="6" customFormat="1" ht="17.25" customHeight="1">
      <c r="A133" s="59" t="s">
        <v>257</v>
      </c>
      <c r="B133" s="58" t="s">
        <v>715</v>
      </c>
      <c r="C133" s="65" t="s">
        <v>714</v>
      </c>
      <c r="D133" s="58" t="str">
        <f>VLOOKUP(C133,코드!$E$3:$F$30,2,FALSE)</f>
        <v>8647</v>
      </c>
      <c r="E133" s="65" t="s">
        <v>713</v>
      </c>
      <c r="F133" s="65" t="s">
        <v>749</v>
      </c>
      <c r="G133" s="66" t="s">
        <v>748</v>
      </c>
      <c r="H133" s="65" t="s">
        <v>763</v>
      </c>
      <c r="I133" s="65" t="s">
        <v>709</v>
      </c>
      <c r="J133" s="58" t="s">
        <v>130</v>
      </c>
      <c r="K133" s="58" t="s">
        <v>17</v>
      </c>
      <c r="L133" s="58">
        <f>VLOOKUP(K133,코드!$B$3:$C$29,2,FALSE)</f>
        <v>4241130</v>
      </c>
      <c r="M133" s="58" t="s">
        <v>129</v>
      </c>
      <c r="N133" s="79" t="s">
        <v>708</v>
      </c>
      <c r="O133" s="63">
        <v>270000</v>
      </c>
      <c r="P133" s="63">
        <v>1</v>
      </c>
      <c r="Q133" s="63">
        <v>2</v>
      </c>
      <c r="R133" s="63">
        <f t="shared" si="10"/>
        <v>540000</v>
      </c>
      <c r="S133" s="63"/>
      <c r="T133" s="165">
        <v>270000</v>
      </c>
      <c r="U133" s="61" t="s">
        <v>316</v>
      </c>
      <c r="V133" s="60">
        <f t="shared" si="9"/>
        <v>0.5</v>
      </c>
      <c r="W133" s="5"/>
      <c r="Y133" s="5"/>
      <c r="AC133" s="22"/>
    </row>
    <row r="134" spans="1:29" s="6" customFormat="1" ht="17.25" customHeight="1">
      <c r="A134" s="59" t="s">
        <v>257</v>
      </c>
      <c r="B134" s="58" t="s">
        <v>715</v>
      </c>
      <c r="C134" s="65" t="s">
        <v>714</v>
      </c>
      <c r="D134" s="58" t="str">
        <f>VLOOKUP(C134,코드!$E$3:$F$30,2,FALSE)</f>
        <v>8647</v>
      </c>
      <c r="E134" s="65" t="s">
        <v>713</v>
      </c>
      <c r="F134" s="65" t="s">
        <v>749</v>
      </c>
      <c r="G134" s="66" t="s">
        <v>748</v>
      </c>
      <c r="H134" s="65" t="s">
        <v>760</v>
      </c>
      <c r="I134" s="65" t="s">
        <v>753</v>
      </c>
      <c r="J134" s="58" t="s">
        <v>130</v>
      </c>
      <c r="K134" s="58" t="s">
        <v>17</v>
      </c>
      <c r="L134" s="58">
        <f>VLOOKUP(K134,코드!$B$3:$C$29,2,FALSE)</f>
        <v>4241130</v>
      </c>
      <c r="M134" s="58" t="s">
        <v>129</v>
      </c>
      <c r="N134" s="79" t="s">
        <v>708</v>
      </c>
      <c r="O134" s="63">
        <v>270000</v>
      </c>
      <c r="P134" s="63">
        <v>1</v>
      </c>
      <c r="Q134" s="63">
        <v>1</v>
      </c>
      <c r="R134" s="63">
        <f t="shared" si="10"/>
        <v>270000</v>
      </c>
      <c r="S134" s="63"/>
      <c r="T134" s="165">
        <v>270000</v>
      </c>
      <c r="U134" s="61" t="s">
        <v>127</v>
      </c>
      <c r="V134" s="60">
        <f t="shared" si="9"/>
        <v>1</v>
      </c>
      <c r="W134" s="5"/>
      <c r="Y134" s="5"/>
      <c r="AC134" s="22"/>
    </row>
    <row r="135" spans="1:29" s="6" customFormat="1" ht="17.25" customHeight="1">
      <c r="A135" s="59" t="s">
        <v>257</v>
      </c>
      <c r="B135" s="58" t="s">
        <v>715</v>
      </c>
      <c r="C135" s="65" t="s">
        <v>714</v>
      </c>
      <c r="D135" s="58" t="str">
        <f>VLOOKUP(C135,코드!$E$3:$F$30,2,FALSE)</f>
        <v>8647</v>
      </c>
      <c r="E135" s="65" t="s">
        <v>713</v>
      </c>
      <c r="F135" s="65" t="s">
        <v>749</v>
      </c>
      <c r="G135" s="66" t="s">
        <v>748</v>
      </c>
      <c r="H135" s="65" t="s">
        <v>760</v>
      </c>
      <c r="I135" s="65" t="s">
        <v>718</v>
      </c>
      <c r="J135" s="58" t="s">
        <v>130</v>
      </c>
      <c r="K135" s="58" t="s">
        <v>17</v>
      </c>
      <c r="L135" s="58">
        <f>VLOOKUP(K135,코드!$B$3:$C$29,2,FALSE)</f>
        <v>4241130</v>
      </c>
      <c r="M135" s="58" t="s">
        <v>107</v>
      </c>
      <c r="N135" s="79" t="s">
        <v>708</v>
      </c>
      <c r="O135" s="63">
        <v>450000</v>
      </c>
      <c r="P135" s="63">
        <v>1</v>
      </c>
      <c r="Q135" s="63">
        <v>1</v>
      </c>
      <c r="R135" s="63">
        <f t="shared" si="10"/>
        <v>450000</v>
      </c>
      <c r="S135" s="63"/>
      <c r="T135" s="165">
        <v>450000</v>
      </c>
      <c r="U135" s="61" t="s">
        <v>127</v>
      </c>
      <c r="V135" s="60">
        <f t="shared" si="9"/>
        <v>1</v>
      </c>
      <c r="W135" s="5"/>
      <c r="Y135" s="5"/>
      <c r="AC135" s="22"/>
    </row>
    <row r="136" spans="1:29" s="6" customFormat="1" ht="17.25" customHeight="1">
      <c r="A136" s="59" t="s">
        <v>257</v>
      </c>
      <c r="B136" s="58" t="s">
        <v>715</v>
      </c>
      <c r="C136" s="65" t="s">
        <v>714</v>
      </c>
      <c r="D136" s="58" t="str">
        <f>VLOOKUP(C136,코드!$E$3:$F$30,2,FALSE)</f>
        <v>8647</v>
      </c>
      <c r="E136" s="65" t="s">
        <v>713</v>
      </c>
      <c r="F136" s="65" t="s">
        <v>749</v>
      </c>
      <c r="G136" s="66" t="s">
        <v>748</v>
      </c>
      <c r="H136" s="65" t="s">
        <v>760</v>
      </c>
      <c r="I136" s="65" t="s">
        <v>762</v>
      </c>
      <c r="J136" s="58" t="s">
        <v>130</v>
      </c>
      <c r="K136" s="58" t="s">
        <v>17</v>
      </c>
      <c r="L136" s="58">
        <f>VLOOKUP(K136,코드!$B$3:$C$29,2,FALSE)</f>
        <v>4241130</v>
      </c>
      <c r="M136" s="58" t="s">
        <v>120</v>
      </c>
      <c r="N136" s="79" t="s">
        <v>708</v>
      </c>
      <c r="O136" s="63">
        <v>15000</v>
      </c>
      <c r="P136" s="63">
        <v>16</v>
      </c>
      <c r="Q136" s="63">
        <v>1</v>
      </c>
      <c r="R136" s="63">
        <f t="shared" si="10"/>
        <v>240000</v>
      </c>
      <c r="S136" s="63"/>
      <c r="T136" s="165">
        <v>240000</v>
      </c>
      <c r="U136" s="61" t="s">
        <v>127</v>
      </c>
      <c r="V136" s="60">
        <f t="shared" si="9"/>
        <v>1</v>
      </c>
      <c r="W136" s="5"/>
      <c r="Y136" s="5"/>
      <c r="AC136" s="22"/>
    </row>
    <row r="137" spans="1:29" s="6" customFormat="1" ht="17.25" customHeight="1">
      <c r="A137" s="59" t="s">
        <v>257</v>
      </c>
      <c r="B137" s="58" t="s">
        <v>715</v>
      </c>
      <c r="C137" s="65" t="s">
        <v>714</v>
      </c>
      <c r="D137" s="58" t="str">
        <f>VLOOKUP(C137,코드!$E$3:$F$30,2,FALSE)</f>
        <v>8647</v>
      </c>
      <c r="E137" s="65" t="s">
        <v>713</v>
      </c>
      <c r="F137" s="65" t="s">
        <v>749</v>
      </c>
      <c r="G137" s="66" t="s">
        <v>748</v>
      </c>
      <c r="H137" s="65" t="s">
        <v>760</v>
      </c>
      <c r="I137" s="65" t="s">
        <v>761</v>
      </c>
      <c r="J137" s="58" t="s">
        <v>130</v>
      </c>
      <c r="K137" s="58" t="s">
        <v>17</v>
      </c>
      <c r="L137" s="58">
        <f>VLOOKUP(K137,코드!$B$3:$C$29,2,FALSE)</f>
        <v>4241130</v>
      </c>
      <c r="M137" s="58" t="s">
        <v>129</v>
      </c>
      <c r="N137" s="79" t="s">
        <v>708</v>
      </c>
      <c r="O137" s="63">
        <v>100000</v>
      </c>
      <c r="P137" s="63">
        <v>1</v>
      </c>
      <c r="Q137" s="63">
        <v>1</v>
      </c>
      <c r="R137" s="63">
        <f t="shared" si="10"/>
        <v>100000</v>
      </c>
      <c r="S137" s="63"/>
      <c r="T137" s="165">
        <v>100000</v>
      </c>
      <c r="U137" s="61" t="s">
        <v>127</v>
      </c>
      <c r="V137" s="60">
        <f t="shared" si="9"/>
        <v>1</v>
      </c>
      <c r="W137" s="5"/>
      <c r="Y137" s="5"/>
      <c r="AC137" s="22"/>
    </row>
    <row r="138" spans="1:29" s="6" customFormat="1" ht="17.25" customHeight="1">
      <c r="A138" s="59" t="s">
        <v>257</v>
      </c>
      <c r="B138" s="58" t="s">
        <v>715</v>
      </c>
      <c r="C138" s="65" t="s">
        <v>714</v>
      </c>
      <c r="D138" s="58" t="str">
        <f>VLOOKUP(C138,코드!$E$3:$F$30,2,FALSE)</f>
        <v>8647</v>
      </c>
      <c r="E138" s="65" t="s">
        <v>713</v>
      </c>
      <c r="F138" s="65" t="s">
        <v>749</v>
      </c>
      <c r="G138" s="66" t="s">
        <v>748</v>
      </c>
      <c r="H138" s="65" t="s">
        <v>760</v>
      </c>
      <c r="I138" s="65" t="s">
        <v>723</v>
      </c>
      <c r="J138" s="58" t="s">
        <v>130</v>
      </c>
      <c r="K138" s="58" t="s">
        <v>17</v>
      </c>
      <c r="L138" s="58">
        <f>VLOOKUP(K138,코드!$B$3:$C$29,2,FALSE)</f>
        <v>4241130</v>
      </c>
      <c r="M138" s="58" t="s">
        <v>129</v>
      </c>
      <c r="N138" s="79" t="s">
        <v>708</v>
      </c>
      <c r="O138" s="63">
        <v>30000</v>
      </c>
      <c r="P138" s="63">
        <v>7</v>
      </c>
      <c r="Q138" s="63">
        <v>2</v>
      </c>
      <c r="R138" s="63">
        <f t="shared" si="10"/>
        <v>420000</v>
      </c>
      <c r="S138" s="63"/>
      <c r="T138" s="165">
        <v>420000</v>
      </c>
      <c r="U138" s="61" t="s">
        <v>127</v>
      </c>
      <c r="V138" s="60">
        <f t="shared" si="9"/>
        <v>1</v>
      </c>
      <c r="W138" s="5"/>
      <c r="Y138" s="5"/>
      <c r="AC138" s="22"/>
    </row>
    <row r="139" spans="1:29" s="6" customFormat="1" ht="17.25" customHeight="1">
      <c r="A139" s="59" t="s">
        <v>257</v>
      </c>
      <c r="B139" s="58" t="s">
        <v>715</v>
      </c>
      <c r="C139" s="65" t="s">
        <v>714</v>
      </c>
      <c r="D139" s="58" t="str">
        <f>VLOOKUP(C139,코드!$E$3:$F$30,2,FALSE)</f>
        <v>8647</v>
      </c>
      <c r="E139" s="65" t="s">
        <v>713</v>
      </c>
      <c r="F139" s="65" t="s">
        <v>749</v>
      </c>
      <c r="G139" s="66" t="s">
        <v>748</v>
      </c>
      <c r="H139" s="65" t="s">
        <v>758</v>
      </c>
      <c r="I139" s="65" t="s">
        <v>718</v>
      </c>
      <c r="J139" s="58" t="s">
        <v>130</v>
      </c>
      <c r="K139" s="58" t="s">
        <v>17</v>
      </c>
      <c r="L139" s="58">
        <f>VLOOKUP(K139,코드!$B$3:$C$29,2,FALSE)</f>
        <v>4241130</v>
      </c>
      <c r="M139" s="58" t="s">
        <v>107</v>
      </c>
      <c r="N139" s="79" t="s">
        <v>708</v>
      </c>
      <c r="O139" s="63">
        <v>450000</v>
      </c>
      <c r="P139" s="63">
        <v>1</v>
      </c>
      <c r="Q139" s="63">
        <v>1</v>
      </c>
      <c r="R139" s="63">
        <f t="shared" si="10"/>
        <v>450000</v>
      </c>
      <c r="S139" s="63"/>
      <c r="T139" s="165">
        <v>450000</v>
      </c>
      <c r="U139" s="61" t="s">
        <v>316</v>
      </c>
      <c r="V139" s="60">
        <f t="shared" si="9"/>
        <v>1</v>
      </c>
      <c r="W139" s="5"/>
      <c r="Y139" s="5"/>
      <c r="AC139" s="22"/>
    </row>
    <row r="140" spans="1:29" s="6" customFormat="1" ht="17.25" customHeight="1">
      <c r="A140" s="59" t="s">
        <v>257</v>
      </c>
      <c r="B140" s="58" t="s">
        <v>715</v>
      </c>
      <c r="C140" s="65" t="s">
        <v>714</v>
      </c>
      <c r="D140" s="58" t="str">
        <f>VLOOKUP(C140,코드!$E$3:$F$30,2,FALSE)</f>
        <v>8647</v>
      </c>
      <c r="E140" s="65" t="s">
        <v>713</v>
      </c>
      <c r="F140" s="65" t="s">
        <v>749</v>
      </c>
      <c r="G140" s="66" t="s">
        <v>748</v>
      </c>
      <c r="H140" s="65" t="s">
        <v>758</v>
      </c>
      <c r="I140" s="65" t="s">
        <v>709</v>
      </c>
      <c r="J140" s="58" t="s">
        <v>130</v>
      </c>
      <c r="K140" s="58" t="s">
        <v>17</v>
      </c>
      <c r="L140" s="58">
        <f>VLOOKUP(K140,코드!$B$3:$C$29,2,FALSE)</f>
        <v>4241130</v>
      </c>
      <c r="M140" s="58" t="s">
        <v>129</v>
      </c>
      <c r="N140" s="79" t="s">
        <v>708</v>
      </c>
      <c r="O140" s="63">
        <v>270000</v>
      </c>
      <c r="P140" s="63">
        <v>1</v>
      </c>
      <c r="Q140" s="63">
        <v>1</v>
      </c>
      <c r="R140" s="63">
        <f t="shared" si="10"/>
        <v>270000</v>
      </c>
      <c r="S140" s="63"/>
      <c r="T140" s="165">
        <v>270000</v>
      </c>
      <c r="U140" s="61" t="s">
        <v>316</v>
      </c>
      <c r="V140" s="60">
        <f t="shared" si="9"/>
        <v>1</v>
      </c>
      <c r="W140" s="5"/>
      <c r="Y140" s="5"/>
      <c r="AC140" s="22"/>
    </row>
    <row r="141" spans="1:29" s="6" customFormat="1" ht="17.25" customHeight="1">
      <c r="A141" s="59" t="s">
        <v>257</v>
      </c>
      <c r="B141" s="58" t="s">
        <v>715</v>
      </c>
      <c r="C141" s="65" t="s">
        <v>714</v>
      </c>
      <c r="D141" s="58" t="str">
        <f>VLOOKUP(C141,코드!$E$3:$F$30,2,FALSE)</f>
        <v>8647</v>
      </c>
      <c r="E141" s="65" t="s">
        <v>713</v>
      </c>
      <c r="F141" s="65" t="s">
        <v>749</v>
      </c>
      <c r="G141" s="66" t="s">
        <v>748</v>
      </c>
      <c r="H141" s="65" t="s">
        <v>758</v>
      </c>
      <c r="I141" s="65" t="s">
        <v>759</v>
      </c>
      <c r="J141" s="58" t="s">
        <v>130</v>
      </c>
      <c r="K141" s="58" t="s">
        <v>17</v>
      </c>
      <c r="L141" s="58">
        <f>VLOOKUP(K141,코드!$B$3:$C$29,2,FALSE)</f>
        <v>4241130</v>
      </c>
      <c r="M141" s="58" t="s">
        <v>120</v>
      </c>
      <c r="N141" s="79" t="s">
        <v>708</v>
      </c>
      <c r="O141" s="63">
        <v>15000</v>
      </c>
      <c r="P141" s="63">
        <v>22</v>
      </c>
      <c r="Q141" s="63">
        <v>1</v>
      </c>
      <c r="R141" s="63">
        <f t="shared" si="10"/>
        <v>330000</v>
      </c>
      <c r="S141" s="63"/>
      <c r="T141" s="165">
        <v>330000</v>
      </c>
      <c r="U141" s="61" t="s">
        <v>316</v>
      </c>
      <c r="V141" s="60">
        <f t="shared" si="9"/>
        <v>1</v>
      </c>
      <c r="W141" s="5"/>
      <c r="Y141" s="5"/>
      <c r="AC141" s="22"/>
    </row>
    <row r="142" spans="1:29" s="6" customFormat="1" ht="17.25" customHeight="1">
      <c r="A142" s="59" t="s">
        <v>257</v>
      </c>
      <c r="B142" s="58" t="s">
        <v>715</v>
      </c>
      <c r="C142" s="65" t="s">
        <v>714</v>
      </c>
      <c r="D142" s="58" t="str">
        <f>VLOOKUP(C142,코드!$E$3:$F$30,2,FALSE)</f>
        <v>8647</v>
      </c>
      <c r="E142" s="65" t="s">
        <v>713</v>
      </c>
      <c r="F142" s="65" t="s">
        <v>749</v>
      </c>
      <c r="G142" s="66" t="s">
        <v>748</v>
      </c>
      <c r="H142" s="65" t="s">
        <v>758</v>
      </c>
      <c r="I142" s="65" t="s">
        <v>723</v>
      </c>
      <c r="J142" s="58" t="s">
        <v>130</v>
      </c>
      <c r="K142" s="58" t="s">
        <v>17</v>
      </c>
      <c r="L142" s="58">
        <f>VLOOKUP(K142,코드!$B$3:$C$29,2,FALSE)</f>
        <v>4241130</v>
      </c>
      <c r="M142" s="58" t="s">
        <v>129</v>
      </c>
      <c r="N142" s="79" t="s">
        <v>708</v>
      </c>
      <c r="O142" s="63">
        <v>30000</v>
      </c>
      <c r="P142" s="63">
        <v>7</v>
      </c>
      <c r="Q142" s="63">
        <v>2</v>
      </c>
      <c r="R142" s="63">
        <f t="shared" si="10"/>
        <v>420000</v>
      </c>
      <c r="S142" s="63"/>
      <c r="T142" s="165">
        <v>420000</v>
      </c>
      <c r="U142" s="61" t="s">
        <v>316</v>
      </c>
      <c r="V142" s="60">
        <f t="shared" si="9"/>
        <v>1</v>
      </c>
      <c r="W142" s="5"/>
      <c r="Y142" s="5"/>
      <c r="AC142" s="22"/>
    </row>
    <row r="143" spans="1:29" s="6" customFormat="1" ht="17.25" customHeight="1">
      <c r="A143" s="59" t="s">
        <v>257</v>
      </c>
      <c r="B143" s="58" t="s">
        <v>715</v>
      </c>
      <c r="C143" s="65" t="s">
        <v>714</v>
      </c>
      <c r="D143" s="58" t="str">
        <f>VLOOKUP(C143,코드!$E$3:$F$30,2,FALSE)</f>
        <v>8647</v>
      </c>
      <c r="E143" s="65" t="s">
        <v>713</v>
      </c>
      <c r="F143" s="65" t="s">
        <v>749</v>
      </c>
      <c r="G143" s="66" t="s">
        <v>748</v>
      </c>
      <c r="H143" s="65" t="s">
        <v>758</v>
      </c>
      <c r="I143" s="65" t="s">
        <v>757</v>
      </c>
      <c r="J143" s="58" t="s">
        <v>130</v>
      </c>
      <c r="K143" s="58" t="s">
        <v>17</v>
      </c>
      <c r="L143" s="58">
        <f>VLOOKUP(K143,코드!$B$3:$C$29,2,FALSE)</f>
        <v>4241130</v>
      </c>
      <c r="M143" s="58" t="s">
        <v>217</v>
      </c>
      <c r="N143" s="79" t="s">
        <v>708</v>
      </c>
      <c r="O143" s="63">
        <v>40000</v>
      </c>
      <c r="P143" s="63">
        <v>5</v>
      </c>
      <c r="Q143" s="63">
        <v>1</v>
      </c>
      <c r="R143" s="63">
        <f t="shared" si="10"/>
        <v>200000</v>
      </c>
      <c r="S143" s="63"/>
      <c r="T143" s="165">
        <v>200000</v>
      </c>
      <c r="U143" s="61" t="s">
        <v>316</v>
      </c>
      <c r="V143" s="60">
        <f t="shared" si="9"/>
        <v>1</v>
      </c>
      <c r="W143" s="5"/>
      <c r="Y143" s="5"/>
      <c r="AC143" s="22"/>
    </row>
    <row r="144" spans="1:29" s="5" customFormat="1" ht="17.25" customHeight="1">
      <c r="A144" s="59" t="s">
        <v>257</v>
      </c>
      <c r="B144" s="58" t="s">
        <v>715</v>
      </c>
      <c r="C144" s="65" t="s">
        <v>714</v>
      </c>
      <c r="D144" s="58" t="str">
        <f>VLOOKUP(C144,코드!$E$3:$F$30,2,FALSE)</f>
        <v>8647</v>
      </c>
      <c r="E144" s="65" t="s">
        <v>713</v>
      </c>
      <c r="F144" s="65" t="s">
        <v>749</v>
      </c>
      <c r="G144" s="66" t="s">
        <v>748</v>
      </c>
      <c r="H144" s="65" t="s">
        <v>754</v>
      </c>
      <c r="I144" s="65" t="s">
        <v>718</v>
      </c>
      <c r="J144" s="58" t="s">
        <v>130</v>
      </c>
      <c r="K144" s="58" t="s">
        <v>17</v>
      </c>
      <c r="L144" s="58">
        <f>VLOOKUP(K144,코드!$B$3:$C$29,2,FALSE)</f>
        <v>4241130</v>
      </c>
      <c r="M144" s="58" t="s">
        <v>107</v>
      </c>
      <c r="N144" s="79" t="s">
        <v>708</v>
      </c>
      <c r="O144" s="63">
        <v>450000</v>
      </c>
      <c r="P144" s="63">
        <v>1</v>
      </c>
      <c r="Q144" s="63">
        <v>1</v>
      </c>
      <c r="R144" s="63">
        <f t="shared" si="10"/>
        <v>450000</v>
      </c>
      <c r="S144" s="63"/>
      <c r="T144" s="165">
        <v>450000</v>
      </c>
      <c r="U144" s="61" t="s">
        <v>316</v>
      </c>
      <c r="V144" s="60">
        <f t="shared" ref="V144:V175" si="11">T144/R144</f>
        <v>1</v>
      </c>
      <c r="X144" s="6"/>
    </row>
    <row r="145" spans="1:24" s="5" customFormat="1" ht="17.25" customHeight="1">
      <c r="A145" s="59" t="s">
        <v>257</v>
      </c>
      <c r="B145" s="58" t="s">
        <v>715</v>
      </c>
      <c r="C145" s="65" t="s">
        <v>714</v>
      </c>
      <c r="D145" s="58" t="str">
        <f>VLOOKUP(C145,코드!$E$3:$F$30,2,FALSE)</f>
        <v>8647</v>
      </c>
      <c r="E145" s="65" t="s">
        <v>713</v>
      </c>
      <c r="F145" s="65" t="s">
        <v>749</v>
      </c>
      <c r="G145" s="66" t="s">
        <v>748</v>
      </c>
      <c r="H145" s="65" t="s">
        <v>754</v>
      </c>
      <c r="I145" s="65" t="s">
        <v>756</v>
      </c>
      <c r="J145" s="58" t="s">
        <v>130</v>
      </c>
      <c r="K145" s="58" t="s">
        <v>17</v>
      </c>
      <c r="L145" s="58">
        <f>VLOOKUP(K145,코드!$B$3:$C$29,2,FALSE)</f>
        <v>4241130</v>
      </c>
      <c r="M145" s="58" t="s">
        <v>120</v>
      </c>
      <c r="N145" s="79" t="s">
        <v>708</v>
      </c>
      <c r="O145" s="63">
        <v>15000</v>
      </c>
      <c r="P145" s="63">
        <v>15</v>
      </c>
      <c r="Q145" s="63">
        <v>1</v>
      </c>
      <c r="R145" s="63">
        <f t="shared" ref="R145:R176" si="12">O145*P145*Q145</f>
        <v>225000</v>
      </c>
      <c r="S145" s="63"/>
      <c r="T145" s="165">
        <v>225000</v>
      </c>
      <c r="U145" s="61" t="s">
        <v>316</v>
      </c>
      <c r="V145" s="60">
        <f t="shared" si="11"/>
        <v>1</v>
      </c>
      <c r="X145" s="6"/>
    </row>
    <row r="146" spans="1:24" s="5" customFormat="1" ht="17.25" customHeight="1">
      <c r="A146" s="59" t="s">
        <v>257</v>
      </c>
      <c r="B146" s="58" t="s">
        <v>715</v>
      </c>
      <c r="C146" s="65" t="s">
        <v>714</v>
      </c>
      <c r="D146" s="58" t="str">
        <f>VLOOKUP(C146,코드!$E$3:$F$30,2,FALSE)</f>
        <v>8647</v>
      </c>
      <c r="E146" s="65" t="s">
        <v>713</v>
      </c>
      <c r="F146" s="65" t="s">
        <v>749</v>
      </c>
      <c r="G146" s="66" t="s">
        <v>748</v>
      </c>
      <c r="H146" s="65" t="s">
        <v>754</v>
      </c>
      <c r="I146" s="65" t="s">
        <v>755</v>
      </c>
      <c r="J146" s="58" t="s">
        <v>130</v>
      </c>
      <c r="K146" s="58" t="s">
        <v>17</v>
      </c>
      <c r="L146" s="58">
        <f>VLOOKUP(K146,코드!$B$3:$C$29,2,FALSE)</f>
        <v>4241130</v>
      </c>
      <c r="M146" s="58" t="s">
        <v>129</v>
      </c>
      <c r="N146" s="79" t="s">
        <v>708</v>
      </c>
      <c r="O146" s="63">
        <v>100000</v>
      </c>
      <c r="P146" s="63">
        <v>1</v>
      </c>
      <c r="Q146" s="63">
        <v>1</v>
      </c>
      <c r="R146" s="63">
        <f t="shared" si="12"/>
        <v>100000</v>
      </c>
      <c r="S146" s="63"/>
      <c r="T146" s="165">
        <v>100000</v>
      </c>
      <c r="U146" s="61" t="s">
        <v>316</v>
      </c>
      <c r="V146" s="60">
        <f t="shared" si="11"/>
        <v>1</v>
      </c>
      <c r="X146" s="6"/>
    </row>
    <row r="147" spans="1:24" s="5" customFormat="1" ht="17.25" customHeight="1">
      <c r="A147" s="59" t="s">
        <v>257</v>
      </c>
      <c r="B147" s="58" t="s">
        <v>715</v>
      </c>
      <c r="C147" s="65" t="s">
        <v>714</v>
      </c>
      <c r="D147" s="58" t="str">
        <f>VLOOKUP(C147,코드!$E$3:$F$30,2,FALSE)</f>
        <v>8647</v>
      </c>
      <c r="E147" s="65" t="s">
        <v>713</v>
      </c>
      <c r="F147" s="65" t="s">
        <v>749</v>
      </c>
      <c r="G147" s="66" t="s">
        <v>748</v>
      </c>
      <c r="H147" s="65" t="s">
        <v>754</v>
      </c>
      <c r="I147" s="65" t="s">
        <v>723</v>
      </c>
      <c r="J147" s="58" t="s">
        <v>130</v>
      </c>
      <c r="K147" s="58" t="s">
        <v>17</v>
      </c>
      <c r="L147" s="58">
        <f>VLOOKUP(K147,코드!$B$3:$C$29,2,FALSE)</f>
        <v>4241130</v>
      </c>
      <c r="M147" s="58" t="s">
        <v>129</v>
      </c>
      <c r="N147" s="79" t="s">
        <v>708</v>
      </c>
      <c r="O147" s="63">
        <v>30000</v>
      </c>
      <c r="P147" s="63">
        <v>7</v>
      </c>
      <c r="Q147" s="63">
        <v>2</v>
      </c>
      <c r="R147" s="63">
        <f t="shared" si="12"/>
        <v>420000</v>
      </c>
      <c r="S147" s="63"/>
      <c r="T147" s="165">
        <v>420000</v>
      </c>
      <c r="U147" s="61" t="s">
        <v>316</v>
      </c>
      <c r="V147" s="60">
        <f t="shared" si="11"/>
        <v>1</v>
      </c>
      <c r="X147" s="6"/>
    </row>
    <row r="148" spans="1:24" s="5" customFormat="1" ht="17.25" customHeight="1">
      <c r="A148" s="59" t="s">
        <v>257</v>
      </c>
      <c r="B148" s="58" t="s">
        <v>715</v>
      </c>
      <c r="C148" s="65" t="s">
        <v>714</v>
      </c>
      <c r="D148" s="58" t="str">
        <f>VLOOKUP(C148,코드!$E$3:$F$30,2,FALSE)</f>
        <v>8647</v>
      </c>
      <c r="E148" s="65" t="s">
        <v>713</v>
      </c>
      <c r="F148" s="65" t="s">
        <v>749</v>
      </c>
      <c r="G148" s="66" t="s">
        <v>748</v>
      </c>
      <c r="H148" s="65" t="s">
        <v>754</v>
      </c>
      <c r="I148" s="65" t="s">
        <v>215</v>
      </c>
      <c r="J148" s="58" t="s">
        <v>130</v>
      </c>
      <c r="K148" s="58" t="s">
        <v>17</v>
      </c>
      <c r="L148" s="58">
        <f>VLOOKUP(K148,코드!$B$3:$C$29,2,FALSE)</f>
        <v>4241130</v>
      </c>
      <c r="M148" s="58" t="s">
        <v>129</v>
      </c>
      <c r="N148" s="79" t="s">
        <v>708</v>
      </c>
      <c r="O148" s="63">
        <v>270000</v>
      </c>
      <c r="P148" s="63">
        <v>1</v>
      </c>
      <c r="Q148" s="63">
        <v>1</v>
      </c>
      <c r="R148" s="63">
        <f t="shared" si="12"/>
        <v>270000</v>
      </c>
      <c r="S148" s="63"/>
      <c r="T148" s="165">
        <v>270000</v>
      </c>
      <c r="U148" s="61" t="s">
        <v>316</v>
      </c>
      <c r="V148" s="60">
        <f t="shared" si="11"/>
        <v>1</v>
      </c>
      <c r="X148" s="6"/>
    </row>
    <row r="149" spans="1:24" s="5" customFormat="1" ht="17.25" customHeight="1">
      <c r="A149" s="59" t="s">
        <v>257</v>
      </c>
      <c r="B149" s="58" t="s">
        <v>715</v>
      </c>
      <c r="C149" s="65" t="s">
        <v>714</v>
      </c>
      <c r="D149" s="58" t="str">
        <f>VLOOKUP(C149,코드!$E$3:$F$30,2,FALSE)</f>
        <v>8647</v>
      </c>
      <c r="E149" s="65" t="s">
        <v>713</v>
      </c>
      <c r="F149" s="65" t="s">
        <v>749</v>
      </c>
      <c r="G149" s="66" t="s">
        <v>748</v>
      </c>
      <c r="H149" s="65" t="s">
        <v>747</v>
      </c>
      <c r="I149" s="65" t="s">
        <v>753</v>
      </c>
      <c r="J149" s="58" t="s">
        <v>130</v>
      </c>
      <c r="K149" s="58" t="s">
        <v>17</v>
      </c>
      <c r="L149" s="58">
        <f>VLOOKUP(K149,코드!$B$3:$C$29,2,FALSE)</f>
        <v>4241130</v>
      </c>
      <c r="M149" s="58" t="s">
        <v>129</v>
      </c>
      <c r="N149" s="79" t="s">
        <v>708</v>
      </c>
      <c r="O149" s="63">
        <v>270000</v>
      </c>
      <c r="P149" s="63">
        <v>1</v>
      </c>
      <c r="Q149" s="63">
        <v>1</v>
      </c>
      <c r="R149" s="63">
        <f t="shared" si="12"/>
        <v>270000</v>
      </c>
      <c r="S149" s="63"/>
      <c r="T149" s="165">
        <v>0</v>
      </c>
      <c r="U149" s="61"/>
      <c r="V149" s="60">
        <f t="shared" si="11"/>
        <v>0</v>
      </c>
      <c r="X149" s="6"/>
    </row>
    <row r="150" spans="1:24" s="5" customFormat="1" ht="17.25" customHeight="1">
      <c r="A150" s="59" t="s">
        <v>257</v>
      </c>
      <c r="B150" s="58" t="s">
        <v>715</v>
      </c>
      <c r="C150" s="65" t="s">
        <v>714</v>
      </c>
      <c r="D150" s="58" t="str">
        <f>VLOOKUP(C150,코드!$E$3:$F$30,2,FALSE)</f>
        <v>8647</v>
      </c>
      <c r="E150" s="65" t="s">
        <v>713</v>
      </c>
      <c r="F150" s="65" t="s">
        <v>749</v>
      </c>
      <c r="G150" s="66" t="s">
        <v>748</v>
      </c>
      <c r="H150" s="65" t="s">
        <v>747</v>
      </c>
      <c r="I150" s="65" t="s">
        <v>752</v>
      </c>
      <c r="J150" s="58" t="s">
        <v>130</v>
      </c>
      <c r="K150" s="58" t="s">
        <v>17</v>
      </c>
      <c r="L150" s="58">
        <f>VLOOKUP(K150,코드!$B$3:$C$29,2,FALSE)</f>
        <v>4241130</v>
      </c>
      <c r="M150" s="58" t="s">
        <v>107</v>
      </c>
      <c r="N150" s="79" t="s">
        <v>708</v>
      </c>
      <c r="O150" s="63">
        <v>200000</v>
      </c>
      <c r="P150" s="63">
        <v>2</v>
      </c>
      <c r="Q150" s="63">
        <v>4</v>
      </c>
      <c r="R150" s="63">
        <f t="shared" si="12"/>
        <v>1600000</v>
      </c>
      <c r="S150" s="63"/>
      <c r="T150" s="165">
        <v>0</v>
      </c>
      <c r="U150" s="61"/>
      <c r="V150" s="60">
        <f t="shared" si="11"/>
        <v>0</v>
      </c>
      <c r="X150" s="6"/>
    </row>
    <row r="151" spans="1:24" s="5" customFormat="1" ht="17.25" customHeight="1">
      <c r="A151" s="59" t="s">
        <v>257</v>
      </c>
      <c r="B151" s="58" t="s">
        <v>715</v>
      </c>
      <c r="C151" s="65" t="s">
        <v>714</v>
      </c>
      <c r="D151" s="58" t="str">
        <f>VLOOKUP(C151,코드!$E$3:$F$30,2,FALSE)</f>
        <v>8647</v>
      </c>
      <c r="E151" s="65" t="s">
        <v>713</v>
      </c>
      <c r="F151" s="65" t="s">
        <v>749</v>
      </c>
      <c r="G151" s="66" t="s">
        <v>748</v>
      </c>
      <c r="H151" s="65" t="s">
        <v>747</v>
      </c>
      <c r="I151" s="65" t="s">
        <v>751</v>
      </c>
      <c r="J151" s="58" t="s">
        <v>130</v>
      </c>
      <c r="K151" s="58" t="s">
        <v>17</v>
      </c>
      <c r="L151" s="58">
        <f>VLOOKUP(K151,코드!$B$3:$C$29,2,FALSE)</f>
        <v>4241130</v>
      </c>
      <c r="M151" s="58" t="s">
        <v>120</v>
      </c>
      <c r="N151" s="79" t="s">
        <v>708</v>
      </c>
      <c r="O151" s="63">
        <v>15000</v>
      </c>
      <c r="P151" s="63">
        <v>8</v>
      </c>
      <c r="Q151" s="63">
        <v>4</v>
      </c>
      <c r="R151" s="63">
        <f t="shared" si="12"/>
        <v>480000</v>
      </c>
      <c r="S151" s="63"/>
      <c r="T151" s="165">
        <v>0</v>
      </c>
      <c r="U151" s="61"/>
      <c r="V151" s="60">
        <f t="shared" si="11"/>
        <v>0</v>
      </c>
      <c r="X151" s="6"/>
    </row>
    <row r="152" spans="1:24" s="5" customFormat="1" ht="17.25" customHeight="1">
      <c r="A152" s="59" t="s">
        <v>257</v>
      </c>
      <c r="B152" s="58" t="s">
        <v>715</v>
      </c>
      <c r="C152" s="65" t="s">
        <v>714</v>
      </c>
      <c r="D152" s="58" t="str">
        <f>VLOOKUP(C152,코드!$E$3:$F$30,2,FALSE)</f>
        <v>8647</v>
      </c>
      <c r="E152" s="65" t="s">
        <v>713</v>
      </c>
      <c r="F152" s="65" t="s">
        <v>749</v>
      </c>
      <c r="G152" s="66" t="s">
        <v>748</v>
      </c>
      <c r="H152" s="65" t="s">
        <v>747</v>
      </c>
      <c r="I152" s="65" t="s">
        <v>750</v>
      </c>
      <c r="J152" s="58" t="s">
        <v>130</v>
      </c>
      <c r="K152" s="58" t="s">
        <v>17</v>
      </c>
      <c r="L152" s="58">
        <f>VLOOKUP(K152,코드!$B$3:$C$29,2,FALSE)</f>
        <v>4241130</v>
      </c>
      <c r="M152" s="58" t="s">
        <v>129</v>
      </c>
      <c r="N152" s="79" t="s">
        <v>708</v>
      </c>
      <c r="O152" s="63">
        <v>400000</v>
      </c>
      <c r="P152" s="63">
        <v>1</v>
      </c>
      <c r="Q152" s="63">
        <v>1</v>
      </c>
      <c r="R152" s="63">
        <f t="shared" si="12"/>
        <v>400000</v>
      </c>
      <c r="S152" s="63"/>
      <c r="T152" s="165">
        <v>0</v>
      </c>
      <c r="U152" s="61"/>
      <c r="V152" s="60">
        <f t="shared" si="11"/>
        <v>0</v>
      </c>
      <c r="X152" s="6"/>
    </row>
    <row r="153" spans="1:24" s="5" customFormat="1" ht="17.25" customHeight="1">
      <c r="A153" s="59" t="s">
        <v>257</v>
      </c>
      <c r="B153" s="58" t="s">
        <v>715</v>
      </c>
      <c r="C153" s="65" t="s">
        <v>714</v>
      </c>
      <c r="D153" s="58" t="str">
        <f>VLOOKUP(C153,코드!$E$3:$F$30,2,FALSE)</f>
        <v>8647</v>
      </c>
      <c r="E153" s="65" t="s">
        <v>713</v>
      </c>
      <c r="F153" s="65" t="s">
        <v>749</v>
      </c>
      <c r="G153" s="66" t="s">
        <v>748</v>
      </c>
      <c r="H153" s="65" t="s">
        <v>747</v>
      </c>
      <c r="I153" s="65" t="s">
        <v>723</v>
      </c>
      <c r="J153" s="58" t="s">
        <v>130</v>
      </c>
      <c r="K153" s="58" t="s">
        <v>17</v>
      </c>
      <c r="L153" s="58">
        <f>VLOOKUP(K153,코드!$B$3:$C$29,2,FALSE)</f>
        <v>4241130</v>
      </c>
      <c r="M153" s="58" t="s">
        <v>129</v>
      </c>
      <c r="N153" s="79" t="s">
        <v>708</v>
      </c>
      <c r="O153" s="63">
        <v>30000</v>
      </c>
      <c r="P153" s="63">
        <v>7</v>
      </c>
      <c r="Q153" s="63">
        <v>2</v>
      </c>
      <c r="R153" s="63">
        <f t="shared" si="12"/>
        <v>420000</v>
      </c>
      <c r="S153" s="63"/>
      <c r="T153" s="165">
        <v>0</v>
      </c>
      <c r="U153" s="61"/>
      <c r="V153" s="60">
        <f t="shared" si="11"/>
        <v>0</v>
      </c>
      <c r="X153" s="6"/>
    </row>
    <row r="154" spans="1:24" s="5" customFormat="1" ht="17.25" customHeight="1">
      <c r="A154" s="59" t="s">
        <v>257</v>
      </c>
      <c r="B154" s="58" t="s">
        <v>715</v>
      </c>
      <c r="C154" s="65" t="s">
        <v>714</v>
      </c>
      <c r="D154" s="58" t="str">
        <f>VLOOKUP(C154,코드!$E$3:$F$30,2,FALSE)</f>
        <v>8647</v>
      </c>
      <c r="E154" s="65" t="s">
        <v>713</v>
      </c>
      <c r="F154" s="65" t="s">
        <v>712</v>
      </c>
      <c r="G154" s="66" t="s">
        <v>729</v>
      </c>
      <c r="H154" s="65" t="s">
        <v>745</v>
      </c>
      <c r="I154" s="65" t="s">
        <v>746</v>
      </c>
      <c r="J154" s="58" t="s">
        <v>130</v>
      </c>
      <c r="K154" s="58" t="s">
        <v>17</v>
      </c>
      <c r="L154" s="58">
        <f>VLOOKUP(K154,코드!$B$3:$C$29,2,FALSE)</f>
        <v>4241130</v>
      </c>
      <c r="M154" s="58" t="s">
        <v>129</v>
      </c>
      <c r="N154" s="79" t="s">
        <v>708</v>
      </c>
      <c r="O154" s="63">
        <v>30000</v>
      </c>
      <c r="P154" s="63">
        <v>10</v>
      </c>
      <c r="Q154" s="63">
        <v>3</v>
      </c>
      <c r="R154" s="63">
        <f t="shared" si="12"/>
        <v>900000</v>
      </c>
      <c r="S154" s="63"/>
      <c r="T154" s="165">
        <v>0</v>
      </c>
      <c r="U154" s="61"/>
      <c r="V154" s="60">
        <f t="shared" si="11"/>
        <v>0</v>
      </c>
      <c r="X154" s="6"/>
    </row>
    <row r="155" spans="1:24" s="5" customFormat="1" ht="17.25" customHeight="1">
      <c r="A155" s="59" t="s">
        <v>257</v>
      </c>
      <c r="B155" s="58" t="s">
        <v>715</v>
      </c>
      <c r="C155" s="65" t="s">
        <v>714</v>
      </c>
      <c r="D155" s="58" t="str">
        <f>VLOOKUP(C155,코드!$E$3:$F$30,2,FALSE)</f>
        <v>8647</v>
      </c>
      <c r="E155" s="65" t="s">
        <v>713</v>
      </c>
      <c r="F155" s="65" t="s">
        <v>712</v>
      </c>
      <c r="G155" s="66" t="s">
        <v>729</v>
      </c>
      <c r="H155" s="65" t="s">
        <v>745</v>
      </c>
      <c r="I155" s="65" t="s">
        <v>709</v>
      </c>
      <c r="J155" s="58" t="s">
        <v>130</v>
      </c>
      <c r="K155" s="58" t="s">
        <v>17</v>
      </c>
      <c r="L155" s="58">
        <f>VLOOKUP(K155,코드!$B$3:$C$29,2,FALSE)</f>
        <v>4241130</v>
      </c>
      <c r="M155" s="58" t="s">
        <v>129</v>
      </c>
      <c r="N155" s="79" t="s">
        <v>708</v>
      </c>
      <c r="O155" s="63">
        <v>100000</v>
      </c>
      <c r="P155" s="63">
        <v>1</v>
      </c>
      <c r="Q155" s="63">
        <v>1</v>
      </c>
      <c r="R155" s="63">
        <f t="shared" si="12"/>
        <v>100000</v>
      </c>
      <c r="S155" s="63"/>
      <c r="T155" s="165">
        <v>0</v>
      </c>
      <c r="U155" s="61"/>
      <c r="V155" s="60">
        <f t="shared" si="11"/>
        <v>0</v>
      </c>
      <c r="X155" s="6"/>
    </row>
    <row r="156" spans="1:24" s="5" customFormat="1" ht="17.25" customHeight="1">
      <c r="A156" s="59" t="s">
        <v>257</v>
      </c>
      <c r="B156" s="58" t="s">
        <v>715</v>
      </c>
      <c r="C156" s="65" t="s">
        <v>714</v>
      </c>
      <c r="D156" s="58" t="str">
        <f>VLOOKUP(C156,코드!$E$3:$F$30,2,FALSE)</f>
        <v>8647</v>
      </c>
      <c r="E156" s="65" t="s">
        <v>713</v>
      </c>
      <c r="F156" s="65" t="s">
        <v>712</v>
      </c>
      <c r="G156" s="66" t="s">
        <v>729</v>
      </c>
      <c r="H156" s="65" t="s">
        <v>743</v>
      </c>
      <c r="I156" s="65" t="s">
        <v>744</v>
      </c>
      <c r="J156" s="58" t="s">
        <v>130</v>
      </c>
      <c r="K156" s="58" t="s">
        <v>17</v>
      </c>
      <c r="L156" s="58">
        <f>VLOOKUP(K156,코드!$B$3:$C$29,2,FALSE)</f>
        <v>4241130</v>
      </c>
      <c r="M156" s="58" t="s">
        <v>120</v>
      </c>
      <c r="N156" s="79" t="s">
        <v>708</v>
      </c>
      <c r="O156" s="63">
        <v>30000</v>
      </c>
      <c r="P156" s="63">
        <v>12</v>
      </c>
      <c r="Q156" s="63">
        <v>1</v>
      </c>
      <c r="R156" s="63">
        <f t="shared" si="12"/>
        <v>360000</v>
      </c>
      <c r="S156" s="63"/>
      <c r="T156" s="165">
        <v>0</v>
      </c>
      <c r="U156" s="61"/>
      <c r="V156" s="60">
        <f t="shared" si="11"/>
        <v>0</v>
      </c>
      <c r="X156" s="6"/>
    </row>
    <row r="157" spans="1:24" s="5" customFormat="1" ht="17.25" customHeight="1">
      <c r="A157" s="59" t="s">
        <v>257</v>
      </c>
      <c r="B157" s="58" t="s">
        <v>715</v>
      </c>
      <c r="C157" s="65" t="s">
        <v>714</v>
      </c>
      <c r="D157" s="58" t="str">
        <f>VLOOKUP(C157,코드!$E$3:$F$30,2,FALSE)</f>
        <v>8647</v>
      </c>
      <c r="E157" s="65" t="s">
        <v>713</v>
      </c>
      <c r="F157" s="65" t="s">
        <v>712</v>
      </c>
      <c r="G157" s="66" t="s">
        <v>729</v>
      </c>
      <c r="H157" s="65" t="s">
        <v>743</v>
      </c>
      <c r="I157" s="65" t="s">
        <v>742</v>
      </c>
      <c r="J157" s="58" t="s">
        <v>130</v>
      </c>
      <c r="K157" s="58" t="s">
        <v>17</v>
      </c>
      <c r="L157" s="58">
        <f>VLOOKUP(K157,코드!$B$3:$C$29,2,FALSE)</f>
        <v>4241130</v>
      </c>
      <c r="M157" s="58" t="s">
        <v>129</v>
      </c>
      <c r="N157" s="79" t="s">
        <v>708</v>
      </c>
      <c r="O157" s="63">
        <v>30000</v>
      </c>
      <c r="P157" s="63">
        <v>7</v>
      </c>
      <c r="Q157" s="63">
        <v>2</v>
      </c>
      <c r="R157" s="63">
        <f t="shared" si="12"/>
        <v>420000</v>
      </c>
      <c r="S157" s="63"/>
      <c r="T157" s="165">
        <v>0</v>
      </c>
      <c r="U157" s="61"/>
      <c r="V157" s="60">
        <f t="shared" si="11"/>
        <v>0</v>
      </c>
      <c r="X157" s="6"/>
    </row>
    <row r="158" spans="1:24" s="5" customFormat="1" ht="17.25" customHeight="1">
      <c r="A158" s="59" t="s">
        <v>257</v>
      </c>
      <c r="B158" s="58" t="s">
        <v>715</v>
      </c>
      <c r="C158" s="65" t="s">
        <v>714</v>
      </c>
      <c r="D158" s="58" t="str">
        <f>VLOOKUP(C158,코드!$E$3:$F$30,2,FALSE)</f>
        <v>8647</v>
      </c>
      <c r="E158" s="65" t="s">
        <v>713</v>
      </c>
      <c r="F158" s="65" t="s">
        <v>712</v>
      </c>
      <c r="G158" s="66" t="s">
        <v>729</v>
      </c>
      <c r="H158" s="65" t="s">
        <v>740</v>
      </c>
      <c r="I158" s="65" t="s">
        <v>741</v>
      </c>
      <c r="J158" s="58" t="s">
        <v>130</v>
      </c>
      <c r="K158" s="58" t="s">
        <v>17</v>
      </c>
      <c r="L158" s="58">
        <f>VLOOKUP(K158,코드!$B$3:$C$29,2,FALSE)</f>
        <v>4241130</v>
      </c>
      <c r="M158" s="58" t="s">
        <v>120</v>
      </c>
      <c r="N158" s="79" t="s">
        <v>708</v>
      </c>
      <c r="O158" s="63">
        <v>15000</v>
      </c>
      <c r="P158" s="63">
        <v>25</v>
      </c>
      <c r="Q158" s="63">
        <v>1</v>
      </c>
      <c r="R158" s="63">
        <f t="shared" si="12"/>
        <v>375000</v>
      </c>
      <c r="S158" s="63"/>
      <c r="T158" s="165">
        <v>375000</v>
      </c>
      <c r="U158" s="61" t="s">
        <v>127</v>
      </c>
      <c r="V158" s="60">
        <f t="shared" si="11"/>
        <v>1</v>
      </c>
      <c r="X158" s="6"/>
    </row>
    <row r="159" spans="1:24" s="5" customFormat="1" ht="17.25" customHeight="1">
      <c r="A159" s="59" t="s">
        <v>257</v>
      </c>
      <c r="B159" s="58" t="s">
        <v>715</v>
      </c>
      <c r="C159" s="65" t="s">
        <v>714</v>
      </c>
      <c r="D159" s="58" t="str">
        <f>VLOOKUP(C159,코드!$E$3:$F$30,2,FALSE)</f>
        <v>8647</v>
      </c>
      <c r="E159" s="65" t="s">
        <v>713</v>
      </c>
      <c r="F159" s="65" t="s">
        <v>712</v>
      </c>
      <c r="G159" s="66" t="s">
        <v>729</v>
      </c>
      <c r="H159" s="65" t="s">
        <v>740</v>
      </c>
      <c r="I159" s="65" t="s">
        <v>709</v>
      </c>
      <c r="J159" s="58" t="s">
        <v>130</v>
      </c>
      <c r="K159" s="58" t="s">
        <v>17</v>
      </c>
      <c r="L159" s="58">
        <f>VLOOKUP(K159,코드!$B$3:$C$29,2,FALSE)</f>
        <v>4241130</v>
      </c>
      <c r="M159" s="58" t="s">
        <v>129</v>
      </c>
      <c r="N159" s="79" t="s">
        <v>708</v>
      </c>
      <c r="O159" s="63">
        <v>270000</v>
      </c>
      <c r="P159" s="63">
        <v>1</v>
      </c>
      <c r="Q159" s="63">
        <v>1</v>
      </c>
      <c r="R159" s="63">
        <f t="shared" si="12"/>
        <v>270000</v>
      </c>
      <c r="S159" s="63"/>
      <c r="T159" s="165">
        <v>270000</v>
      </c>
      <c r="U159" s="61" t="s">
        <v>127</v>
      </c>
      <c r="V159" s="60">
        <f t="shared" si="11"/>
        <v>1</v>
      </c>
      <c r="X159" s="6"/>
    </row>
    <row r="160" spans="1:24" s="5" customFormat="1" ht="17.25" customHeight="1">
      <c r="A160" s="59" t="s">
        <v>257</v>
      </c>
      <c r="B160" s="58" t="s">
        <v>715</v>
      </c>
      <c r="C160" s="65" t="s">
        <v>714</v>
      </c>
      <c r="D160" s="58" t="str">
        <f>VLOOKUP(C160,코드!$E$3:$F$30,2,FALSE)</f>
        <v>8647</v>
      </c>
      <c r="E160" s="65" t="s">
        <v>713</v>
      </c>
      <c r="F160" s="65" t="s">
        <v>712</v>
      </c>
      <c r="G160" s="66" t="s">
        <v>729</v>
      </c>
      <c r="H160" s="65" t="s">
        <v>738</v>
      </c>
      <c r="I160" s="65" t="s">
        <v>739</v>
      </c>
      <c r="J160" s="58" t="s">
        <v>130</v>
      </c>
      <c r="K160" s="58" t="s">
        <v>17</v>
      </c>
      <c r="L160" s="58">
        <f>VLOOKUP(K160,코드!$B$3:$C$29,2,FALSE)</f>
        <v>4241130</v>
      </c>
      <c r="M160" s="58" t="s">
        <v>120</v>
      </c>
      <c r="N160" s="79" t="s">
        <v>708</v>
      </c>
      <c r="O160" s="63">
        <v>15000</v>
      </c>
      <c r="P160" s="63">
        <v>25</v>
      </c>
      <c r="Q160" s="63">
        <v>1</v>
      </c>
      <c r="R160" s="63">
        <f t="shared" si="12"/>
        <v>375000</v>
      </c>
      <c r="S160" s="63"/>
      <c r="T160" s="165">
        <v>375000</v>
      </c>
      <c r="U160" s="61" t="s">
        <v>127</v>
      </c>
      <c r="V160" s="60">
        <f t="shared" si="11"/>
        <v>1</v>
      </c>
      <c r="X160" s="6"/>
    </row>
    <row r="161" spans="1:24" s="5" customFormat="1" ht="17.25" customHeight="1">
      <c r="A161" s="59" t="s">
        <v>257</v>
      </c>
      <c r="B161" s="58" t="s">
        <v>715</v>
      </c>
      <c r="C161" s="65" t="s">
        <v>714</v>
      </c>
      <c r="D161" s="58" t="str">
        <f>VLOOKUP(C161,코드!$E$3:$F$30,2,FALSE)</f>
        <v>8647</v>
      </c>
      <c r="E161" s="65" t="s">
        <v>713</v>
      </c>
      <c r="F161" s="65" t="s">
        <v>712</v>
      </c>
      <c r="G161" s="66" t="s">
        <v>729</v>
      </c>
      <c r="H161" s="65" t="s">
        <v>738</v>
      </c>
      <c r="I161" s="65" t="s">
        <v>709</v>
      </c>
      <c r="J161" s="58" t="s">
        <v>130</v>
      </c>
      <c r="K161" s="58" t="s">
        <v>17</v>
      </c>
      <c r="L161" s="58">
        <f>VLOOKUP(K161,코드!$B$3:$C$29,2,FALSE)</f>
        <v>4241130</v>
      </c>
      <c r="M161" s="58" t="s">
        <v>129</v>
      </c>
      <c r="N161" s="79" t="s">
        <v>708</v>
      </c>
      <c r="O161" s="63">
        <v>270000</v>
      </c>
      <c r="P161" s="63">
        <v>1</v>
      </c>
      <c r="Q161" s="63">
        <v>1</v>
      </c>
      <c r="R161" s="63">
        <f t="shared" si="12"/>
        <v>270000</v>
      </c>
      <c r="S161" s="63"/>
      <c r="T161" s="165">
        <v>270000</v>
      </c>
      <c r="U161" s="61" t="s">
        <v>127</v>
      </c>
      <c r="V161" s="60">
        <f t="shared" si="11"/>
        <v>1</v>
      </c>
      <c r="X161" s="6"/>
    </row>
    <row r="162" spans="1:24" s="5" customFormat="1" ht="17.25" customHeight="1">
      <c r="A162" s="59" t="s">
        <v>257</v>
      </c>
      <c r="B162" s="58" t="s">
        <v>715</v>
      </c>
      <c r="C162" s="65" t="s">
        <v>714</v>
      </c>
      <c r="D162" s="58" t="str">
        <f>VLOOKUP(C162,코드!$E$3:$F$30,2,FALSE)</f>
        <v>8647</v>
      </c>
      <c r="E162" s="65" t="s">
        <v>713</v>
      </c>
      <c r="F162" s="65" t="s">
        <v>712</v>
      </c>
      <c r="G162" s="66" t="s">
        <v>729</v>
      </c>
      <c r="H162" s="65" t="s">
        <v>734</v>
      </c>
      <c r="I162" s="65" t="s">
        <v>737</v>
      </c>
      <c r="J162" s="58" t="s">
        <v>130</v>
      </c>
      <c r="K162" s="58" t="s">
        <v>17</v>
      </c>
      <c r="L162" s="58">
        <f>VLOOKUP(K162,코드!$B$3:$C$29,2,FALSE)</f>
        <v>4241130</v>
      </c>
      <c r="M162" s="58" t="s">
        <v>107</v>
      </c>
      <c r="N162" s="79" t="s">
        <v>708</v>
      </c>
      <c r="O162" s="63">
        <v>450000</v>
      </c>
      <c r="P162" s="63">
        <v>1</v>
      </c>
      <c r="Q162" s="63">
        <v>2</v>
      </c>
      <c r="R162" s="63">
        <f t="shared" si="12"/>
        <v>900000</v>
      </c>
      <c r="S162" s="63"/>
      <c r="T162" s="165">
        <v>900000</v>
      </c>
      <c r="U162" s="61" t="s">
        <v>316</v>
      </c>
      <c r="V162" s="60">
        <f t="shared" si="11"/>
        <v>1</v>
      </c>
      <c r="X162" s="6"/>
    </row>
    <row r="163" spans="1:24" s="5" customFormat="1" ht="17.25" customHeight="1">
      <c r="A163" s="59" t="s">
        <v>257</v>
      </c>
      <c r="B163" s="58" t="s">
        <v>715</v>
      </c>
      <c r="C163" s="65" t="s">
        <v>714</v>
      </c>
      <c r="D163" s="58" t="str">
        <f>VLOOKUP(C163,코드!$E$3:$F$30,2,FALSE)</f>
        <v>8647</v>
      </c>
      <c r="E163" s="65" t="s">
        <v>713</v>
      </c>
      <c r="F163" s="65" t="s">
        <v>712</v>
      </c>
      <c r="G163" s="66" t="s">
        <v>729</v>
      </c>
      <c r="H163" s="65" t="s">
        <v>734</v>
      </c>
      <c r="I163" s="65" t="s">
        <v>725</v>
      </c>
      <c r="J163" s="58" t="s">
        <v>130</v>
      </c>
      <c r="K163" s="58" t="s">
        <v>17</v>
      </c>
      <c r="L163" s="58">
        <f>VLOOKUP(K163,코드!$B$3:$C$29,2,FALSE)</f>
        <v>4241130</v>
      </c>
      <c r="M163" s="58" t="s">
        <v>217</v>
      </c>
      <c r="N163" s="79" t="s">
        <v>708</v>
      </c>
      <c r="O163" s="63">
        <v>40000</v>
      </c>
      <c r="P163" s="63">
        <v>12</v>
      </c>
      <c r="Q163" s="63">
        <v>2</v>
      </c>
      <c r="R163" s="63">
        <f t="shared" si="12"/>
        <v>960000</v>
      </c>
      <c r="S163" s="63"/>
      <c r="T163" s="165">
        <v>960000</v>
      </c>
      <c r="U163" s="61" t="s">
        <v>316</v>
      </c>
      <c r="V163" s="60">
        <f t="shared" si="11"/>
        <v>1</v>
      </c>
      <c r="X163" s="6"/>
    </row>
    <row r="164" spans="1:24" s="5" customFormat="1" ht="17.25" customHeight="1">
      <c r="A164" s="59" t="s">
        <v>257</v>
      </c>
      <c r="B164" s="58" t="s">
        <v>715</v>
      </c>
      <c r="C164" s="65" t="s">
        <v>714</v>
      </c>
      <c r="D164" s="58" t="str">
        <f>VLOOKUP(C164,코드!$E$3:$F$30,2,FALSE)</f>
        <v>8647</v>
      </c>
      <c r="E164" s="65" t="s">
        <v>713</v>
      </c>
      <c r="F164" s="65" t="s">
        <v>712</v>
      </c>
      <c r="G164" s="66" t="s">
        <v>729</v>
      </c>
      <c r="H164" s="65" t="s">
        <v>734</v>
      </c>
      <c r="I164" s="65" t="s">
        <v>723</v>
      </c>
      <c r="J164" s="58" t="s">
        <v>130</v>
      </c>
      <c r="K164" s="58" t="s">
        <v>17</v>
      </c>
      <c r="L164" s="58">
        <f>VLOOKUP(K164,코드!$B$3:$C$29,2,FALSE)</f>
        <v>4241130</v>
      </c>
      <c r="M164" s="58" t="s">
        <v>129</v>
      </c>
      <c r="N164" s="79" t="s">
        <v>708</v>
      </c>
      <c r="O164" s="63">
        <v>30000</v>
      </c>
      <c r="P164" s="63">
        <v>7</v>
      </c>
      <c r="Q164" s="63">
        <v>2</v>
      </c>
      <c r="R164" s="63">
        <f t="shared" si="12"/>
        <v>420000</v>
      </c>
      <c r="S164" s="63"/>
      <c r="T164" s="165">
        <v>420000</v>
      </c>
      <c r="U164" s="61" t="s">
        <v>316</v>
      </c>
      <c r="V164" s="60">
        <f t="shared" si="11"/>
        <v>1</v>
      </c>
      <c r="X164" s="6"/>
    </row>
    <row r="165" spans="1:24" s="5" customFormat="1" ht="17.25" customHeight="1">
      <c r="A165" s="59" t="s">
        <v>257</v>
      </c>
      <c r="B165" s="58" t="s">
        <v>715</v>
      </c>
      <c r="C165" s="65" t="s">
        <v>714</v>
      </c>
      <c r="D165" s="58" t="str">
        <f>VLOOKUP(C165,코드!$E$3:$F$30,2,FALSE)</f>
        <v>8647</v>
      </c>
      <c r="E165" s="65" t="s">
        <v>713</v>
      </c>
      <c r="F165" s="65" t="s">
        <v>712</v>
      </c>
      <c r="G165" s="66" t="s">
        <v>729</v>
      </c>
      <c r="H165" s="65" t="s">
        <v>734</v>
      </c>
      <c r="I165" s="65" t="s">
        <v>709</v>
      </c>
      <c r="J165" s="58" t="s">
        <v>130</v>
      </c>
      <c r="K165" s="58" t="s">
        <v>17</v>
      </c>
      <c r="L165" s="58">
        <f>VLOOKUP(K165,코드!$B$3:$C$29,2,FALSE)</f>
        <v>4241130</v>
      </c>
      <c r="M165" s="58" t="s">
        <v>129</v>
      </c>
      <c r="N165" s="79" t="s">
        <v>708</v>
      </c>
      <c r="O165" s="63">
        <v>450000</v>
      </c>
      <c r="P165" s="63">
        <v>1</v>
      </c>
      <c r="Q165" s="63">
        <v>2</v>
      </c>
      <c r="R165" s="63">
        <f t="shared" si="12"/>
        <v>900000</v>
      </c>
      <c r="S165" s="63"/>
      <c r="T165" s="165">
        <v>900000</v>
      </c>
      <c r="U165" s="61" t="s">
        <v>316</v>
      </c>
      <c r="V165" s="60">
        <f t="shared" si="11"/>
        <v>1</v>
      </c>
      <c r="X165" s="6"/>
    </row>
    <row r="166" spans="1:24" s="5" customFormat="1" ht="17.25" customHeight="1">
      <c r="A166" s="59" t="s">
        <v>257</v>
      </c>
      <c r="B166" s="58" t="s">
        <v>715</v>
      </c>
      <c r="C166" s="65" t="s">
        <v>714</v>
      </c>
      <c r="D166" s="58" t="str">
        <f>VLOOKUP(C166,코드!$E$3:$F$30,2,FALSE)</f>
        <v>8647</v>
      </c>
      <c r="E166" s="65" t="s">
        <v>713</v>
      </c>
      <c r="F166" s="65" t="s">
        <v>712</v>
      </c>
      <c r="G166" s="66" t="s">
        <v>729</v>
      </c>
      <c r="H166" s="65" t="s">
        <v>734</v>
      </c>
      <c r="I166" s="65" t="s">
        <v>736</v>
      </c>
      <c r="J166" s="58" t="s">
        <v>130</v>
      </c>
      <c r="K166" s="58" t="s">
        <v>17</v>
      </c>
      <c r="L166" s="58">
        <f>VLOOKUP(K166,코드!$B$3:$C$29,2,FALSE)</f>
        <v>4241130</v>
      </c>
      <c r="M166" s="58" t="s">
        <v>129</v>
      </c>
      <c r="N166" s="79" t="s">
        <v>708</v>
      </c>
      <c r="O166" s="63">
        <v>300000</v>
      </c>
      <c r="P166" s="63">
        <v>1</v>
      </c>
      <c r="Q166" s="63">
        <v>2</v>
      </c>
      <c r="R166" s="63">
        <f t="shared" si="12"/>
        <v>600000</v>
      </c>
      <c r="S166" s="63"/>
      <c r="T166" s="165">
        <v>600000</v>
      </c>
      <c r="U166" s="61" t="s">
        <v>316</v>
      </c>
      <c r="V166" s="60">
        <f t="shared" si="11"/>
        <v>1</v>
      </c>
      <c r="X166" s="6"/>
    </row>
    <row r="167" spans="1:24" s="5" customFormat="1" ht="17.25" customHeight="1">
      <c r="A167" s="59" t="s">
        <v>257</v>
      </c>
      <c r="B167" s="58" t="s">
        <v>715</v>
      </c>
      <c r="C167" s="65" t="s">
        <v>714</v>
      </c>
      <c r="D167" s="58" t="str">
        <f>VLOOKUP(C167,코드!$E$3:$F$30,2,FALSE)</f>
        <v>8647</v>
      </c>
      <c r="E167" s="65" t="s">
        <v>713</v>
      </c>
      <c r="F167" s="65" t="s">
        <v>712</v>
      </c>
      <c r="G167" s="66" t="s">
        <v>729</v>
      </c>
      <c r="H167" s="65" t="s">
        <v>734</v>
      </c>
      <c r="I167" s="65" t="s">
        <v>735</v>
      </c>
      <c r="J167" s="58" t="s">
        <v>130</v>
      </c>
      <c r="K167" s="58" t="s">
        <v>17</v>
      </c>
      <c r="L167" s="58">
        <f>VLOOKUP(K167,코드!$B$3:$C$29,2,FALSE)</f>
        <v>4241130</v>
      </c>
      <c r="M167" s="58" t="s">
        <v>120</v>
      </c>
      <c r="N167" s="79" t="s">
        <v>708</v>
      </c>
      <c r="O167" s="63">
        <v>15000</v>
      </c>
      <c r="P167" s="63">
        <v>13</v>
      </c>
      <c r="Q167" s="63">
        <v>2</v>
      </c>
      <c r="R167" s="63">
        <f t="shared" si="12"/>
        <v>390000</v>
      </c>
      <c r="S167" s="63"/>
      <c r="T167" s="165">
        <v>390000</v>
      </c>
      <c r="U167" s="61" t="s">
        <v>316</v>
      </c>
      <c r="V167" s="60">
        <f t="shared" si="11"/>
        <v>1</v>
      </c>
      <c r="X167" s="6"/>
    </row>
    <row r="168" spans="1:24" s="5" customFormat="1" ht="17.25" customHeight="1">
      <c r="A168" s="59" t="s">
        <v>257</v>
      </c>
      <c r="B168" s="58" t="s">
        <v>715</v>
      </c>
      <c r="C168" s="65" t="s">
        <v>714</v>
      </c>
      <c r="D168" s="58" t="str">
        <f>VLOOKUP(C168,코드!$E$3:$F$30,2,FALSE)</f>
        <v>8647</v>
      </c>
      <c r="E168" s="65" t="s">
        <v>713</v>
      </c>
      <c r="F168" s="65" t="s">
        <v>712</v>
      </c>
      <c r="G168" s="66" t="s">
        <v>729</v>
      </c>
      <c r="H168" s="65" t="s">
        <v>734</v>
      </c>
      <c r="I168" s="65" t="s">
        <v>733</v>
      </c>
      <c r="J168" s="58" t="s">
        <v>130</v>
      </c>
      <c r="K168" s="58" t="s">
        <v>17</v>
      </c>
      <c r="L168" s="58">
        <f>VLOOKUP(K168,코드!$B$3:$C$29,2,FALSE)</f>
        <v>4241130</v>
      </c>
      <c r="M168" s="58" t="s">
        <v>129</v>
      </c>
      <c r="N168" s="79" t="s">
        <v>708</v>
      </c>
      <c r="O168" s="63">
        <v>62400</v>
      </c>
      <c r="P168" s="63">
        <v>3</v>
      </c>
      <c r="Q168" s="63">
        <v>2</v>
      </c>
      <c r="R168" s="63">
        <f t="shared" si="12"/>
        <v>374400</v>
      </c>
      <c r="S168" s="63"/>
      <c r="T168" s="165">
        <v>374400</v>
      </c>
      <c r="U168" s="61" t="s">
        <v>316</v>
      </c>
      <c r="V168" s="60">
        <f t="shared" si="11"/>
        <v>1</v>
      </c>
      <c r="X168" s="6"/>
    </row>
    <row r="169" spans="1:24" s="5" customFormat="1" ht="17.25" customHeight="1">
      <c r="A169" s="59" t="s">
        <v>257</v>
      </c>
      <c r="B169" s="58" t="s">
        <v>715</v>
      </c>
      <c r="C169" s="65" t="s">
        <v>714</v>
      </c>
      <c r="D169" s="58" t="str">
        <f>VLOOKUP(C169,코드!$E$3:$F$30,2,FALSE)</f>
        <v>8647</v>
      </c>
      <c r="E169" s="65" t="s">
        <v>713</v>
      </c>
      <c r="F169" s="65" t="s">
        <v>712</v>
      </c>
      <c r="G169" s="66" t="s">
        <v>729</v>
      </c>
      <c r="H169" s="65" t="s">
        <v>728</v>
      </c>
      <c r="I169" s="65" t="s">
        <v>732</v>
      </c>
      <c r="J169" s="58" t="s">
        <v>130</v>
      </c>
      <c r="K169" s="58" t="s">
        <v>17</v>
      </c>
      <c r="L169" s="58">
        <f>VLOOKUP(K169,코드!$B$3:$C$29,2,FALSE)</f>
        <v>4241130</v>
      </c>
      <c r="M169" s="58" t="s">
        <v>129</v>
      </c>
      <c r="N169" s="79" t="s">
        <v>708</v>
      </c>
      <c r="O169" s="63">
        <v>8800</v>
      </c>
      <c r="P169" s="63">
        <v>60</v>
      </c>
      <c r="Q169" s="63">
        <v>1</v>
      </c>
      <c r="R169" s="63">
        <f t="shared" si="12"/>
        <v>528000</v>
      </c>
      <c r="S169" s="63"/>
      <c r="T169" s="165">
        <v>528000</v>
      </c>
      <c r="U169" s="61"/>
      <c r="V169" s="60">
        <f t="shared" si="11"/>
        <v>1</v>
      </c>
      <c r="X169" s="6"/>
    </row>
    <row r="170" spans="1:24" s="5" customFormat="1" ht="17.25" customHeight="1">
      <c r="A170" s="59" t="s">
        <v>257</v>
      </c>
      <c r="B170" s="58" t="s">
        <v>715</v>
      </c>
      <c r="C170" s="65" t="s">
        <v>714</v>
      </c>
      <c r="D170" s="58" t="str">
        <f>VLOOKUP(C170,코드!$E$3:$F$30,2,FALSE)</f>
        <v>8647</v>
      </c>
      <c r="E170" s="65" t="s">
        <v>713</v>
      </c>
      <c r="F170" s="65" t="s">
        <v>712</v>
      </c>
      <c r="G170" s="66" t="s">
        <v>729</v>
      </c>
      <c r="H170" s="65" t="s">
        <v>728</v>
      </c>
      <c r="I170" s="65" t="s">
        <v>731</v>
      </c>
      <c r="J170" s="58" t="s">
        <v>130</v>
      </c>
      <c r="K170" s="58" t="s">
        <v>17</v>
      </c>
      <c r="L170" s="58">
        <f>VLOOKUP(K170,코드!$B$3:$C$29,2,FALSE)</f>
        <v>4241130</v>
      </c>
      <c r="M170" s="58" t="s">
        <v>107</v>
      </c>
      <c r="N170" s="79" t="s">
        <v>708</v>
      </c>
      <c r="O170" s="63">
        <v>150000</v>
      </c>
      <c r="P170" s="63">
        <v>3</v>
      </c>
      <c r="Q170" s="63">
        <v>10</v>
      </c>
      <c r="R170" s="63">
        <f t="shared" si="12"/>
        <v>4500000</v>
      </c>
      <c r="S170" s="63"/>
      <c r="T170" s="165">
        <v>4500000</v>
      </c>
      <c r="U170" s="61" t="s">
        <v>316</v>
      </c>
      <c r="V170" s="60">
        <f t="shared" si="11"/>
        <v>1</v>
      </c>
      <c r="X170" s="6"/>
    </row>
    <row r="171" spans="1:24" s="5" customFormat="1" ht="17.25" customHeight="1">
      <c r="A171" s="59" t="s">
        <v>257</v>
      </c>
      <c r="B171" s="58" t="s">
        <v>715</v>
      </c>
      <c r="C171" s="65" t="s">
        <v>714</v>
      </c>
      <c r="D171" s="58" t="str">
        <f>VLOOKUP(C171,코드!$E$3:$F$30,2,FALSE)</f>
        <v>8647</v>
      </c>
      <c r="E171" s="65" t="s">
        <v>713</v>
      </c>
      <c r="F171" s="65" t="s">
        <v>712</v>
      </c>
      <c r="G171" s="66" t="s">
        <v>729</v>
      </c>
      <c r="H171" s="65" t="s">
        <v>728</v>
      </c>
      <c r="I171" s="65" t="s">
        <v>730</v>
      </c>
      <c r="J171" s="58" t="s">
        <v>130</v>
      </c>
      <c r="K171" s="58" t="s">
        <v>17</v>
      </c>
      <c r="L171" s="58">
        <f>VLOOKUP(K171,코드!$B$3:$C$29,2,FALSE)</f>
        <v>4241130</v>
      </c>
      <c r="M171" s="58" t="s">
        <v>120</v>
      </c>
      <c r="N171" s="79" t="s">
        <v>708</v>
      </c>
      <c r="O171" s="63">
        <v>5000</v>
      </c>
      <c r="P171" s="63">
        <v>30</v>
      </c>
      <c r="Q171" s="63">
        <v>2</v>
      </c>
      <c r="R171" s="63">
        <f t="shared" si="12"/>
        <v>300000</v>
      </c>
      <c r="S171" s="63"/>
      <c r="T171" s="165">
        <v>300000</v>
      </c>
      <c r="U171" s="61" t="s">
        <v>316</v>
      </c>
      <c r="V171" s="60">
        <f t="shared" si="11"/>
        <v>1</v>
      </c>
      <c r="X171" s="6"/>
    </row>
    <row r="172" spans="1:24" s="5" customFormat="1" ht="17.25" customHeight="1">
      <c r="A172" s="59" t="s">
        <v>257</v>
      </c>
      <c r="B172" s="58" t="s">
        <v>715</v>
      </c>
      <c r="C172" s="65" t="s">
        <v>714</v>
      </c>
      <c r="D172" s="58" t="str">
        <f>VLOOKUP(C172,코드!$E$3:$F$30,2,FALSE)</f>
        <v>8647</v>
      </c>
      <c r="E172" s="65" t="s">
        <v>713</v>
      </c>
      <c r="F172" s="65" t="s">
        <v>712</v>
      </c>
      <c r="G172" s="66" t="s">
        <v>729</v>
      </c>
      <c r="H172" s="65" t="s">
        <v>728</v>
      </c>
      <c r="I172" s="65" t="s">
        <v>709</v>
      </c>
      <c r="J172" s="58" t="s">
        <v>130</v>
      </c>
      <c r="K172" s="58" t="s">
        <v>17</v>
      </c>
      <c r="L172" s="58">
        <f>VLOOKUP(K172,코드!$B$3:$C$29,2,FALSE)</f>
        <v>4241130</v>
      </c>
      <c r="M172" s="58" t="s">
        <v>129</v>
      </c>
      <c r="N172" s="79" t="s">
        <v>708</v>
      </c>
      <c r="O172" s="63">
        <v>270000</v>
      </c>
      <c r="P172" s="63">
        <v>1</v>
      </c>
      <c r="Q172" s="63">
        <v>2</v>
      </c>
      <c r="R172" s="63">
        <f t="shared" si="12"/>
        <v>540000</v>
      </c>
      <c r="S172" s="63"/>
      <c r="T172" s="165">
        <v>540000</v>
      </c>
      <c r="U172" s="61" t="s">
        <v>316</v>
      </c>
      <c r="V172" s="60">
        <f t="shared" si="11"/>
        <v>1</v>
      </c>
      <c r="X172" s="6"/>
    </row>
    <row r="173" spans="1:24" s="5" customFormat="1" ht="17.25" customHeight="1">
      <c r="A173" s="59" t="s">
        <v>257</v>
      </c>
      <c r="B173" s="58" t="s">
        <v>715</v>
      </c>
      <c r="C173" s="65" t="s">
        <v>714</v>
      </c>
      <c r="D173" s="58" t="str">
        <f>VLOOKUP(C173,코드!$E$3:$F$30,2,FALSE)</f>
        <v>8647</v>
      </c>
      <c r="E173" s="65" t="s">
        <v>713</v>
      </c>
      <c r="F173" s="65" t="s">
        <v>712</v>
      </c>
      <c r="G173" s="66" t="s">
        <v>729</v>
      </c>
      <c r="H173" s="65" t="s">
        <v>728</v>
      </c>
      <c r="I173" s="65" t="s">
        <v>723</v>
      </c>
      <c r="J173" s="58" t="s">
        <v>130</v>
      </c>
      <c r="K173" s="58" t="s">
        <v>17</v>
      </c>
      <c r="L173" s="58">
        <f>VLOOKUP(K173,코드!$B$3:$C$29,2,FALSE)</f>
        <v>4241130</v>
      </c>
      <c r="M173" s="58" t="s">
        <v>129</v>
      </c>
      <c r="N173" s="79" t="s">
        <v>708</v>
      </c>
      <c r="O173" s="63">
        <v>30000</v>
      </c>
      <c r="P173" s="63">
        <v>7</v>
      </c>
      <c r="Q173" s="63">
        <v>2</v>
      </c>
      <c r="R173" s="63">
        <f t="shared" si="12"/>
        <v>420000</v>
      </c>
      <c r="S173" s="63"/>
      <c r="T173" s="165">
        <v>420000</v>
      </c>
      <c r="U173" s="61" t="s">
        <v>316</v>
      </c>
      <c r="V173" s="60">
        <f t="shared" si="11"/>
        <v>1</v>
      </c>
      <c r="X173" s="6"/>
    </row>
    <row r="174" spans="1:24" s="5" customFormat="1" ht="17.25" customHeight="1">
      <c r="A174" s="59" t="s">
        <v>257</v>
      </c>
      <c r="B174" s="58" t="s">
        <v>715</v>
      </c>
      <c r="C174" s="65" t="s">
        <v>714</v>
      </c>
      <c r="D174" s="58" t="str">
        <f>VLOOKUP(C174,코드!$E$3:$F$30,2,FALSE)</f>
        <v>8647</v>
      </c>
      <c r="E174" s="65" t="s">
        <v>713</v>
      </c>
      <c r="F174" s="65" t="s">
        <v>712</v>
      </c>
      <c r="G174" s="66" t="s">
        <v>711</v>
      </c>
      <c r="H174" s="65" t="s">
        <v>724</v>
      </c>
      <c r="I174" s="65" t="s">
        <v>727</v>
      </c>
      <c r="J174" s="58" t="s">
        <v>130</v>
      </c>
      <c r="K174" s="58" t="s">
        <v>17</v>
      </c>
      <c r="L174" s="58">
        <f>VLOOKUP(K174,코드!$B$3:$C$29,2,FALSE)</f>
        <v>4241130</v>
      </c>
      <c r="M174" s="58" t="s">
        <v>129</v>
      </c>
      <c r="N174" s="79" t="s">
        <v>708</v>
      </c>
      <c r="O174" s="63">
        <v>1000000</v>
      </c>
      <c r="P174" s="63">
        <v>1</v>
      </c>
      <c r="Q174" s="63">
        <v>1</v>
      </c>
      <c r="R174" s="63">
        <f t="shared" si="12"/>
        <v>1000000</v>
      </c>
      <c r="S174" s="63"/>
      <c r="T174" s="165">
        <v>0</v>
      </c>
      <c r="U174" s="61"/>
      <c r="V174" s="60">
        <f t="shared" si="11"/>
        <v>0</v>
      </c>
      <c r="X174" s="6"/>
    </row>
    <row r="175" spans="1:24" s="5" customFormat="1" ht="17.25" customHeight="1">
      <c r="A175" s="59" t="s">
        <v>257</v>
      </c>
      <c r="B175" s="58" t="s">
        <v>715</v>
      </c>
      <c r="C175" s="65" t="s">
        <v>714</v>
      </c>
      <c r="D175" s="58" t="str">
        <f>VLOOKUP(C175,코드!$E$3:$F$30,2,FALSE)</f>
        <v>8647</v>
      </c>
      <c r="E175" s="65" t="s">
        <v>713</v>
      </c>
      <c r="F175" s="65" t="s">
        <v>712</v>
      </c>
      <c r="G175" s="66" t="s">
        <v>711</v>
      </c>
      <c r="H175" s="65" t="s">
        <v>724</v>
      </c>
      <c r="I175" s="65" t="s">
        <v>726</v>
      </c>
      <c r="J175" s="58" t="s">
        <v>130</v>
      </c>
      <c r="K175" s="58" t="s">
        <v>17</v>
      </c>
      <c r="L175" s="58">
        <f>VLOOKUP(K175,코드!$B$3:$C$29,2,FALSE)</f>
        <v>4241130</v>
      </c>
      <c r="M175" s="58" t="s">
        <v>129</v>
      </c>
      <c r="N175" s="79" t="s">
        <v>708</v>
      </c>
      <c r="O175" s="63">
        <v>2000000</v>
      </c>
      <c r="P175" s="63">
        <v>1</v>
      </c>
      <c r="Q175" s="63">
        <v>1</v>
      </c>
      <c r="R175" s="63">
        <f t="shared" si="12"/>
        <v>2000000</v>
      </c>
      <c r="S175" s="63"/>
      <c r="T175" s="165">
        <v>0</v>
      </c>
      <c r="U175" s="61"/>
      <c r="V175" s="60">
        <f t="shared" si="11"/>
        <v>0</v>
      </c>
      <c r="X175" s="6"/>
    </row>
    <row r="176" spans="1:24" ht="17.25" customHeight="1">
      <c r="A176" s="59" t="s">
        <v>257</v>
      </c>
      <c r="B176" s="58" t="s">
        <v>715</v>
      </c>
      <c r="C176" s="65" t="s">
        <v>714</v>
      </c>
      <c r="D176" s="58" t="str">
        <f>VLOOKUP(C176,코드!$E$3:$F$30,2,FALSE)</f>
        <v>8647</v>
      </c>
      <c r="E176" s="65" t="s">
        <v>713</v>
      </c>
      <c r="F176" s="65" t="s">
        <v>712</v>
      </c>
      <c r="G176" s="66" t="s">
        <v>711</v>
      </c>
      <c r="H176" s="65" t="s">
        <v>724</v>
      </c>
      <c r="I176" s="65" t="s">
        <v>725</v>
      </c>
      <c r="J176" s="58" t="s">
        <v>130</v>
      </c>
      <c r="K176" s="58" t="s">
        <v>17</v>
      </c>
      <c r="L176" s="58">
        <f>VLOOKUP(K176,코드!$B$3:$C$29,2,FALSE)</f>
        <v>4241130</v>
      </c>
      <c r="M176" s="58" t="s">
        <v>217</v>
      </c>
      <c r="N176" s="79" t="s">
        <v>708</v>
      </c>
      <c r="O176" s="63">
        <v>40000</v>
      </c>
      <c r="P176" s="63">
        <v>40</v>
      </c>
      <c r="Q176" s="63">
        <v>1</v>
      </c>
      <c r="R176" s="63">
        <f t="shared" si="12"/>
        <v>1600000</v>
      </c>
      <c r="S176" s="63"/>
      <c r="T176" s="165">
        <v>0</v>
      </c>
      <c r="U176" s="61"/>
      <c r="V176" s="60">
        <f t="shared" ref="V176:V185" si="13">T176/R176</f>
        <v>0</v>
      </c>
    </row>
    <row r="177" spans="1:29" ht="17.25" customHeight="1">
      <c r="A177" s="59" t="s">
        <v>257</v>
      </c>
      <c r="B177" s="58" t="s">
        <v>715</v>
      </c>
      <c r="C177" s="65" t="s">
        <v>714</v>
      </c>
      <c r="D177" s="58" t="str">
        <f>VLOOKUP(C177,코드!$E$3:$F$30,2,FALSE)</f>
        <v>8647</v>
      </c>
      <c r="E177" s="65" t="s">
        <v>713</v>
      </c>
      <c r="F177" s="65" t="s">
        <v>712</v>
      </c>
      <c r="G177" s="66" t="s">
        <v>711</v>
      </c>
      <c r="H177" s="65" t="s">
        <v>724</v>
      </c>
      <c r="I177" s="65" t="s">
        <v>723</v>
      </c>
      <c r="J177" s="58" t="s">
        <v>130</v>
      </c>
      <c r="K177" s="58" t="s">
        <v>17</v>
      </c>
      <c r="L177" s="58">
        <f>VLOOKUP(K177,코드!$B$3:$C$29,2,FALSE)</f>
        <v>4241130</v>
      </c>
      <c r="M177" s="58" t="s">
        <v>129</v>
      </c>
      <c r="N177" s="79" t="s">
        <v>708</v>
      </c>
      <c r="O177" s="63">
        <v>30000</v>
      </c>
      <c r="P177" s="63">
        <v>7</v>
      </c>
      <c r="Q177" s="63">
        <v>2</v>
      </c>
      <c r="R177" s="63">
        <f t="shared" ref="R177" si="14">O177*P177*Q177</f>
        <v>420000</v>
      </c>
      <c r="S177" s="63"/>
      <c r="T177" s="165">
        <v>0</v>
      </c>
      <c r="U177" s="61"/>
      <c r="V177" s="60">
        <f t="shared" si="13"/>
        <v>0</v>
      </c>
    </row>
    <row r="178" spans="1:29" ht="17.25" customHeight="1">
      <c r="A178" s="59" t="s">
        <v>257</v>
      </c>
      <c r="B178" s="58" t="s">
        <v>715</v>
      </c>
      <c r="C178" s="65" t="s">
        <v>714</v>
      </c>
      <c r="D178" s="58" t="str">
        <f>VLOOKUP(C178,코드!$E$3:$F$30,2,FALSE)</f>
        <v>8647</v>
      </c>
      <c r="E178" s="65" t="s">
        <v>713</v>
      </c>
      <c r="F178" s="65" t="s">
        <v>712</v>
      </c>
      <c r="G178" s="66" t="s">
        <v>711</v>
      </c>
      <c r="H178" s="65" t="s">
        <v>720</v>
      </c>
      <c r="I178" s="65" t="s">
        <v>722</v>
      </c>
      <c r="J178" s="58" t="s">
        <v>130</v>
      </c>
      <c r="K178" s="58" t="s">
        <v>17</v>
      </c>
      <c r="L178" s="58">
        <f>VLOOKUP(K178,코드!$B$3:$C$29,2,FALSE)</f>
        <v>4241130</v>
      </c>
      <c r="M178" s="58" t="s">
        <v>107</v>
      </c>
      <c r="N178" s="79" t="s">
        <v>708</v>
      </c>
      <c r="O178" s="63">
        <v>30000</v>
      </c>
      <c r="P178" s="63">
        <v>7</v>
      </c>
      <c r="Q178" s="63">
        <v>2</v>
      </c>
      <c r="R178" s="63">
        <v>900000</v>
      </c>
      <c r="S178" s="63"/>
      <c r="T178" s="165">
        <v>0</v>
      </c>
      <c r="U178" s="61"/>
      <c r="V178" s="60">
        <f t="shared" si="13"/>
        <v>0</v>
      </c>
    </row>
    <row r="179" spans="1:29" ht="17.25" customHeight="1">
      <c r="A179" s="59" t="s">
        <v>257</v>
      </c>
      <c r="B179" s="58" t="s">
        <v>715</v>
      </c>
      <c r="C179" s="65" t="s">
        <v>714</v>
      </c>
      <c r="D179" s="58" t="str">
        <f>VLOOKUP(C179,코드!$E$3:$F$30,2,FALSE)</f>
        <v>8647</v>
      </c>
      <c r="E179" s="65" t="s">
        <v>713</v>
      </c>
      <c r="F179" s="65" t="s">
        <v>712</v>
      </c>
      <c r="G179" s="66" t="s">
        <v>711</v>
      </c>
      <c r="H179" s="65" t="s">
        <v>720</v>
      </c>
      <c r="I179" s="65" t="s">
        <v>721</v>
      </c>
      <c r="J179" s="58" t="s">
        <v>130</v>
      </c>
      <c r="K179" s="58" t="s">
        <v>17</v>
      </c>
      <c r="L179" s="58">
        <f>VLOOKUP(K179,코드!$B$3:$C$29,2,FALSE)</f>
        <v>4241130</v>
      </c>
      <c r="M179" s="58" t="s">
        <v>129</v>
      </c>
      <c r="N179" s="79" t="s">
        <v>708</v>
      </c>
      <c r="O179" s="63">
        <v>15000</v>
      </c>
      <c r="P179" s="63">
        <v>11</v>
      </c>
      <c r="Q179" s="63">
        <v>8</v>
      </c>
      <c r="R179" s="63">
        <f t="shared" ref="R179:R185" si="15">O179*P179*Q179</f>
        <v>1320000</v>
      </c>
      <c r="S179" s="63"/>
      <c r="T179" s="165">
        <v>660000</v>
      </c>
      <c r="U179" s="61" t="s">
        <v>316</v>
      </c>
      <c r="V179" s="60">
        <f t="shared" si="13"/>
        <v>0.5</v>
      </c>
    </row>
    <row r="180" spans="1:29" ht="17.25" customHeight="1">
      <c r="A180" s="59" t="s">
        <v>257</v>
      </c>
      <c r="B180" s="58" t="s">
        <v>715</v>
      </c>
      <c r="C180" s="65" t="s">
        <v>714</v>
      </c>
      <c r="D180" s="58" t="str">
        <f>VLOOKUP(C180,코드!$E$3:$F$30,2,FALSE)</f>
        <v>8647</v>
      </c>
      <c r="E180" s="65" t="s">
        <v>713</v>
      </c>
      <c r="F180" s="65" t="s">
        <v>712</v>
      </c>
      <c r="G180" s="66" t="s">
        <v>711</v>
      </c>
      <c r="H180" s="65" t="s">
        <v>720</v>
      </c>
      <c r="I180" s="65" t="s">
        <v>709</v>
      </c>
      <c r="J180" s="58" t="s">
        <v>130</v>
      </c>
      <c r="K180" s="58" t="s">
        <v>17</v>
      </c>
      <c r="L180" s="58">
        <f>VLOOKUP(K180,코드!$B$3:$C$29,2,FALSE)</f>
        <v>4241130</v>
      </c>
      <c r="M180" s="58" t="s">
        <v>129</v>
      </c>
      <c r="N180" s="79" t="s">
        <v>708</v>
      </c>
      <c r="O180" s="63">
        <v>270000</v>
      </c>
      <c r="P180" s="63">
        <v>1</v>
      </c>
      <c r="Q180" s="63">
        <v>2</v>
      </c>
      <c r="R180" s="63">
        <f t="shared" si="15"/>
        <v>540000</v>
      </c>
      <c r="S180" s="63"/>
      <c r="T180" s="165">
        <v>270000</v>
      </c>
      <c r="U180" s="61" t="s">
        <v>316</v>
      </c>
      <c r="V180" s="60">
        <f t="shared" si="13"/>
        <v>0.5</v>
      </c>
    </row>
    <row r="181" spans="1:29" ht="17.25" customHeight="1">
      <c r="A181" s="59" t="s">
        <v>257</v>
      </c>
      <c r="B181" s="58" t="s">
        <v>715</v>
      </c>
      <c r="C181" s="65" t="s">
        <v>714</v>
      </c>
      <c r="D181" s="58" t="str">
        <f>VLOOKUP(C181,코드!$E$3:$F$30,2,FALSE)</f>
        <v>8647</v>
      </c>
      <c r="E181" s="65" t="s">
        <v>713</v>
      </c>
      <c r="F181" s="65" t="s">
        <v>712</v>
      </c>
      <c r="G181" s="66" t="s">
        <v>711</v>
      </c>
      <c r="H181" s="65" t="s">
        <v>720</v>
      </c>
      <c r="I181" s="65" t="s">
        <v>719</v>
      </c>
      <c r="J181" s="58" t="s">
        <v>130</v>
      </c>
      <c r="K181" s="58" t="s">
        <v>17</v>
      </c>
      <c r="L181" s="58">
        <f>VLOOKUP(K181,코드!$B$3:$C$29,2,FALSE)</f>
        <v>4241130</v>
      </c>
      <c r="M181" s="58" t="s">
        <v>129</v>
      </c>
      <c r="N181" s="79" t="s">
        <v>708</v>
      </c>
      <c r="O181" s="63">
        <v>500000</v>
      </c>
      <c r="P181" s="63">
        <v>1</v>
      </c>
      <c r="Q181" s="63">
        <v>2</v>
      </c>
      <c r="R181" s="63">
        <f t="shared" si="15"/>
        <v>1000000</v>
      </c>
      <c r="S181" s="63"/>
      <c r="T181" s="165">
        <v>500000</v>
      </c>
      <c r="U181" s="61" t="s">
        <v>316</v>
      </c>
      <c r="V181" s="60">
        <f t="shared" si="13"/>
        <v>0.5</v>
      </c>
    </row>
    <row r="182" spans="1:29" ht="17.25" customHeight="1">
      <c r="A182" s="59" t="s">
        <v>257</v>
      </c>
      <c r="B182" s="58" t="s">
        <v>715</v>
      </c>
      <c r="C182" s="65" t="s">
        <v>714</v>
      </c>
      <c r="D182" s="58" t="str">
        <f>VLOOKUP(C182,코드!$E$3:$F$30,2,FALSE)</f>
        <v>8647</v>
      </c>
      <c r="E182" s="65" t="s">
        <v>713</v>
      </c>
      <c r="F182" s="65" t="s">
        <v>712</v>
      </c>
      <c r="G182" s="66" t="s">
        <v>711</v>
      </c>
      <c r="H182" s="65" t="s">
        <v>710</v>
      </c>
      <c r="I182" s="65" t="s">
        <v>718</v>
      </c>
      <c r="J182" s="58" t="s">
        <v>130</v>
      </c>
      <c r="K182" s="58" t="s">
        <v>17</v>
      </c>
      <c r="L182" s="58">
        <f>VLOOKUP(K182,코드!$B$3:$C$29,2,FALSE)</f>
        <v>4241130</v>
      </c>
      <c r="M182" s="58" t="s">
        <v>107</v>
      </c>
      <c r="N182" s="79" t="s">
        <v>708</v>
      </c>
      <c r="O182" s="63">
        <v>450000</v>
      </c>
      <c r="P182" s="63">
        <v>1</v>
      </c>
      <c r="Q182" s="63">
        <v>1</v>
      </c>
      <c r="R182" s="63">
        <f t="shared" si="15"/>
        <v>450000</v>
      </c>
      <c r="S182" s="63"/>
      <c r="T182" s="165">
        <v>450000</v>
      </c>
      <c r="U182" s="61" t="s">
        <v>316</v>
      </c>
      <c r="V182" s="60">
        <f t="shared" si="13"/>
        <v>1</v>
      </c>
    </row>
    <row r="183" spans="1:29" ht="17.25" customHeight="1">
      <c r="A183" s="59" t="s">
        <v>257</v>
      </c>
      <c r="B183" s="58" t="s">
        <v>715</v>
      </c>
      <c r="C183" s="65" t="s">
        <v>714</v>
      </c>
      <c r="D183" s="58" t="str">
        <f>VLOOKUP(C183,코드!$E$3:$F$30,2,FALSE)</f>
        <v>8647</v>
      </c>
      <c r="E183" s="65" t="s">
        <v>713</v>
      </c>
      <c r="F183" s="65" t="s">
        <v>712</v>
      </c>
      <c r="G183" s="66" t="s">
        <v>711</v>
      </c>
      <c r="H183" s="65" t="s">
        <v>710</v>
      </c>
      <c r="I183" s="65" t="s">
        <v>717</v>
      </c>
      <c r="J183" s="58" t="s">
        <v>130</v>
      </c>
      <c r="K183" s="58" t="s">
        <v>17</v>
      </c>
      <c r="L183" s="58">
        <f>VLOOKUP(K183,코드!$B$3:$C$29,2,FALSE)</f>
        <v>4241130</v>
      </c>
      <c r="M183" s="58" t="s">
        <v>129</v>
      </c>
      <c r="N183" s="79" t="s">
        <v>708</v>
      </c>
      <c r="O183" s="63">
        <v>40000</v>
      </c>
      <c r="P183" s="63">
        <v>12</v>
      </c>
      <c r="Q183" s="63">
        <v>1</v>
      </c>
      <c r="R183" s="63">
        <f t="shared" si="15"/>
        <v>480000</v>
      </c>
      <c r="S183" s="63"/>
      <c r="T183" s="165">
        <v>480000</v>
      </c>
      <c r="U183" s="61" t="s">
        <v>316</v>
      </c>
      <c r="V183" s="60">
        <f t="shared" si="13"/>
        <v>1</v>
      </c>
    </row>
    <row r="184" spans="1:29" ht="17.25" customHeight="1">
      <c r="A184" s="59" t="s">
        <v>257</v>
      </c>
      <c r="B184" s="58" t="s">
        <v>715</v>
      </c>
      <c r="C184" s="65" t="s">
        <v>714</v>
      </c>
      <c r="D184" s="58" t="str">
        <f>VLOOKUP(C184,코드!$E$3:$F$30,2,FALSE)</f>
        <v>8647</v>
      </c>
      <c r="E184" s="65" t="s">
        <v>713</v>
      </c>
      <c r="F184" s="65" t="s">
        <v>712</v>
      </c>
      <c r="G184" s="66" t="s">
        <v>711</v>
      </c>
      <c r="H184" s="65" t="s">
        <v>710</v>
      </c>
      <c r="I184" s="65" t="s">
        <v>716</v>
      </c>
      <c r="J184" s="58" t="s">
        <v>130</v>
      </c>
      <c r="K184" s="58" t="s">
        <v>17</v>
      </c>
      <c r="L184" s="58">
        <f>VLOOKUP(K184,코드!$B$3:$C$29,2,FALSE)</f>
        <v>4241130</v>
      </c>
      <c r="M184" s="58" t="s">
        <v>129</v>
      </c>
      <c r="N184" s="79" t="s">
        <v>708</v>
      </c>
      <c r="O184" s="63">
        <v>15000</v>
      </c>
      <c r="P184" s="63">
        <v>13</v>
      </c>
      <c r="Q184" s="63">
        <v>1</v>
      </c>
      <c r="R184" s="63">
        <f t="shared" si="15"/>
        <v>195000</v>
      </c>
      <c r="S184" s="63"/>
      <c r="T184" s="165">
        <v>195000</v>
      </c>
      <c r="U184" s="61" t="s">
        <v>316</v>
      </c>
      <c r="V184" s="60">
        <f t="shared" si="13"/>
        <v>1</v>
      </c>
    </row>
    <row r="185" spans="1:29" ht="17.25" customHeight="1">
      <c r="A185" s="59" t="s">
        <v>257</v>
      </c>
      <c r="B185" s="58" t="s">
        <v>715</v>
      </c>
      <c r="C185" s="65" t="s">
        <v>714</v>
      </c>
      <c r="D185" s="58" t="str">
        <f>VLOOKUP(C185,코드!$E$3:$F$30,2,FALSE)</f>
        <v>8647</v>
      </c>
      <c r="E185" s="65" t="s">
        <v>713</v>
      </c>
      <c r="F185" s="65" t="s">
        <v>712</v>
      </c>
      <c r="G185" s="66" t="s">
        <v>711</v>
      </c>
      <c r="H185" s="65" t="s">
        <v>710</v>
      </c>
      <c r="I185" s="65" t="s">
        <v>709</v>
      </c>
      <c r="J185" s="58" t="s">
        <v>130</v>
      </c>
      <c r="K185" s="58" t="s">
        <v>17</v>
      </c>
      <c r="L185" s="58">
        <f>VLOOKUP(K185,코드!$B$3:$C$29,2,FALSE)</f>
        <v>4241130</v>
      </c>
      <c r="M185" s="58" t="s">
        <v>129</v>
      </c>
      <c r="N185" s="79" t="s">
        <v>708</v>
      </c>
      <c r="O185" s="63">
        <v>270000</v>
      </c>
      <c r="P185" s="63">
        <v>1</v>
      </c>
      <c r="Q185" s="63">
        <v>1</v>
      </c>
      <c r="R185" s="63">
        <f t="shared" si="15"/>
        <v>270000</v>
      </c>
      <c r="S185" s="63"/>
      <c r="T185" s="165">
        <v>270000</v>
      </c>
      <c r="U185" s="61" t="s">
        <v>316</v>
      </c>
      <c r="V185" s="60">
        <f t="shared" si="13"/>
        <v>1</v>
      </c>
    </row>
    <row r="186" spans="1:29" ht="17.25" customHeight="1">
      <c r="A186" s="59" t="s">
        <v>257</v>
      </c>
      <c r="B186" s="58"/>
      <c r="C186" s="65"/>
      <c r="D186" s="58" t="e">
        <f>VLOOKUP(C186,코드!$E$3:$F$30,2,FALSE)</f>
        <v>#N/A</v>
      </c>
      <c r="E186" s="65"/>
      <c r="F186" s="65"/>
      <c r="G186" s="66"/>
      <c r="H186" s="65"/>
      <c r="I186" s="65"/>
      <c r="J186" s="58"/>
      <c r="K186" s="58"/>
      <c r="L186" s="58" t="e">
        <f>VLOOKUP(K186,코드!$B$3:$C$29,2,FALSE)</f>
        <v>#N/A</v>
      </c>
      <c r="M186" s="58"/>
      <c r="N186" s="58"/>
      <c r="O186" s="63"/>
      <c r="P186" s="63"/>
      <c r="Q186" s="63"/>
      <c r="R186" s="63"/>
      <c r="S186" s="63"/>
      <c r="T186" s="62">
        <v>0</v>
      </c>
      <c r="U186" s="61"/>
      <c r="V186" s="60" t="s">
        <v>126</v>
      </c>
    </row>
    <row r="187" spans="1:29" ht="17.25" customHeight="1">
      <c r="A187" s="59" t="s">
        <v>257</v>
      </c>
      <c r="B187" s="72" t="s">
        <v>531</v>
      </c>
      <c r="C187" s="72" t="s">
        <v>152</v>
      </c>
      <c r="D187" s="58" t="str">
        <f>VLOOKUP(C187,코드!$E$3:$F$30,2,FALSE)</f>
        <v>8701</v>
      </c>
      <c r="E187" s="66" t="s">
        <v>680</v>
      </c>
      <c r="F187" s="65" t="s">
        <v>698</v>
      </c>
      <c r="G187" s="66" t="s">
        <v>702</v>
      </c>
      <c r="H187" s="70" t="s">
        <v>470</v>
      </c>
      <c r="I187" s="70" t="s">
        <v>707</v>
      </c>
      <c r="J187" s="69" t="s">
        <v>84</v>
      </c>
      <c r="K187" s="68" t="s">
        <v>97</v>
      </c>
      <c r="L187" s="68">
        <f>VLOOKUP(K187,코드!$B$3:$C$29,2,FALSE)</f>
        <v>4125101</v>
      </c>
      <c r="M187" s="69" t="s">
        <v>96</v>
      </c>
      <c r="N187" s="68" t="s">
        <v>68</v>
      </c>
      <c r="O187" s="63"/>
      <c r="P187" s="63"/>
      <c r="Q187" s="63"/>
      <c r="R187" s="63">
        <v>31200000</v>
      </c>
      <c r="S187" s="63"/>
      <c r="T187" s="63">
        <v>31200000</v>
      </c>
      <c r="U187" s="61" t="s">
        <v>67</v>
      </c>
      <c r="V187" s="60">
        <f t="shared" ref="V187:V200" si="16">T187/R187</f>
        <v>1</v>
      </c>
    </row>
    <row r="188" spans="1:29" ht="17.25" customHeight="1">
      <c r="A188" s="59" t="s">
        <v>257</v>
      </c>
      <c r="B188" s="72" t="s">
        <v>531</v>
      </c>
      <c r="C188" s="72" t="s">
        <v>152</v>
      </c>
      <c r="D188" s="58" t="str">
        <f>VLOOKUP(C188,코드!$E$3:$F$30,2,FALSE)</f>
        <v>8701</v>
      </c>
      <c r="E188" s="66" t="s">
        <v>680</v>
      </c>
      <c r="F188" s="65" t="s">
        <v>698</v>
      </c>
      <c r="G188" s="66" t="s">
        <v>702</v>
      </c>
      <c r="H188" s="70" t="s">
        <v>251</v>
      </c>
      <c r="I188" s="70" t="s">
        <v>706</v>
      </c>
      <c r="J188" s="69" t="s">
        <v>84</v>
      </c>
      <c r="K188" s="68" t="s">
        <v>22</v>
      </c>
      <c r="L188" s="68">
        <f>VLOOKUP(K188,코드!$B$3:$C$29,2,FALSE)</f>
        <v>4118701</v>
      </c>
      <c r="M188" s="69" t="s">
        <v>96</v>
      </c>
      <c r="N188" s="68" t="s">
        <v>68</v>
      </c>
      <c r="O188" s="63"/>
      <c r="P188" s="63"/>
      <c r="Q188" s="63"/>
      <c r="R188" s="63">
        <v>34968600</v>
      </c>
      <c r="S188" s="63"/>
      <c r="T188" s="63">
        <v>34968600</v>
      </c>
      <c r="U188" s="61" t="s">
        <v>67</v>
      </c>
      <c r="V188" s="60">
        <f t="shared" si="16"/>
        <v>1</v>
      </c>
    </row>
    <row r="189" spans="1:29" ht="17.25" customHeight="1">
      <c r="A189" s="59" t="s">
        <v>257</v>
      </c>
      <c r="B189" s="72" t="s">
        <v>531</v>
      </c>
      <c r="C189" s="72" t="s">
        <v>152</v>
      </c>
      <c r="D189" s="58" t="str">
        <f>VLOOKUP(C189,코드!$E$3:$F$30,2,FALSE)</f>
        <v>8701</v>
      </c>
      <c r="E189" s="66" t="s">
        <v>680</v>
      </c>
      <c r="F189" s="65" t="s">
        <v>698</v>
      </c>
      <c r="G189" s="66" t="s">
        <v>702</v>
      </c>
      <c r="H189" s="70" t="s">
        <v>251</v>
      </c>
      <c r="I189" s="70" t="s">
        <v>705</v>
      </c>
      <c r="J189" s="69" t="s">
        <v>84</v>
      </c>
      <c r="K189" s="68" t="s">
        <v>22</v>
      </c>
      <c r="L189" s="68">
        <f>VLOOKUP(K189,코드!$B$3:$C$29,2,FALSE)</f>
        <v>4118701</v>
      </c>
      <c r="M189" s="69" t="s">
        <v>96</v>
      </c>
      <c r="N189" s="68" t="s">
        <v>68</v>
      </c>
      <c r="O189" s="63"/>
      <c r="P189" s="63"/>
      <c r="Q189" s="63"/>
      <c r="R189" s="63">
        <v>31836000</v>
      </c>
      <c r="S189" s="63"/>
      <c r="T189" s="63">
        <v>31836000</v>
      </c>
      <c r="U189" s="61" t="s">
        <v>67</v>
      </c>
      <c r="V189" s="60">
        <f t="shared" si="16"/>
        <v>1</v>
      </c>
    </row>
    <row r="190" spans="1:29" s="16" customFormat="1" ht="17.25" customHeight="1">
      <c r="A190" s="59" t="s">
        <v>257</v>
      </c>
      <c r="B190" s="72" t="s">
        <v>531</v>
      </c>
      <c r="C190" s="72" t="s">
        <v>152</v>
      </c>
      <c r="D190" s="58" t="str">
        <f>VLOOKUP(C190,코드!$E$3:$F$30,2,FALSE)</f>
        <v>8701</v>
      </c>
      <c r="E190" s="66" t="s">
        <v>680</v>
      </c>
      <c r="F190" s="65" t="s">
        <v>704</v>
      </c>
      <c r="G190" s="66" t="s">
        <v>702</v>
      </c>
      <c r="H190" s="65" t="s">
        <v>703</v>
      </c>
      <c r="I190" s="65" t="s">
        <v>564</v>
      </c>
      <c r="J190" s="72" t="s">
        <v>130</v>
      </c>
      <c r="K190" s="72" t="s">
        <v>11</v>
      </c>
      <c r="L190" s="58">
        <f>VLOOKUP(K190,코드!$B$3:$C$29,2,FALSE)</f>
        <v>4113401</v>
      </c>
      <c r="M190" s="72" t="s">
        <v>154</v>
      </c>
      <c r="N190" s="79" t="s">
        <v>675</v>
      </c>
      <c r="O190" s="200">
        <v>3000000</v>
      </c>
      <c r="P190" s="200">
        <v>1</v>
      </c>
      <c r="Q190" s="200">
        <v>10</v>
      </c>
      <c r="R190" s="200">
        <f t="shared" ref="R190:R195" si="17">O190*P190*Q190</f>
        <v>30000000</v>
      </c>
      <c r="S190" s="200">
        <v>30000000</v>
      </c>
      <c r="T190" s="199">
        <v>10000000</v>
      </c>
      <c r="U190" s="185"/>
      <c r="V190" s="60">
        <f t="shared" si="16"/>
        <v>0.33333333333333331</v>
      </c>
      <c r="W190" s="198"/>
      <c r="X190" s="74"/>
      <c r="Y190" s="198"/>
      <c r="AC190" s="198"/>
    </row>
    <row r="191" spans="1:29" s="16" customFormat="1" ht="17.25" customHeight="1">
      <c r="A191" s="59" t="s">
        <v>257</v>
      </c>
      <c r="B191" s="72" t="s">
        <v>531</v>
      </c>
      <c r="C191" s="72" t="s">
        <v>152</v>
      </c>
      <c r="D191" s="58" t="str">
        <f>VLOOKUP(C191,코드!$E$3:$F$30,2,FALSE)</f>
        <v>8701</v>
      </c>
      <c r="E191" s="66" t="s">
        <v>680</v>
      </c>
      <c r="F191" s="65" t="s">
        <v>698</v>
      </c>
      <c r="G191" s="66" t="s">
        <v>702</v>
      </c>
      <c r="H191" s="65" t="s">
        <v>701</v>
      </c>
      <c r="I191" s="65" t="s">
        <v>109</v>
      </c>
      <c r="J191" s="72" t="s">
        <v>130</v>
      </c>
      <c r="K191" s="72" t="s">
        <v>17</v>
      </c>
      <c r="L191" s="58">
        <f>VLOOKUP(K191,코드!$B$3:$C$29,2,FALSE)</f>
        <v>4241130</v>
      </c>
      <c r="M191" s="58" t="s">
        <v>129</v>
      </c>
      <c r="N191" s="79" t="s">
        <v>675</v>
      </c>
      <c r="O191" s="200">
        <v>3000000</v>
      </c>
      <c r="P191" s="200">
        <v>1</v>
      </c>
      <c r="Q191" s="200">
        <v>1</v>
      </c>
      <c r="R191" s="200">
        <f t="shared" si="17"/>
        <v>3000000</v>
      </c>
      <c r="S191" s="200">
        <v>3000000</v>
      </c>
      <c r="T191" s="199">
        <v>3000000</v>
      </c>
      <c r="U191" s="185" t="s">
        <v>158</v>
      </c>
      <c r="V191" s="60">
        <f t="shared" si="16"/>
        <v>1</v>
      </c>
      <c r="W191" s="88"/>
      <c r="X191" s="74"/>
      <c r="Y191" s="198"/>
      <c r="AC191" s="198"/>
    </row>
    <row r="192" spans="1:29" s="16" customFormat="1" ht="17.25" customHeight="1">
      <c r="A192" s="59" t="s">
        <v>257</v>
      </c>
      <c r="B192" s="72" t="s">
        <v>531</v>
      </c>
      <c r="C192" s="72" t="s">
        <v>152</v>
      </c>
      <c r="D192" s="58" t="str">
        <f>VLOOKUP(C192,코드!$E$3:$F$30,2,FALSE)</f>
        <v>8701</v>
      </c>
      <c r="E192" s="66" t="s">
        <v>680</v>
      </c>
      <c r="F192" s="65" t="s">
        <v>698</v>
      </c>
      <c r="G192" s="66" t="s">
        <v>700</v>
      </c>
      <c r="H192" s="65" t="s">
        <v>699</v>
      </c>
      <c r="I192" s="65" t="s">
        <v>109</v>
      </c>
      <c r="J192" s="72" t="s">
        <v>60</v>
      </c>
      <c r="K192" s="72" t="s">
        <v>17</v>
      </c>
      <c r="L192" s="58">
        <f>VLOOKUP(K192,코드!$B$3:$C$29,2,FALSE)</f>
        <v>4241130</v>
      </c>
      <c r="M192" s="72" t="s">
        <v>109</v>
      </c>
      <c r="N192" s="79" t="s">
        <v>675</v>
      </c>
      <c r="O192" s="200">
        <v>0</v>
      </c>
      <c r="P192" s="200">
        <v>0</v>
      </c>
      <c r="Q192" s="200">
        <v>0</v>
      </c>
      <c r="R192" s="200">
        <f t="shared" si="17"/>
        <v>0</v>
      </c>
      <c r="S192" s="200">
        <v>0</v>
      </c>
      <c r="T192" s="199">
        <v>0</v>
      </c>
      <c r="U192" s="185"/>
      <c r="V192" s="60" t="e">
        <f t="shared" si="16"/>
        <v>#DIV/0!</v>
      </c>
      <c r="W192" s="198"/>
      <c r="X192" s="74"/>
      <c r="Y192" s="198"/>
      <c r="AC192" s="198"/>
    </row>
    <row r="193" spans="1:29" s="16" customFormat="1" ht="17.25" customHeight="1">
      <c r="A193" s="59" t="s">
        <v>257</v>
      </c>
      <c r="B193" s="72" t="s">
        <v>531</v>
      </c>
      <c r="C193" s="72" t="s">
        <v>152</v>
      </c>
      <c r="D193" s="58" t="str">
        <f>VLOOKUP(C193,코드!$E$3:$F$30,2,FALSE)</f>
        <v>8701</v>
      </c>
      <c r="E193" s="66" t="s">
        <v>688</v>
      </c>
      <c r="F193" s="65" t="s">
        <v>698</v>
      </c>
      <c r="G193" s="66" t="s">
        <v>697</v>
      </c>
      <c r="H193" s="65" t="s">
        <v>696</v>
      </c>
      <c r="I193" s="65" t="s">
        <v>695</v>
      </c>
      <c r="J193" s="72" t="s">
        <v>130</v>
      </c>
      <c r="K193" s="72" t="s">
        <v>17</v>
      </c>
      <c r="L193" s="58">
        <f>VLOOKUP(K193,코드!$B$3:$C$29,2,FALSE)</f>
        <v>4241130</v>
      </c>
      <c r="M193" s="72" t="s">
        <v>109</v>
      </c>
      <c r="N193" s="79" t="s">
        <v>675</v>
      </c>
      <c r="O193" s="200"/>
      <c r="P193" s="200"/>
      <c r="Q193" s="200"/>
      <c r="R193" s="200">
        <f t="shared" si="17"/>
        <v>0</v>
      </c>
      <c r="S193" s="200">
        <v>0</v>
      </c>
      <c r="T193" s="199">
        <v>0</v>
      </c>
      <c r="U193" s="185"/>
      <c r="V193" s="60" t="e">
        <f t="shared" si="16"/>
        <v>#DIV/0!</v>
      </c>
      <c r="W193" s="198"/>
      <c r="X193" s="74"/>
      <c r="Y193" s="198"/>
      <c r="AC193" s="198"/>
    </row>
    <row r="194" spans="1:29" s="16" customFormat="1" ht="17.25" customHeight="1">
      <c r="A194" s="59" t="s">
        <v>257</v>
      </c>
      <c r="B194" s="72" t="s">
        <v>531</v>
      </c>
      <c r="C194" s="72" t="s">
        <v>152</v>
      </c>
      <c r="D194" s="58" t="str">
        <f>VLOOKUP(C194,코드!$E$3:$F$30,2,FALSE)</f>
        <v>8701</v>
      </c>
      <c r="E194" s="66" t="s">
        <v>688</v>
      </c>
      <c r="F194" s="65" t="s">
        <v>687</v>
      </c>
      <c r="G194" s="66" t="s">
        <v>694</v>
      </c>
      <c r="H194" s="65" t="s">
        <v>693</v>
      </c>
      <c r="I194" s="65" t="s">
        <v>154</v>
      </c>
      <c r="J194" s="72" t="s">
        <v>130</v>
      </c>
      <c r="K194" s="72" t="s">
        <v>29</v>
      </c>
      <c r="L194" s="58">
        <f>VLOOKUP(K194,코드!$B$3:$C$29,2,FALSE)</f>
        <v>4113401</v>
      </c>
      <c r="M194" s="72" t="s">
        <v>154</v>
      </c>
      <c r="N194" s="79" t="s">
        <v>675</v>
      </c>
      <c r="O194" s="200">
        <v>1500000</v>
      </c>
      <c r="P194" s="200">
        <v>1</v>
      </c>
      <c r="Q194" s="200">
        <v>8</v>
      </c>
      <c r="R194" s="200">
        <f t="shared" si="17"/>
        <v>12000000</v>
      </c>
      <c r="S194" s="200">
        <v>12000000</v>
      </c>
      <c r="T194" s="199">
        <v>12000000</v>
      </c>
      <c r="U194" s="185" t="s">
        <v>542</v>
      </c>
      <c r="V194" s="60">
        <f t="shared" si="16"/>
        <v>1</v>
      </c>
      <c r="W194" s="198"/>
      <c r="X194" s="74"/>
      <c r="Y194" s="198"/>
      <c r="AC194" s="198"/>
    </row>
    <row r="195" spans="1:29" s="16" customFormat="1" ht="17.25" customHeight="1">
      <c r="A195" s="59" t="s">
        <v>257</v>
      </c>
      <c r="B195" s="72" t="s">
        <v>531</v>
      </c>
      <c r="C195" s="72" t="s">
        <v>152</v>
      </c>
      <c r="D195" s="58" t="str">
        <f>VLOOKUP(C195,코드!$E$3:$F$30,2,FALSE)</f>
        <v>8701</v>
      </c>
      <c r="E195" s="66" t="s">
        <v>688</v>
      </c>
      <c r="F195" s="65" t="s">
        <v>687</v>
      </c>
      <c r="G195" s="66" t="s">
        <v>686</v>
      </c>
      <c r="H195" s="65" t="s">
        <v>690</v>
      </c>
      <c r="I195" s="65" t="s">
        <v>692</v>
      </c>
      <c r="J195" s="72" t="s">
        <v>130</v>
      </c>
      <c r="K195" s="72" t="s">
        <v>29</v>
      </c>
      <c r="L195" s="58">
        <f>VLOOKUP(K195,코드!$B$3:$C$29,2,FALSE)</f>
        <v>4113401</v>
      </c>
      <c r="M195" s="72" t="s">
        <v>154</v>
      </c>
      <c r="N195" s="79" t="s">
        <v>675</v>
      </c>
      <c r="O195" s="200">
        <v>0</v>
      </c>
      <c r="P195" s="200">
        <v>0</v>
      </c>
      <c r="Q195" s="200">
        <v>0</v>
      </c>
      <c r="R195" s="200">
        <f t="shared" si="17"/>
        <v>0</v>
      </c>
      <c r="S195" s="200">
        <v>0</v>
      </c>
      <c r="T195" s="199">
        <v>0</v>
      </c>
      <c r="U195" s="185"/>
      <c r="V195" s="60" t="e">
        <f t="shared" si="16"/>
        <v>#DIV/0!</v>
      </c>
      <c r="W195" s="198"/>
      <c r="X195" s="74"/>
      <c r="Y195" s="198"/>
      <c r="AC195" s="198"/>
    </row>
    <row r="196" spans="1:29" s="16" customFormat="1" ht="17.25" customHeight="1">
      <c r="A196" s="59" t="s">
        <v>257</v>
      </c>
      <c r="B196" s="72" t="s">
        <v>531</v>
      </c>
      <c r="C196" s="72" t="s">
        <v>152</v>
      </c>
      <c r="D196" s="58" t="str">
        <f>VLOOKUP(C196,코드!$E$3:$F$30,2,FALSE)</f>
        <v>8701</v>
      </c>
      <c r="E196" s="66" t="s">
        <v>688</v>
      </c>
      <c r="F196" s="65" t="s">
        <v>691</v>
      </c>
      <c r="G196" s="66" t="s">
        <v>686</v>
      </c>
      <c r="H196" s="65" t="s">
        <v>690</v>
      </c>
      <c r="I196" s="65" t="s">
        <v>689</v>
      </c>
      <c r="J196" s="72" t="s">
        <v>130</v>
      </c>
      <c r="K196" s="72" t="s">
        <v>568</v>
      </c>
      <c r="L196" s="58">
        <f>VLOOKUP(K196,코드!$B$3:$C$29,2,FALSE)</f>
        <v>4241130</v>
      </c>
      <c r="M196" s="72" t="s">
        <v>587</v>
      </c>
      <c r="N196" s="79" t="s">
        <v>675</v>
      </c>
      <c r="O196" s="200">
        <v>0</v>
      </c>
      <c r="P196" s="200">
        <v>0</v>
      </c>
      <c r="Q196" s="200">
        <v>0</v>
      </c>
      <c r="R196" s="203">
        <v>300000</v>
      </c>
      <c r="S196" s="203">
        <v>0</v>
      </c>
      <c r="T196" s="203">
        <v>300000</v>
      </c>
      <c r="U196" s="184" t="s">
        <v>877</v>
      </c>
      <c r="V196" s="60">
        <f t="shared" si="16"/>
        <v>1</v>
      </c>
      <c r="W196" s="202"/>
      <c r="X196" s="74"/>
      <c r="Y196" s="88"/>
      <c r="AC196" s="198"/>
    </row>
    <row r="197" spans="1:29" s="16" customFormat="1" ht="17.25" customHeight="1">
      <c r="A197" s="59" t="s">
        <v>257</v>
      </c>
      <c r="B197" s="72" t="s">
        <v>531</v>
      </c>
      <c r="C197" s="72" t="s">
        <v>152</v>
      </c>
      <c r="D197" s="58" t="str">
        <f>VLOOKUP(C197,코드!$E$3:$F$30,2,FALSE)</f>
        <v>8701</v>
      </c>
      <c r="E197" s="66" t="s">
        <v>688</v>
      </c>
      <c r="F197" s="65" t="s">
        <v>687</v>
      </c>
      <c r="G197" s="66" t="s">
        <v>686</v>
      </c>
      <c r="H197" s="65" t="s">
        <v>686</v>
      </c>
      <c r="I197" s="65" t="s">
        <v>685</v>
      </c>
      <c r="J197" s="72" t="s">
        <v>130</v>
      </c>
      <c r="K197" s="72" t="s">
        <v>17</v>
      </c>
      <c r="L197" s="58">
        <f>VLOOKUP(K197,코드!$B$3:$C$29,2,FALSE)</f>
        <v>4241130</v>
      </c>
      <c r="M197" s="72" t="s">
        <v>109</v>
      </c>
      <c r="N197" s="79" t="s">
        <v>675</v>
      </c>
      <c r="O197" s="200">
        <v>0</v>
      </c>
      <c r="P197" s="200">
        <v>0</v>
      </c>
      <c r="Q197" s="200">
        <v>0</v>
      </c>
      <c r="R197" s="263">
        <v>300000</v>
      </c>
      <c r="S197" s="200">
        <v>300000</v>
      </c>
      <c r="T197" s="199">
        <v>300000</v>
      </c>
      <c r="U197" s="185"/>
      <c r="V197" s="60">
        <f t="shared" si="16"/>
        <v>1</v>
      </c>
      <c r="W197" s="198"/>
      <c r="X197" s="74"/>
      <c r="Y197" s="198"/>
      <c r="AC197" s="198"/>
    </row>
    <row r="198" spans="1:29" s="16" customFormat="1" ht="17.25" customHeight="1">
      <c r="A198" s="59" t="s">
        <v>257</v>
      </c>
      <c r="B198" s="72" t="s">
        <v>531</v>
      </c>
      <c r="C198" s="72" t="s">
        <v>152</v>
      </c>
      <c r="D198" s="58" t="str">
        <f>VLOOKUP(C198,코드!$E$3:$F$30,2,FALSE)</f>
        <v>8701</v>
      </c>
      <c r="E198" s="66" t="s">
        <v>680</v>
      </c>
      <c r="F198" s="65" t="s">
        <v>684</v>
      </c>
      <c r="G198" s="66" t="s">
        <v>678</v>
      </c>
      <c r="H198" s="65" t="s">
        <v>683</v>
      </c>
      <c r="I198" s="65" t="s">
        <v>683</v>
      </c>
      <c r="J198" s="72" t="s">
        <v>60</v>
      </c>
      <c r="K198" s="72" t="s">
        <v>29</v>
      </c>
      <c r="L198" s="58">
        <f>VLOOKUP(K198,코드!$B$3:$C$29,2,FALSE)</f>
        <v>4113401</v>
      </c>
      <c r="M198" s="72" t="s">
        <v>682</v>
      </c>
      <c r="N198" s="79" t="s">
        <v>675</v>
      </c>
      <c r="O198" s="200">
        <v>2000000</v>
      </c>
      <c r="P198" s="200">
        <v>13</v>
      </c>
      <c r="Q198" s="200">
        <v>1</v>
      </c>
      <c r="R198" s="262">
        <v>16000000</v>
      </c>
      <c r="S198" s="200">
        <v>26000000</v>
      </c>
      <c r="T198" s="199">
        <v>16000000</v>
      </c>
      <c r="U198" s="185" t="s">
        <v>542</v>
      </c>
      <c r="V198" s="60">
        <f t="shared" si="16"/>
        <v>1</v>
      </c>
      <c r="W198" s="202"/>
      <c r="X198" s="180"/>
      <c r="Y198" s="88"/>
      <c r="AC198" s="88"/>
    </row>
    <row r="199" spans="1:29" s="16" customFormat="1" ht="17.25" customHeight="1">
      <c r="A199" s="59" t="s">
        <v>257</v>
      </c>
      <c r="B199" s="72" t="s">
        <v>531</v>
      </c>
      <c r="C199" s="72" t="s">
        <v>152</v>
      </c>
      <c r="D199" s="58" t="str">
        <f>VLOOKUP(C199,코드!$E$3:$F$30,2,FALSE)</f>
        <v>8701</v>
      </c>
      <c r="E199" s="66" t="s">
        <v>680</v>
      </c>
      <c r="F199" s="65" t="s">
        <v>679</v>
      </c>
      <c r="G199" s="66" t="s">
        <v>678</v>
      </c>
      <c r="H199" s="65" t="s">
        <v>677</v>
      </c>
      <c r="I199" s="65" t="s">
        <v>681</v>
      </c>
      <c r="J199" s="72" t="s">
        <v>60</v>
      </c>
      <c r="K199" s="176" t="s">
        <v>15</v>
      </c>
      <c r="L199" s="58">
        <f>VLOOKUP(K199,코드!$B$3:$C$29,2,FALSE)</f>
        <v>4321701</v>
      </c>
      <c r="M199" s="72" t="s">
        <v>159</v>
      </c>
      <c r="N199" s="79" t="s">
        <v>675</v>
      </c>
      <c r="O199" s="200">
        <v>700000</v>
      </c>
      <c r="P199" s="200">
        <v>5</v>
      </c>
      <c r="Q199" s="200">
        <v>1</v>
      </c>
      <c r="R199" s="203">
        <v>5600000</v>
      </c>
      <c r="S199" s="201">
        <v>5600000</v>
      </c>
      <c r="T199" s="261">
        <v>3500000</v>
      </c>
      <c r="U199" s="185" t="s">
        <v>542</v>
      </c>
      <c r="V199" s="60">
        <f t="shared" si="16"/>
        <v>0.625</v>
      </c>
      <c r="W199" s="198"/>
      <c r="X199" s="74"/>
      <c r="Y199" s="198"/>
      <c r="AC199" s="198"/>
    </row>
    <row r="200" spans="1:29" s="16" customFormat="1" ht="17.25" customHeight="1">
      <c r="A200" s="59" t="s">
        <v>257</v>
      </c>
      <c r="B200" s="72" t="s">
        <v>531</v>
      </c>
      <c r="C200" s="72" t="s">
        <v>152</v>
      </c>
      <c r="D200" s="58" t="str">
        <f>VLOOKUP(C200,코드!$E$3:$F$30,2,FALSE)</f>
        <v>8701</v>
      </c>
      <c r="E200" s="66" t="s">
        <v>688</v>
      </c>
      <c r="F200" s="65" t="s">
        <v>679</v>
      </c>
      <c r="G200" s="66" t="s">
        <v>678</v>
      </c>
      <c r="H200" s="65" t="s">
        <v>677</v>
      </c>
      <c r="I200" s="65" t="s">
        <v>676</v>
      </c>
      <c r="J200" s="72" t="s">
        <v>60</v>
      </c>
      <c r="K200" s="72" t="s">
        <v>17</v>
      </c>
      <c r="L200" s="58">
        <f>VLOOKUP(K200,코드!$B$3:$C$29,2,FALSE)</f>
        <v>4241130</v>
      </c>
      <c r="M200" s="72" t="s">
        <v>159</v>
      </c>
      <c r="N200" s="79" t="s">
        <v>675</v>
      </c>
      <c r="O200" s="200">
        <v>5400000</v>
      </c>
      <c r="P200" s="200">
        <v>1</v>
      </c>
      <c r="Q200" s="200">
        <v>1</v>
      </c>
      <c r="R200" s="200">
        <v>4800000</v>
      </c>
      <c r="S200" s="200">
        <v>4800000</v>
      </c>
      <c r="T200" s="199">
        <v>4800000</v>
      </c>
      <c r="U200" s="185" t="s">
        <v>158</v>
      </c>
      <c r="V200" s="60">
        <f t="shared" si="16"/>
        <v>1</v>
      </c>
      <c r="W200" s="88"/>
      <c r="X200" s="74"/>
      <c r="Y200" s="198"/>
      <c r="AC200" s="198"/>
    </row>
    <row r="201" spans="1:29" s="59" customFormat="1" ht="17.25" customHeight="1">
      <c r="A201" s="59" t="s">
        <v>257</v>
      </c>
      <c r="B201" s="72"/>
      <c r="C201" s="155"/>
      <c r="D201" s="58" t="e">
        <f>VLOOKUP(C201,코드!$E$3:$F$30,2,FALSE)</f>
        <v>#N/A</v>
      </c>
      <c r="E201" s="65"/>
      <c r="F201" s="65"/>
      <c r="G201" s="66"/>
      <c r="H201" s="65"/>
      <c r="I201" s="65"/>
      <c r="J201" s="72"/>
      <c r="K201" s="72"/>
      <c r="L201" s="58" t="e">
        <f>VLOOKUP(K201,코드!$B$3:$C$29,2,FALSE)</f>
        <v>#N/A</v>
      </c>
      <c r="M201" s="72"/>
      <c r="N201" s="58"/>
      <c r="O201" s="75"/>
      <c r="P201" s="75"/>
      <c r="Q201" s="75"/>
      <c r="R201" s="75"/>
      <c r="S201" s="75"/>
      <c r="T201" s="78">
        <v>0</v>
      </c>
      <c r="U201" s="71"/>
      <c r="V201" s="60" t="s">
        <v>126</v>
      </c>
      <c r="W201" s="46"/>
      <c r="X201" s="74"/>
      <c r="Y201" s="46"/>
      <c r="AC201" s="46"/>
    </row>
    <row r="202" spans="1:29" s="59" customFormat="1" ht="17.25" customHeight="1">
      <c r="A202" s="59" t="s">
        <v>257</v>
      </c>
      <c r="B202" s="72" t="s">
        <v>531</v>
      </c>
      <c r="C202" s="155" t="s">
        <v>152</v>
      </c>
      <c r="D202" s="58" t="str">
        <f>VLOOKUP(C202,코드!$E$3:$F$30,2,FALSE)</f>
        <v>8701</v>
      </c>
      <c r="E202" s="65" t="s">
        <v>577</v>
      </c>
      <c r="F202" s="65" t="s">
        <v>628</v>
      </c>
      <c r="G202" s="66" t="s">
        <v>670</v>
      </c>
      <c r="H202" s="65" t="s">
        <v>674</v>
      </c>
      <c r="I202" s="192" t="s">
        <v>673</v>
      </c>
      <c r="J202" s="72" t="s">
        <v>130</v>
      </c>
      <c r="K202" s="72" t="s">
        <v>29</v>
      </c>
      <c r="L202" s="58">
        <f>VLOOKUP(K202,코드!$B$3:$C$29,2,FALSE)</f>
        <v>4113401</v>
      </c>
      <c r="M202" s="72" t="s">
        <v>159</v>
      </c>
      <c r="N202" s="79" t="s">
        <v>578</v>
      </c>
      <c r="O202" s="75">
        <v>500000</v>
      </c>
      <c r="P202" s="75">
        <v>4</v>
      </c>
      <c r="Q202" s="75">
        <v>1</v>
      </c>
      <c r="R202" s="257">
        <v>1500000</v>
      </c>
      <c r="S202" s="75">
        <v>2000000</v>
      </c>
      <c r="T202" s="78">
        <v>1500000</v>
      </c>
      <c r="U202" s="185" t="s">
        <v>542</v>
      </c>
      <c r="V202" s="60">
        <f t="shared" ref="V202:V219" si="18">T202/R202</f>
        <v>1</v>
      </c>
      <c r="W202" s="46"/>
      <c r="X202" s="74"/>
      <c r="Y202" s="46"/>
      <c r="AC202" s="46"/>
    </row>
    <row r="203" spans="1:29" s="59" customFormat="1" ht="17.25" customHeight="1">
      <c r="A203" s="59" t="s">
        <v>257</v>
      </c>
      <c r="B203" s="72" t="s">
        <v>531</v>
      </c>
      <c r="C203" s="155" t="s">
        <v>152</v>
      </c>
      <c r="D203" s="58" t="str">
        <f>VLOOKUP(C203,코드!$E$3:$F$30,2,FALSE)</f>
        <v>8701</v>
      </c>
      <c r="E203" s="65" t="s">
        <v>577</v>
      </c>
      <c r="F203" s="65" t="s">
        <v>628</v>
      </c>
      <c r="G203" s="66" t="s">
        <v>670</v>
      </c>
      <c r="H203" s="65" t="s">
        <v>672</v>
      </c>
      <c r="I203" s="65" t="s">
        <v>671</v>
      </c>
      <c r="J203" s="72" t="s">
        <v>130</v>
      </c>
      <c r="K203" s="72" t="s">
        <v>17</v>
      </c>
      <c r="L203" s="58">
        <f>VLOOKUP(K203,코드!$B$3:$C$29,2,FALSE)</f>
        <v>4241130</v>
      </c>
      <c r="M203" s="72" t="s">
        <v>93</v>
      </c>
      <c r="N203" s="79" t="s">
        <v>578</v>
      </c>
      <c r="O203" s="75">
        <v>200000</v>
      </c>
      <c r="P203" s="75">
        <v>6</v>
      </c>
      <c r="Q203" s="75">
        <v>1</v>
      </c>
      <c r="R203" s="75">
        <f>O203*P203*Q203</f>
        <v>1200000</v>
      </c>
      <c r="S203" s="75">
        <v>1200000</v>
      </c>
      <c r="T203" s="78">
        <v>1200000</v>
      </c>
      <c r="U203" s="185" t="s">
        <v>542</v>
      </c>
      <c r="V203" s="60">
        <f t="shared" si="18"/>
        <v>1</v>
      </c>
      <c r="W203" s="46"/>
      <c r="X203" s="74"/>
      <c r="Y203" s="46"/>
      <c r="AC203" s="46"/>
    </row>
    <row r="204" spans="1:29" s="59" customFormat="1" ht="17.25" customHeight="1">
      <c r="A204" s="59" t="s">
        <v>257</v>
      </c>
      <c r="B204" s="72" t="s">
        <v>531</v>
      </c>
      <c r="C204" s="155" t="s">
        <v>152</v>
      </c>
      <c r="D204" s="58" t="str">
        <f>VLOOKUP(C204,코드!$E$3:$F$30,2,FALSE)</f>
        <v>8701</v>
      </c>
      <c r="E204" s="65" t="s">
        <v>577</v>
      </c>
      <c r="F204" s="65" t="s">
        <v>628</v>
      </c>
      <c r="G204" s="66" t="s">
        <v>670</v>
      </c>
      <c r="H204" s="65" t="s">
        <v>669</v>
      </c>
      <c r="I204" s="65" t="s">
        <v>668</v>
      </c>
      <c r="J204" s="72" t="s">
        <v>60</v>
      </c>
      <c r="K204" s="72" t="s">
        <v>15</v>
      </c>
      <c r="L204" s="58">
        <f>VLOOKUP(K204,코드!$B$3:$C$29,2,FALSE)</f>
        <v>4321701</v>
      </c>
      <c r="M204" s="72" t="s">
        <v>159</v>
      </c>
      <c r="N204" s="79" t="s">
        <v>578</v>
      </c>
      <c r="O204" s="75">
        <v>800000</v>
      </c>
      <c r="P204" s="75">
        <v>4</v>
      </c>
      <c r="Q204" s="75">
        <v>1</v>
      </c>
      <c r="R204" s="257">
        <v>2400000</v>
      </c>
      <c r="S204" s="75">
        <v>3200000</v>
      </c>
      <c r="T204" s="197">
        <v>2400000</v>
      </c>
      <c r="U204" s="185" t="s">
        <v>542</v>
      </c>
      <c r="V204" s="60">
        <f t="shared" si="18"/>
        <v>1</v>
      </c>
      <c r="W204" s="46"/>
      <c r="X204" s="74"/>
      <c r="Y204" s="46"/>
      <c r="AC204" s="46"/>
    </row>
    <row r="205" spans="1:29" s="178" customFormat="1" ht="17.25" customHeight="1">
      <c r="A205" s="59" t="s">
        <v>257</v>
      </c>
      <c r="B205" s="72" t="s">
        <v>531</v>
      </c>
      <c r="C205" s="155" t="s">
        <v>152</v>
      </c>
      <c r="D205" s="58" t="str">
        <f>VLOOKUP(C205,코드!$E$3:$F$30,2,FALSE)</f>
        <v>8701</v>
      </c>
      <c r="E205" s="65" t="s">
        <v>577</v>
      </c>
      <c r="F205" s="65" t="s">
        <v>628</v>
      </c>
      <c r="G205" s="66" t="s">
        <v>665</v>
      </c>
      <c r="H205" s="65" t="s">
        <v>667</v>
      </c>
      <c r="I205" s="65" t="s">
        <v>666</v>
      </c>
      <c r="J205" s="72" t="s">
        <v>130</v>
      </c>
      <c r="K205" s="72" t="s">
        <v>17</v>
      </c>
      <c r="L205" s="58">
        <f>VLOOKUP(K205,코드!$B$3:$C$29,2,FALSE)</f>
        <v>4241130</v>
      </c>
      <c r="M205" s="72" t="s">
        <v>120</v>
      </c>
      <c r="N205" s="79" t="s">
        <v>578</v>
      </c>
      <c r="O205" s="75">
        <v>600000</v>
      </c>
      <c r="P205" s="75">
        <v>1</v>
      </c>
      <c r="Q205" s="75">
        <v>2</v>
      </c>
      <c r="R205" s="75">
        <v>2000000</v>
      </c>
      <c r="S205" s="75">
        <v>2000000</v>
      </c>
      <c r="T205" s="196">
        <v>2000000</v>
      </c>
      <c r="U205" s="185" t="s">
        <v>542</v>
      </c>
      <c r="V205" s="60">
        <f t="shared" si="18"/>
        <v>1</v>
      </c>
      <c r="W205" s="179"/>
      <c r="X205" s="180"/>
      <c r="Y205" s="179"/>
      <c r="AC205" s="179"/>
    </row>
    <row r="206" spans="1:29" s="178" customFormat="1" ht="17.25" customHeight="1">
      <c r="A206" s="59" t="s">
        <v>257</v>
      </c>
      <c r="B206" s="72" t="s">
        <v>531</v>
      </c>
      <c r="C206" s="155" t="s">
        <v>152</v>
      </c>
      <c r="D206" s="58" t="str">
        <f>VLOOKUP(C206,코드!$E$3:$F$30,2,FALSE)</f>
        <v>8701</v>
      </c>
      <c r="E206" s="65" t="s">
        <v>577</v>
      </c>
      <c r="F206" s="65" t="s">
        <v>628</v>
      </c>
      <c r="G206" s="66" t="s">
        <v>665</v>
      </c>
      <c r="H206" s="65" t="s">
        <v>664</v>
      </c>
      <c r="I206" s="65" t="s">
        <v>587</v>
      </c>
      <c r="J206" s="72" t="s">
        <v>130</v>
      </c>
      <c r="K206" s="72" t="s">
        <v>17</v>
      </c>
      <c r="L206" s="58">
        <f>VLOOKUP(K206,코드!$B$3:$C$29,2,FALSE)</f>
        <v>4241130</v>
      </c>
      <c r="M206" s="72" t="s">
        <v>587</v>
      </c>
      <c r="N206" s="79" t="s">
        <v>578</v>
      </c>
      <c r="O206" s="75">
        <v>150000</v>
      </c>
      <c r="P206" s="75">
        <v>5</v>
      </c>
      <c r="Q206" s="75">
        <v>2</v>
      </c>
      <c r="R206" s="75">
        <f>O206*P206*Q206</f>
        <v>1500000</v>
      </c>
      <c r="S206" s="75">
        <v>1500000</v>
      </c>
      <c r="T206" s="196">
        <v>1500000</v>
      </c>
      <c r="U206" s="185" t="s">
        <v>306</v>
      </c>
      <c r="V206" s="60">
        <f t="shared" si="18"/>
        <v>1</v>
      </c>
      <c r="W206" s="179"/>
      <c r="X206" s="180"/>
      <c r="Y206" s="179"/>
      <c r="AC206" s="179"/>
    </row>
    <row r="207" spans="1:29" s="178" customFormat="1" ht="17.25" customHeight="1">
      <c r="A207" s="59" t="s">
        <v>257</v>
      </c>
      <c r="B207" s="72" t="s">
        <v>531</v>
      </c>
      <c r="C207" s="155" t="s">
        <v>152</v>
      </c>
      <c r="D207" s="58" t="str">
        <f>VLOOKUP(C207,코드!$E$3:$F$30,2,FALSE)</f>
        <v>8701</v>
      </c>
      <c r="E207" s="65" t="s">
        <v>577</v>
      </c>
      <c r="F207" s="65" t="s">
        <v>628</v>
      </c>
      <c r="G207" s="66" t="s">
        <v>663</v>
      </c>
      <c r="H207" s="65" t="s">
        <v>663</v>
      </c>
      <c r="I207" s="65" t="s">
        <v>656</v>
      </c>
      <c r="J207" s="72" t="s">
        <v>60</v>
      </c>
      <c r="K207" s="176" t="s">
        <v>15</v>
      </c>
      <c r="L207" s="58">
        <f>VLOOKUP(K207,코드!$B$3:$C$29,2,FALSE)</f>
        <v>4321701</v>
      </c>
      <c r="M207" s="72" t="s">
        <v>159</v>
      </c>
      <c r="N207" s="79" t="s">
        <v>578</v>
      </c>
      <c r="O207" s="75">
        <v>700000</v>
      </c>
      <c r="P207" s="75">
        <v>57</v>
      </c>
      <c r="Q207" s="75">
        <v>2</v>
      </c>
      <c r="R207" s="257">
        <v>83300000</v>
      </c>
      <c r="S207" s="75">
        <v>87500000</v>
      </c>
      <c r="T207" s="187">
        <f>42000000+41300000</f>
        <v>83300000</v>
      </c>
      <c r="U207" s="185" t="s">
        <v>542</v>
      </c>
      <c r="V207" s="60">
        <f t="shared" si="18"/>
        <v>1</v>
      </c>
      <c r="W207" s="179"/>
      <c r="X207" s="195"/>
      <c r="Y207" s="179"/>
      <c r="AC207" s="179"/>
    </row>
    <row r="208" spans="1:29" s="178" customFormat="1" ht="17.25" customHeight="1">
      <c r="A208" s="59" t="s">
        <v>257</v>
      </c>
      <c r="B208" s="72" t="s">
        <v>531</v>
      </c>
      <c r="C208" s="155" t="s">
        <v>152</v>
      </c>
      <c r="D208" s="58" t="str">
        <f>VLOOKUP(C208,코드!$E$3:$F$30,2,FALSE)</f>
        <v>8701</v>
      </c>
      <c r="E208" s="65" t="s">
        <v>577</v>
      </c>
      <c r="F208" s="65" t="s">
        <v>628</v>
      </c>
      <c r="G208" s="66" t="s">
        <v>661</v>
      </c>
      <c r="H208" s="65" t="s">
        <v>662</v>
      </c>
      <c r="I208" s="65" t="s">
        <v>659</v>
      </c>
      <c r="J208" s="72" t="s">
        <v>130</v>
      </c>
      <c r="K208" s="72" t="s">
        <v>11</v>
      </c>
      <c r="L208" s="58">
        <f>VLOOKUP(K208,코드!$B$3:$C$29,2,FALSE)</f>
        <v>4113401</v>
      </c>
      <c r="M208" s="72" t="s">
        <v>659</v>
      </c>
      <c r="N208" s="79" t="s">
        <v>578</v>
      </c>
      <c r="O208" s="75">
        <v>1000000</v>
      </c>
      <c r="P208" s="75">
        <v>20</v>
      </c>
      <c r="Q208" s="75">
        <v>2</v>
      </c>
      <c r="R208" s="160">
        <v>35000000</v>
      </c>
      <c r="S208" s="75">
        <v>35000000</v>
      </c>
      <c r="T208" s="187">
        <v>20000000</v>
      </c>
      <c r="U208" s="185" t="s">
        <v>542</v>
      </c>
      <c r="V208" s="60">
        <f t="shared" si="18"/>
        <v>0.5714285714285714</v>
      </c>
      <c r="W208" s="179"/>
      <c r="X208" s="180"/>
      <c r="Y208" s="179"/>
      <c r="AC208" s="179"/>
    </row>
    <row r="209" spans="1:29" s="59" customFormat="1" ht="17.25" customHeight="1">
      <c r="A209" s="59" t="s">
        <v>257</v>
      </c>
      <c r="B209" s="72" t="s">
        <v>531</v>
      </c>
      <c r="C209" s="155" t="s">
        <v>152</v>
      </c>
      <c r="D209" s="58" t="str">
        <f>VLOOKUP(C209,코드!$E$3:$F$30,2,FALSE)</f>
        <v>8701</v>
      </c>
      <c r="E209" s="65" t="s">
        <v>577</v>
      </c>
      <c r="F209" s="65" t="s">
        <v>628</v>
      </c>
      <c r="G209" s="66" t="s">
        <v>661</v>
      </c>
      <c r="H209" s="65" t="s">
        <v>660</v>
      </c>
      <c r="I209" s="65" t="s">
        <v>659</v>
      </c>
      <c r="J209" s="72" t="s">
        <v>130</v>
      </c>
      <c r="K209" s="72" t="s">
        <v>568</v>
      </c>
      <c r="L209" s="58">
        <f>VLOOKUP(K209,코드!$B$3:$C$29,2,FALSE)</f>
        <v>4241130</v>
      </c>
      <c r="M209" s="72" t="s">
        <v>659</v>
      </c>
      <c r="N209" s="79" t="s">
        <v>578</v>
      </c>
      <c r="O209" s="75">
        <v>1000000</v>
      </c>
      <c r="P209" s="75">
        <v>12</v>
      </c>
      <c r="Q209" s="75">
        <v>1</v>
      </c>
      <c r="R209" s="160">
        <v>6000000</v>
      </c>
      <c r="S209" s="75">
        <v>6000000</v>
      </c>
      <c r="T209" s="187">
        <v>6000000</v>
      </c>
      <c r="U209" s="185" t="s">
        <v>542</v>
      </c>
      <c r="V209" s="60">
        <f t="shared" si="18"/>
        <v>1</v>
      </c>
      <c r="W209" s="46"/>
      <c r="X209" s="74"/>
      <c r="Y209" s="46"/>
      <c r="AC209" s="46"/>
    </row>
    <row r="210" spans="1:29" s="178" customFormat="1" ht="17.25" customHeight="1">
      <c r="A210" s="59" t="s">
        <v>257</v>
      </c>
      <c r="B210" s="72" t="s">
        <v>531</v>
      </c>
      <c r="C210" s="155" t="s">
        <v>152</v>
      </c>
      <c r="D210" s="58" t="str">
        <f>VLOOKUP(C210,코드!$E$3:$F$30,2,FALSE)</f>
        <v>8701</v>
      </c>
      <c r="E210" s="65" t="s">
        <v>577</v>
      </c>
      <c r="F210" s="65" t="s">
        <v>647</v>
      </c>
      <c r="G210" s="66" t="s">
        <v>658</v>
      </c>
      <c r="H210" s="65" t="s">
        <v>657</v>
      </c>
      <c r="I210" s="65" t="s">
        <v>656</v>
      </c>
      <c r="J210" s="72" t="s">
        <v>60</v>
      </c>
      <c r="K210" s="72" t="s">
        <v>9</v>
      </c>
      <c r="L210" s="58">
        <f>VLOOKUP(K210,코드!$B$3:$C$29,2,FALSE)</f>
        <v>4321701</v>
      </c>
      <c r="M210" s="72" t="s">
        <v>159</v>
      </c>
      <c r="N210" s="79" t="s">
        <v>578</v>
      </c>
      <c r="O210" s="75">
        <v>1200000</v>
      </c>
      <c r="P210" s="75">
        <v>11</v>
      </c>
      <c r="Q210" s="75">
        <v>1</v>
      </c>
      <c r="R210" s="160">
        <v>9600000</v>
      </c>
      <c r="S210" s="75">
        <v>9600000</v>
      </c>
      <c r="T210" s="187">
        <v>8400000</v>
      </c>
      <c r="U210" s="185" t="s">
        <v>542</v>
      </c>
      <c r="V210" s="60">
        <f t="shared" si="18"/>
        <v>0.875</v>
      </c>
      <c r="W210" s="179"/>
      <c r="X210" s="180"/>
      <c r="Y210" s="179"/>
      <c r="AC210" s="179"/>
    </row>
    <row r="211" spans="1:29" s="59" customFormat="1" ht="17.25" customHeight="1">
      <c r="A211" s="59" t="s">
        <v>257</v>
      </c>
      <c r="B211" s="72" t="s">
        <v>531</v>
      </c>
      <c r="C211" s="155" t="s">
        <v>152</v>
      </c>
      <c r="D211" s="58" t="str">
        <f>VLOOKUP(C211,코드!$E$3:$F$30,2,FALSE)</f>
        <v>8701</v>
      </c>
      <c r="E211" s="65" t="s">
        <v>577</v>
      </c>
      <c r="F211" s="65" t="s">
        <v>628</v>
      </c>
      <c r="G211" s="66" t="s">
        <v>649</v>
      </c>
      <c r="H211" s="65" t="s">
        <v>655</v>
      </c>
      <c r="I211" s="65" t="s">
        <v>587</v>
      </c>
      <c r="J211" s="72" t="s">
        <v>130</v>
      </c>
      <c r="K211" s="72" t="s">
        <v>17</v>
      </c>
      <c r="L211" s="58">
        <f>VLOOKUP(K211,코드!$B$3:$C$29,2,FALSE)</f>
        <v>4241130</v>
      </c>
      <c r="M211" s="72" t="s">
        <v>587</v>
      </c>
      <c r="N211" s="79" t="s">
        <v>578</v>
      </c>
      <c r="O211" s="75">
        <v>100000</v>
      </c>
      <c r="P211" s="75">
        <v>1</v>
      </c>
      <c r="Q211" s="75">
        <v>42</v>
      </c>
      <c r="R211" s="75">
        <f t="shared" ref="R211:R219" si="19">O211*P211*Q211</f>
        <v>4200000</v>
      </c>
      <c r="S211" s="75">
        <v>4200000</v>
      </c>
      <c r="T211" s="187">
        <v>1000000</v>
      </c>
      <c r="U211" s="71"/>
      <c r="V211" s="60">
        <f t="shared" si="18"/>
        <v>0.23809523809523808</v>
      </c>
      <c r="W211" s="46"/>
      <c r="X211" s="74"/>
      <c r="Y211" s="46"/>
      <c r="AC211" s="46"/>
    </row>
    <row r="212" spans="1:29" s="59" customFormat="1" ht="17.25" customHeight="1">
      <c r="A212" s="59" t="s">
        <v>257</v>
      </c>
      <c r="B212" s="72" t="s">
        <v>531</v>
      </c>
      <c r="C212" s="155" t="s">
        <v>152</v>
      </c>
      <c r="D212" s="58" t="str">
        <f>VLOOKUP(C212,코드!$E$3:$F$30,2,FALSE)</f>
        <v>8701</v>
      </c>
      <c r="E212" s="65" t="s">
        <v>577</v>
      </c>
      <c r="F212" s="65" t="s">
        <v>628</v>
      </c>
      <c r="G212" s="66" t="s">
        <v>649</v>
      </c>
      <c r="H212" s="65" t="s">
        <v>654</v>
      </c>
      <c r="I212" s="65" t="s">
        <v>587</v>
      </c>
      <c r="J212" s="72" t="s">
        <v>130</v>
      </c>
      <c r="K212" s="72" t="s">
        <v>17</v>
      </c>
      <c r="L212" s="58">
        <f>VLOOKUP(K212,코드!$B$3:$C$29,2,FALSE)</f>
        <v>4241130</v>
      </c>
      <c r="M212" s="72" t="s">
        <v>587</v>
      </c>
      <c r="N212" s="79" t="s">
        <v>578</v>
      </c>
      <c r="O212" s="75">
        <v>250000</v>
      </c>
      <c r="P212" s="75">
        <v>1</v>
      </c>
      <c r="Q212" s="75">
        <v>42</v>
      </c>
      <c r="R212" s="75">
        <f t="shared" si="19"/>
        <v>10500000</v>
      </c>
      <c r="S212" s="75">
        <v>10500000</v>
      </c>
      <c r="T212" s="78">
        <v>0</v>
      </c>
      <c r="U212" s="71"/>
      <c r="V212" s="60">
        <f t="shared" si="18"/>
        <v>0</v>
      </c>
      <c r="W212" s="46"/>
      <c r="X212" s="74"/>
      <c r="Y212" s="46"/>
      <c r="AC212" s="46"/>
    </row>
    <row r="213" spans="1:29" s="59" customFormat="1" ht="17.25" customHeight="1">
      <c r="A213" s="59" t="s">
        <v>257</v>
      </c>
      <c r="B213" s="72" t="s">
        <v>531</v>
      </c>
      <c r="C213" s="155" t="s">
        <v>152</v>
      </c>
      <c r="D213" s="58" t="str">
        <f>VLOOKUP(C213,코드!$E$3:$F$30,2,FALSE)</f>
        <v>8701</v>
      </c>
      <c r="E213" s="65" t="s">
        <v>577</v>
      </c>
      <c r="F213" s="65" t="s">
        <v>628</v>
      </c>
      <c r="G213" s="66" t="s">
        <v>649</v>
      </c>
      <c r="H213" s="65" t="s">
        <v>653</v>
      </c>
      <c r="I213" s="65" t="s">
        <v>587</v>
      </c>
      <c r="J213" s="72" t="s">
        <v>130</v>
      </c>
      <c r="K213" s="72" t="s">
        <v>17</v>
      </c>
      <c r="L213" s="58">
        <f>VLOOKUP(K213,코드!$B$3:$C$29,2,FALSE)</f>
        <v>4241130</v>
      </c>
      <c r="M213" s="72" t="s">
        <v>587</v>
      </c>
      <c r="N213" s="79" t="s">
        <v>578</v>
      </c>
      <c r="O213" s="75">
        <v>200000</v>
      </c>
      <c r="P213" s="75">
        <v>1</v>
      </c>
      <c r="Q213" s="75">
        <v>42</v>
      </c>
      <c r="R213" s="75">
        <f t="shared" si="19"/>
        <v>8400000</v>
      </c>
      <c r="S213" s="75">
        <v>8400000</v>
      </c>
      <c r="T213" s="78">
        <v>0</v>
      </c>
      <c r="U213" s="71"/>
      <c r="V213" s="60">
        <f t="shared" si="18"/>
        <v>0</v>
      </c>
      <c r="W213" s="46"/>
      <c r="X213" s="74"/>
      <c r="Y213" s="46"/>
      <c r="AC213" s="46"/>
    </row>
    <row r="214" spans="1:29" s="59" customFormat="1" ht="17.25" customHeight="1">
      <c r="A214" s="59" t="s">
        <v>257</v>
      </c>
      <c r="B214" s="72" t="s">
        <v>531</v>
      </c>
      <c r="C214" s="155" t="s">
        <v>152</v>
      </c>
      <c r="D214" s="58" t="str">
        <f>VLOOKUP(C214,코드!$E$3:$F$30,2,FALSE)</f>
        <v>8701</v>
      </c>
      <c r="E214" s="65" t="s">
        <v>577</v>
      </c>
      <c r="F214" s="65" t="s">
        <v>628</v>
      </c>
      <c r="G214" s="66" t="s">
        <v>649</v>
      </c>
      <c r="H214" s="65" t="s">
        <v>652</v>
      </c>
      <c r="I214" s="65" t="s">
        <v>587</v>
      </c>
      <c r="J214" s="72" t="s">
        <v>130</v>
      </c>
      <c r="K214" s="72" t="s">
        <v>568</v>
      </c>
      <c r="L214" s="58">
        <f>VLOOKUP(K214,코드!$B$3:$C$29,2,FALSE)</f>
        <v>4241130</v>
      </c>
      <c r="M214" s="72" t="s">
        <v>587</v>
      </c>
      <c r="N214" s="79" t="s">
        <v>578</v>
      </c>
      <c r="O214" s="75">
        <v>100000</v>
      </c>
      <c r="P214" s="75">
        <v>1</v>
      </c>
      <c r="Q214" s="75">
        <v>14</v>
      </c>
      <c r="R214" s="75">
        <f t="shared" si="19"/>
        <v>1400000</v>
      </c>
      <c r="S214" s="75">
        <v>1400000</v>
      </c>
      <c r="T214" s="78">
        <v>0</v>
      </c>
      <c r="U214" s="71"/>
      <c r="V214" s="60">
        <f t="shared" si="18"/>
        <v>0</v>
      </c>
      <c r="W214" s="46"/>
      <c r="X214" s="74"/>
      <c r="Y214" s="46"/>
      <c r="AC214" s="46"/>
    </row>
    <row r="215" spans="1:29" s="59" customFormat="1" ht="17.25" customHeight="1">
      <c r="A215" s="59" t="s">
        <v>257</v>
      </c>
      <c r="B215" s="72" t="s">
        <v>531</v>
      </c>
      <c r="C215" s="155" t="s">
        <v>152</v>
      </c>
      <c r="D215" s="58" t="str">
        <f>VLOOKUP(C215,코드!$E$3:$F$30,2,FALSE)</f>
        <v>8701</v>
      </c>
      <c r="E215" s="65" t="s">
        <v>577</v>
      </c>
      <c r="F215" s="65" t="s">
        <v>628</v>
      </c>
      <c r="G215" s="66" t="s">
        <v>649</v>
      </c>
      <c r="H215" s="65" t="s">
        <v>651</v>
      </c>
      <c r="I215" s="65" t="s">
        <v>650</v>
      </c>
      <c r="J215" s="72" t="s">
        <v>42</v>
      </c>
      <c r="K215" s="72" t="s">
        <v>9</v>
      </c>
      <c r="L215" s="58">
        <f>VLOOKUP(K215,코드!$B$3:$C$29,2,FALSE)</f>
        <v>4321701</v>
      </c>
      <c r="M215" s="72" t="s">
        <v>587</v>
      </c>
      <c r="N215" s="79" t="s">
        <v>578</v>
      </c>
      <c r="O215" s="75">
        <v>1000000</v>
      </c>
      <c r="P215" s="75">
        <v>1</v>
      </c>
      <c r="Q215" s="75">
        <v>1</v>
      </c>
      <c r="R215" s="75">
        <f t="shared" si="19"/>
        <v>1000000</v>
      </c>
      <c r="S215" s="75">
        <v>1000000</v>
      </c>
      <c r="T215" s="165">
        <v>0</v>
      </c>
      <c r="U215" s="71"/>
      <c r="V215" s="145">
        <f t="shared" si="18"/>
        <v>0</v>
      </c>
      <c r="W215" s="73"/>
      <c r="X215" s="74"/>
      <c r="Y215" s="73"/>
      <c r="AC215" s="73"/>
    </row>
    <row r="216" spans="1:29" s="59" customFormat="1" ht="17.25" customHeight="1">
      <c r="A216" s="59" t="s">
        <v>257</v>
      </c>
      <c r="B216" s="72" t="s">
        <v>531</v>
      </c>
      <c r="C216" s="155" t="s">
        <v>152</v>
      </c>
      <c r="D216" s="58" t="str">
        <f>VLOOKUP(C216,코드!$E$3:$F$30,2,FALSE)</f>
        <v>8701</v>
      </c>
      <c r="E216" s="65" t="s">
        <v>577</v>
      </c>
      <c r="F216" s="65" t="s">
        <v>628</v>
      </c>
      <c r="G216" s="66" t="s">
        <v>649</v>
      </c>
      <c r="H216" s="65" t="s">
        <v>648</v>
      </c>
      <c r="I216" s="65" t="s">
        <v>129</v>
      </c>
      <c r="J216" s="72" t="s">
        <v>130</v>
      </c>
      <c r="K216" s="72" t="s">
        <v>17</v>
      </c>
      <c r="L216" s="58">
        <f>VLOOKUP(K216,코드!$B$3:$C$29,2,FALSE)</f>
        <v>4241130</v>
      </c>
      <c r="M216" s="72" t="s">
        <v>129</v>
      </c>
      <c r="N216" s="79" t="s">
        <v>578</v>
      </c>
      <c r="O216" s="75">
        <v>800000</v>
      </c>
      <c r="P216" s="75">
        <v>1</v>
      </c>
      <c r="Q216" s="75">
        <v>1</v>
      </c>
      <c r="R216" s="75">
        <f t="shared" si="19"/>
        <v>800000</v>
      </c>
      <c r="S216" s="75">
        <v>800000</v>
      </c>
      <c r="T216" s="78">
        <v>800000</v>
      </c>
      <c r="U216" s="71"/>
      <c r="V216" s="60">
        <f t="shared" si="18"/>
        <v>1</v>
      </c>
      <c r="W216" s="46"/>
      <c r="X216" s="74"/>
      <c r="Y216" s="46"/>
      <c r="AC216" s="46"/>
    </row>
    <row r="217" spans="1:29" s="59" customFormat="1" ht="17.25" customHeight="1">
      <c r="A217" s="59" t="s">
        <v>257</v>
      </c>
      <c r="B217" s="72" t="s">
        <v>531</v>
      </c>
      <c r="C217" s="155" t="s">
        <v>605</v>
      </c>
      <c r="D217" s="58" t="str">
        <f>VLOOKUP(C217,코드!$E$3:$F$30,2,FALSE)</f>
        <v>8701</v>
      </c>
      <c r="E217" s="65" t="s">
        <v>577</v>
      </c>
      <c r="F217" s="65" t="s">
        <v>647</v>
      </c>
      <c r="G217" s="66" t="s">
        <v>638</v>
      </c>
      <c r="H217" s="65" t="s">
        <v>646</v>
      </c>
      <c r="I217" s="65" t="s">
        <v>645</v>
      </c>
      <c r="J217" s="72" t="s">
        <v>130</v>
      </c>
      <c r="K217" s="72" t="s">
        <v>17</v>
      </c>
      <c r="L217" s="58">
        <f>VLOOKUP(K217,코드!$B$3:$C$29,2,FALSE)</f>
        <v>4241130</v>
      </c>
      <c r="M217" s="72" t="s">
        <v>262</v>
      </c>
      <c r="N217" s="79" t="s">
        <v>578</v>
      </c>
      <c r="O217" s="193">
        <v>30000</v>
      </c>
      <c r="P217" s="193">
        <v>20</v>
      </c>
      <c r="Q217" s="193">
        <v>5</v>
      </c>
      <c r="R217" s="75">
        <f t="shared" si="19"/>
        <v>3000000</v>
      </c>
      <c r="S217" s="75">
        <v>3000000</v>
      </c>
      <c r="T217" s="187">
        <v>3000000</v>
      </c>
      <c r="U217" s="185" t="s">
        <v>542</v>
      </c>
      <c r="V217" s="60">
        <f t="shared" si="18"/>
        <v>1</v>
      </c>
      <c r="W217" s="46"/>
      <c r="X217" s="74"/>
      <c r="Y217" s="46"/>
      <c r="AC217" s="46"/>
    </row>
    <row r="218" spans="1:29" s="59" customFormat="1" ht="17.25" customHeight="1">
      <c r="A218" s="59" t="s">
        <v>257</v>
      </c>
      <c r="B218" s="72" t="s">
        <v>531</v>
      </c>
      <c r="C218" s="155" t="s">
        <v>605</v>
      </c>
      <c r="D218" s="58" t="str">
        <f>VLOOKUP(C218,코드!$E$3:$F$30,2,FALSE)</f>
        <v>8701</v>
      </c>
      <c r="E218" s="65" t="s">
        <v>577</v>
      </c>
      <c r="F218" s="65" t="s">
        <v>628</v>
      </c>
      <c r="G218" s="66" t="s">
        <v>638</v>
      </c>
      <c r="H218" s="65" t="s">
        <v>637</v>
      </c>
      <c r="I218" s="65" t="s">
        <v>644</v>
      </c>
      <c r="J218" s="72" t="s">
        <v>130</v>
      </c>
      <c r="K218" s="72" t="s">
        <v>29</v>
      </c>
      <c r="L218" s="58">
        <f>VLOOKUP(K218,코드!$B$3:$C$29,2,FALSE)</f>
        <v>4113401</v>
      </c>
      <c r="M218" s="72" t="s">
        <v>356</v>
      </c>
      <c r="N218" s="79" t="s">
        <v>578</v>
      </c>
      <c r="O218" s="193">
        <v>200000</v>
      </c>
      <c r="P218" s="193">
        <v>1</v>
      </c>
      <c r="Q218" s="193">
        <v>3</v>
      </c>
      <c r="R218" s="75">
        <f t="shared" si="19"/>
        <v>600000</v>
      </c>
      <c r="S218" s="75">
        <v>600000</v>
      </c>
      <c r="T218" s="187">
        <v>400000</v>
      </c>
      <c r="U218" s="185" t="s">
        <v>542</v>
      </c>
      <c r="V218" s="60">
        <f t="shared" si="18"/>
        <v>0.66666666666666663</v>
      </c>
      <c r="W218" s="46"/>
      <c r="X218" s="74"/>
      <c r="Y218" s="46"/>
      <c r="AC218" s="46"/>
    </row>
    <row r="219" spans="1:29" s="59" customFormat="1" ht="17.25" customHeight="1">
      <c r="A219" s="59" t="s">
        <v>257</v>
      </c>
      <c r="B219" s="72" t="s">
        <v>531</v>
      </c>
      <c r="C219" s="155" t="s">
        <v>605</v>
      </c>
      <c r="D219" s="58" t="str">
        <f>VLOOKUP(C219,코드!$E$3:$F$30,2,FALSE)</f>
        <v>8701</v>
      </c>
      <c r="E219" s="65" t="s">
        <v>577</v>
      </c>
      <c r="F219" s="65" t="s">
        <v>628</v>
      </c>
      <c r="G219" s="66" t="s">
        <v>638</v>
      </c>
      <c r="H219" s="65" t="s">
        <v>637</v>
      </c>
      <c r="I219" s="65" t="s">
        <v>643</v>
      </c>
      <c r="J219" s="72" t="s">
        <v>130</v>
      </c>
      <c r="K219" s="72" t="s">
        <v>28</v>
      </c>
      <c r="L219" s="58">
        <f>VLOOKUP(K219,코드!$B$3:$C$29,2,FALSE)</f>
        <v>4116101</v>
      </c>
      <c r="M219" s="72" t="s">
        <v>356</v>
      </c>
      <c r="N219" s="79" t="s">
        <v>578</v>
      </c>
      <c r="O219" s="193">
        <v>500000</v>
      </c>
      <c r="P219" s="193">
        <v>1</v>
      </c>
      <c r="Q219" s="193">
        <v>6</v>
      </c>
      <c r="R219" s="75">
        <f t="shared" si="19"/>
        <v>3000000</v>
      </c>
      <c r="S219" s="75">
        <v>3000000</v>
      </c>
      <c r="T219" s="187">
        <v>1500000</v>
      </c>
      <c r="U219" s="185" t="s">
        <v>542</v>
      </c>
      <c r="V219" s="60">
        <f t="shared" si="18"/>
        <v>0.5</v>
      </c>
      <c r="W219" s="46"/>
      <c r="X219" s="74"/>
      <c r="Y219" s="46"/>
      <c r="AC219" s="46"/>
    </row>
    <row r="220" spans="1:29" s="59" customFormat="1" ht="17.25" customHeight="1">
      <c r="A220" s="59" t="s">
        <v>257</v>
      </c>
      <c r="B220" s="72"/>
      <c r="C220" s="155"/>
      <c r="D220" s="58"/>
      <c r="E220" s="65"/>
      <c r="F220" s="65"/>
      <c r="G220" s="66"/>
      <c r="H220" s="65"/>
      <c r="I220" s="192" t="s">
        <v>1068</v>
      </c>
      <c r="J220" s="72"/>
      <c r="K220" s="72"/>
      <c r="L220" s="58"/>
      <c r="M220" s="72"/>
      <c r="N220" s="79"/>
      <c r="O220" s="193"/>
      <c r="P220" s="193"/>
      <c r="Q220" s="193"/>
      <c r="R220" s="75"/>
      <c r="S220" s="75"/>
      <c r="T220" s="187"/>
      <c r="U220" s="185"/>
      <c r="V220" s="60" t="s">
        <v>126</v>
      </c>
      <c r="W220" s="46"/>
      <c r="X220" s="74"/>
      <c r="Y220" s="46"/>
      <c r="AC220" s="46"/>
    </row>
    <row r="221" spans="1:29" s="178" customFormat="1" ht="17.25" customHeight="1">
      <c r="A221" s="59" t="s">
        <v>257</v>
      </c>
      <c r="B221" s="72" t="s">
        <v>531</v>
      </c>
      <c r="C221" s="155" t="s">
        <v>605</v>
      </c>
      <c r="D221" s="58" t="str">
        <f>VLOOKUP(C221,코드!$E$3:$F$30,2,FALSE)</f>
        <v>8701</v>
      </c>
      <c r="E221" s="65" t="s">
        <v>577</v>
      </c>
      <c r="F221" s="65" t="s">
        <v>628</v>
      </c>
      <c r="G221" s="66" t="s">
        <v>638</v>
      </c>
      <c r="H221" s="65" t="s">
        <v>637</v>
      </c>
      <c r="I221" s="65" t="s">
        <v>642</v>
      </c>
      <c r="J221" s="72" t="s">
        <v>130</v>
      </c>
      <c r="K221" s="72" t="s">
        <v>17</v>
      </c>
      <c r="L221" s="58">
        <f>VLOOKUP(K221,코드!$B$3:$C$29,2,FALSE)</f>
        <v>4241130</v>
      </c>
      <c r="M221" s="72" t="s">
        <v>262</v>
      </c>
      <c r="N221" s="79" t="s">
        <v>578</v>
      </c>
      <c r="O221" s="193">
        <v>400000</v>
      </c>
      <c r="P221" s="193">
        <v>1</v>
      </c>
      <c r="Q221" s="193">
        <v>3</v>
      </c>
      <c r="R221" s="75">
        <f>O221*P221*Q221</f>
        <v>1200000</v>
      </c>
      <c r="S221" s="75">
        <v>1200000</v>
      </c>
      <c r="T221" s="187">
        <v>800000</v>
      </c>
      <c r="U221" s="185" t="s">
        <v>542</v>
      </c>
      <c r="V221" s="60">
        <f t="shared" ref="V221:V259" si="20">T221/R221</f>
        <v>0.66666666666666663</v>
      </c>
      <c r="W221" s="179"/>
      <c r="X221" s="180"/>
      <c r="Y221" s="179"/>
      <c r="AC221" s="179"/>
    </row>
    <row r="222" spans="1:29" s="59" customFormat="1" ht="17.25" customHeight="1">
      <c r="A222" s="59" t="s">
        <v>257</v>
      </c>
      <c r="B222" s="72" t="s">
        <v>531</v>
      </c>
      <c r="C222" s="155" t="s">
        <v>605</v>
      </c>
      <c r="D222" s="58" t="str">
        <f>VLOOKUP(C222,코드!$E$3:$F$30,2,FALSE)</f>
        <v>8701</v>
      </c>
      <c r="E222" s="65" t="s">
        <v>577</v>
      </c>
      <c r="F222" s="65" t="s">
        <v>628</v>
      </c>
      <c r="G222" s="66" t="s">
        <v>638</v>
      </c>
      <c r="H222" s="65" t="s">
        <v>637</v>
      </c>
      <c r="I222" s="65" t="s">
        <v>641</v>
      </c>
      <c r="J222" s="72" t="s">
        <v>130</v>
      </c>
      <c r="K222" s="72" t="s">
        <v>179</v>
      </c>
      <c r="L222" s="58">
        <f>VLOOKUP(K222,코드!$B$3:$C$29,2,FALSE)</f>
        <v>4233201</v>
      </c>
      <c r="M222" s="72" t="s">
        <v>266</v>
      </c>
      <c r="N222" s="79" t="s">
        <v>578</v>
      </c>
      <c r="O222" s="193">
        <v>5500000</v>
      </c>
      <c r="P222" s="193">
        <v>1</v>
      </c>
      <c r="Q222" s="193">
        <v>1</v>
      </c>
      <c r="R222" s="160">
        <v>9500000</v>
      </c>
      <c r="S222" s="75">
        <v>9500000</v>
      </c>
      <c r="T222" s="187">
        <v>5500000</v>
      </c>
      <c r="U222" s="185" t="s">
        <v>542</v>
      </c>
      <c r="V222" s="60">
        <f t="shared" si="20"/>
        <v>0.57894736842105265</v>
      </c>
      <c r="W222" s="46"/>
      <c r="X222" s="74"/>
      <c r="Y222" s="46"/>
      <c r="AC222" s="46"/>
    </row>
    <row r="223" spans="1:29" s="59" customFormat="1" ht="17.25" customHeight="1">
      <c r="A223" s="59" t="s">
        <v>257</v>
      </c>
      <c r="B223" s="72" t="s">
        <v>531</v>
      </c>
      <c r="C223" s="155" t="s">
        <v>605</v>
      </c>
      <c r="D223" s="58" t="str">
        <f>VLOOKUP(C223,코드!$E$3:$F$30,2,FALSE)</f>
        <v>8701</v>
      </c>
      <c r="E223" s="65" t="s">
        <v>577</v>
      </c>
      <c r="F223" s="65" t="s">
        <v>628</v>
      </c>
      <c r="G223" s="66" t="s">
        <v>638</v>
      </c>
      <c r="H223" s="65" t="s">
        <v>637</v>
      </c>
      <c r="I223" s="65" t="s">
        <v>640</v>
      </c>
      <c r="J223" s="72" t="s">
        <v>130</v>
      </c>
      <c r="K223" s="72" t="s">
        <v>29</v>
      </c>
      <c r="L223" s="58">
        <f>VLOOKUP(K223,코드!$B$3:$C$29,2,FALSE)</f>
        <v>4113401</v>
      </c>
      <c r="M223" s="72" t="s">
        <v>420</v>
      </c>
      <c r="N223" s="79" t="s">
        <v>578</v>
      </c>
      <c r="O223" s="193">
        <v>100000</v>
      </c>
      <c r="P223" s="193">
        <v>12</v>
      </c>
      <c r="Q223" s="193">
        <v>3</v>
      </c>
      <c r="R223" s="75">
        <f>O223*P223*Q223</f>
        <v>3600000</v>
      </c>
      <c r="S223" s="75">
        <v>3600000</v>
      </c>
      <c r="T223" s="187">
        <v>3600000</v>
      </c>
      <c r="U223" s="185" t="s">
        <v>542</v>
      </c>
      <c r="V223" s="60">
        <f t="shared" si="20"/>
        <v>1</v>
      </c>
      <c r="W223" s="46"/>
      <c r="X223" s="74"/>
      <c r="Y223" s="46"/>
      <c r="AC223" s="46"/>
    </row>
    <row r="224" spans="1:29" s="59" customFormat="1" ht="17.25" customHeight="1">
      <c r="A224" s="59" t="s">
        <v>257</v>
      </c>
      <c r="B224" s="72" t="s">
        <v>531</v>
      </c>
      <c r="C224" s="155" t="s">
        <v>605</v>
      </c>
      <c r="D224" s="58" t="str">
        <f>VLOOKUP(C224,코드!$E$3:$F$30,2,FALSE)</f>
        <v>8701</v>
      </c>
      <c r="E224" s="65" t="s">
        <v>577</v>
      </c>
      <c r="F224" s="65" t="s">
        <v>628</v>
      </c>
      <c r="G224" s="66" t="s">
        <v>638</v>
      </c>
      <c r="H224" s="65" t="s">
        <v>637</v>
      </c>
      <c r="I224" s="65" t="s">
        <v>639</v>
      </c>
      <c r="J224" s="72" t="s">
        <v>130</v>
      </c>
      <c r="K224" s="72" t="s">
        <v>17</v>
      </c>
      <c r="L224" s="58">
        <f>VLOOKUP(K224,코드!$B$3:$C$29,2,FALSE)</f>
        <v>4241130</v>
      </c>
      <c r="M224" s="72" t="s">
        <v>262</v>
      </c>
      <c r="N224" s="79" t="s">
        <v>578</v>
      </c>
      <c r="O224" s="193">
        <v>30000</v>
      </c>
      <c r="P224" s="193">
        <v>10</v>
      </c>
      <c r="Q224" s="193">
        <v>20</v>
      </c>
      <c r="R224" s="160">
        <v>3000000</v>
      </c>
      <c r="S224" s="75">
        <v>3000000</v>
      </c>
      <c r="T224" s="187">
        <v>3000000</v>
      </c>
      <c r="U224" s="185" t="s">
        <v>542</v>
      </c>
      <c r="V224" s="60">
        <f t="shared" si="20"/>
        <v>1</v>
      </c>
      <c r="W224" s="46"/>
      <c r="X224" s="74"/>
      <c r="Y224" s="46"/>
      <c r="AC224" s="46"/>
    </row>
    <row r="225" spans="1:29" s="178" customFormat="1" ht="17.25" customHeight="1">
      <c r="A225" s="59" t="s">
        <v>257</v>
      </c>
      <c r="B225" s="72" t="s">
        <v>531</v>
      </c>
      <c r="C225" s="155" t="s">
        <v>605</v>
      </c>
      <c r="D225" s="58" t="str">
        <f>VLOOKUP(C225,코드!$E$3:$F$30,2,FALSE)</f>
        <v>8701</v>
      </c>
      <c r="E225" s="65" t="s">
        <v>577</v>
      </c>
      <c r="F225" s="65" t="s">
        <v>628</v>
      </c>
      <c r="G225" s="66" t="s">
        <v>638</v>
      </c>
      <c r="H225" s="65" t="s">
        <v>637</v>
      </c>
      <c r="I225" s="65" t="s">
        <v>636</v>
      </c>
      <c r="J225" s="72" t="s">
        <v>130</v>
      </c>
      <c r="K225" s="72" t="s">
        <v>17</v>
      </c>
      <c r="L225" s="58">
        <f>VLOOKUP(K225,코드!$B$3:$C$29,2,FALSE)</f>
        <v>4241130</v>
      </c>
      <c r="M225" s="72" t="s">
        <v>262</v>
      </c>
      <c r="N225" s="79" t="s">
        <v>578</v>
      </c>
      <c r="O225" s="193">
        <v>30000</v>
      </c>
      <c r="P225" s="193">
        <v>20</v>
      </c>
      <c r="Q225" s="193">
        <v>4</v>
      </c>
      <c r="R225" s="75">
        <f>O225*P225*Q225</f>
        <v>2400000</v>
      </c>
      <c r="S225" s="75">
        <v>2400000</v>
      </c>
      <c r="T225" s="187">
        <v>1500000</v>
      </c>
      <c r="U225" s="185" t="s">
        <v>542</v>
      </c>
      <c r="V225" s="60">
        <f t="shared" si="20"/>
        <v>0.625</v>
      </c>
      <c r="W225" s="179"/>
      <c r="X225" s="180"/>
      <c r="Y225" s="179"/>
      <c r="AC225" s="179"/>
    </row>
    <row r="226" spans="1:29" s="178" customFormat="1" ht="17.25" customHeight="1">
      <c r="A226" s="59" t="s">
        <v>257</v>
      </c>
      <c r="B226" s="72" t="s">
        <v>531</v>
      </c>
      <c r="C226" s="155" t="s">
        <v>605</v>
      </c>
      <c r="D226" s="58" t="str">
        <f>VLOOKUP(C226,코드!$E$3:$F$30,2,FALSE)</f>
        <v>8701</v>
      </c>
      <c r="E226" s="65" t="s">
        <v>577</v>
      </c>
      <c r="F226" s="65" t="s">
        <v>628</v>
      </c>
      <c r="G226" s="66" t="s">
        <v>627</v>
      </c>
      <c r="H226" s="65" t="s">
        <v>635</v>
      </c>
      <c r="I226" s="65" t="s">
        <v>634</v>
      </c>
      <c r="J226" s="72" t="s">
        <v>130</v>
      </c>
      <c r="K226" s="72" t="s">
        <v>17</v>
      </c>
      <c r="L226" s="58">
        <f>VLOOKUP(K226,코드!$B$3:$C$29,2,FALSE)</f>
        <v>4241130</v>
      </c>
      <c r="M226" s="72" t="s">
        <v>262</v>
      </c>
      <c r="N226" s="79" t="s">
        <v>578</v>
      </c>
      <c r="O226" s="193"/>
      <c r="P226" s="193"/>
      <c r="Q226" s="193"/>
      <c r="R226" s="75">
        <f>O226*P226*Q226</f>
        <v>0</v>
      </c>
      <c r="S226" s="75">
        <v>0</v>
      </c>
      <c r="T226" s="194">
        <v>0</v>
      </c>
      <c r="U226" s="87"/>
      <c r="V226" s="60" t="e">
        <f t="shared" si="20"/>
        <v>#DIV/0!</v>
      </c>
      <c r="W226" s="179"/>
      <c r="X226" s="180"/>
      <c r="Y226" s="179"/>
      <c r="AC226" s="179"/>
    </row>
    <row r="227" spans="1:29" s="59" customFormat="1" ht="17.25" customHeight="1">
      <c r="A227" s="59" t="s">
        <v>257</v>
      </c>
      <c r="B227" s="72" t="s">
        <v>531</v>
      </c>
      <c r="C227" s="155" t="s">
        <v>605</v>
      </c>
      <c r="D227" s="58" t="str">
        <f>VLOOKUP(C227,코드!$E$3:$F$30,2,FALSE)</f>
        <v>8701</v>
      </c>
      <c r="E227" s="65" t="s">
        <v>577</v>
      </c>
      <c r="F227" s="65" t="s">
        <v>628</v>
      </c>
      <c r="G227" s="66" t="s">
        <v>627</v>
      </c>
      <c r="H227" s="65" t="s">
        <v>632</v>
      </c>
      <c r="I227" s="65" t="s">
        <v>633</v>
      </c>
      <c r="J227" s="72" t="s">
        <v>130</v>
      </c>
      <c r="K227" s="72" t="s">
        <v>28</v>
      </c>
      <c r="L227" s="141">
        <f>VLOOKUP(K227,코드!$B$3:$C$29,2,FALSE)</f>
        <v>4116101</v>
      </c>
      <c r="M227" s="72" t="s">
        <v>356</v>
      </c>
      <c r="N227" s="79" t="s">
        <v>578</v>
      </c>
      <c r="O227" s="193">
        <v>600000</v>
      </c>
      <c r="P227" s="193">
        <v>1</v>
      </c>
      <c r="Q227" s="193">
        <v>3</v>
      </c>
      <c r="R227" s="75">
        <v>1200000</v>
      </c>
      <c r="S227" s="75">
        <v>1200000</v>
      </c>
      <c r="T227" s="162">
        <v>1200000</v>
      </c>
      <c r="U227" s="185" t="s">
        <v>542</v>
      </c>
      <c r="V227" s="60">
        <f t="shared" si="20"/>
        <v>1</v>
      </c>
      <c r="W227" s="46"/>
      <c r="X227" s="74"/>
      <c r="Y227" s="46"/>
      <c r="AC227" s="46"/>
    </row>
    <row r="228" spans="1:29" s="59" customFormat="1" ht="17.25" customHeight="1">
      <c r="A228" s="59" t="s">
        <v>257</v>
      </c>
      <c r="B228" s="72" t="s">
        <v>531</v>
      </c>
      <c r="C228" s="155" t="s">
        <v>605</v>
      </c>
      <c r="D228" s="58" t="str">
        <f>VLOOKUP(C228,코드!$E$3:$F$30,2,FALSE)</f>
        <v>8701</v>
      </c>
      <c r="E228" s="65" t="s">
        <v>577</v>
      </c>
      <c r="F228" s="65" t="s">
        <v>628</v>
      </c>
      <c r="G228" s="66" t="s">
        <v>627</v>
      </c>
      <c r="H228" s="65" t="s">
        <v>632</v>
      </c>
      <c r="I228" s="65" t="s">
        <v>631</v>
      </c>
      <c r="J228" s="72" t="s">
        <v>130</v>
      </c>
      <c r="K228" s="72" t="s">
        <v>17</v>
      </c>
      <c r="L228" s="58">
        <f>VLOOKUP(K228,코드!$B$3:$C$29,2,FALSE)</f>
        <v>4241130</v>
      </c>
      <c r="M228" s="72" t="s">
        <v>262</v>
      </c>
      <c r="N228" s="79" t="s">
        <v>578</v>
      </c>
      <c r="O228" s="193">
        <v>30000</v>
      </c>
      <c r="P228" s="193">
        <v>10</v>
      </c>
      <c r="Q228" s="193">
        <v>3</v>
      </c>
      <c r="R228" s="160">
        <v>449300</v>
      </c>
      <c r="S228" s="75">
        <v>449300</v>
      </c>
      <c r="T228" s="162">
        <v>449300</v>
      </c>
      <c r="U228" s="185" t="s">
        <v>542</v>
      </c>
      <c r="V228" s="60">
        <f t="shared" si="20"/>
        <v>1</v>
      </c>
      <c r="W228" s="46"/>
      <c r="X228" s="74"/>
      <c r="Y228" s="46"/>
      <c r="AC228" s="46"/>
    </row>
    <row r="229" spans="1:29" s="59" customFormat="1" ht="17.25" customHeight="1">
      <c r="A229" s="59" t="s">
        <v>257</v>
      </c>
      <c r="B229" s="72" t="s">
        <v>531</v>
      </c>
      <c r="C229" s="155" t="s">
        <v>605</v>
      </c>
      <c r="D229" s="58" t="str">
        <f>VLOOKUP(C229,코드!$E$3:$F$30,2,FALSE)</f>
        <v>8701</v>
      </c>
      <c r="E229" s="65" t="s">
        <v>577</v>
      </c>
      <c r="F229" s="65" t="s">
        <v>628</v>
      </c>
      <c r="G229" s="66" t="s">
        <v>627</v>
      </c>
      <c r="H229" s="65" t="s">
        <v>630</v>
      </c>
      <c r="I229" s="65" t="s">
        <v>629</v>
      </c>
      <c r="J229" s="72" t="s">
        <v>130</v>
      </c>
      <c r="K229" s="72" t="s">
        <v>17</v>
      </c>
      <c r="L229" s="58">
        <f>VLOOKUP(K229,코드!$B$3:$C$29,2,FALSE)</f>
        <v>4241130</v>
      </c>
      <c r="M229" s="72" t="s">
        <v>356</v>
      </c>
      <c r="N229" s="79" t="s">
        <v>578</v>
      </c>
      <c r="O229" s="193">
        <v>200000</v>
      </c>
      <c r="P229" s="193">
        <v>1</v>
      </c>
      <c r="Q229" s="193">
        <v>5</v>
      </c>
      <c r="R229" s="75">
        <f>O229*P229*Q229</f>
        <v>1000000</v>
      </c>
      <c r="S229" s="75">
        <v>1000000</v>
      </c>
      <c r="T229" s="78">
        <v>1000000</v>
      </c>
      <c r="U229" s="185" t="s">
        <v>542</v>
      </c>
      <c r="V229" s="60">
        <f t="shared" si="20"/>
        <v>1</v>
      </c>
      <c r="W229" s="46"/>
      <c r="X229" s="74"/>
      <c r="Y229" s="46"/>
      <c r="AC229" s="46"/>
    </row>
    <row r="230" spans="1:29" s="59" customFormat="1" ht="17.25" customHeight="1">
      <c r="A230" s="59" t="s">
        <v>257</v>
      </c>
      <c r="B230" s="72" t="s">
        <v>531</v>
      </c>
      <c r="C230" s="155" t="s">
        <v>605</v>
      </c>
      <c r="D230" s="58" t="str">
        <f>VLOOKUP(C230,코드!$E$3:$F$30,2,FALSE)</f>
        <v>8701</v>
      </c>
      <c r="E230" s="65" t="s">
        <v>577</v>
      </c>
      <c r="F230" s="65" t="s">
        <v>628</v>
      </c>
      <c r="G230" s="66" t="s">
        <v>627</v>
      </c>
      <c r="H230" s="65" t="s">
        <v>626</v>
      </c>
      <c r="I230" s="65" t="s">
        <v>625</v>
      </c>
      <c r="J230" s="72" t="s">
        <v>130</v>
      </c>
      <c r="K230" s="72" t="s">
        <v>17</v>
      </c>
      <c r="L230" s="58">
        <f>VLOOKUP(K230,코드!$B$3:$C$29,2,FALSE)</f>
        <v>4241130</v>
      </c>
      <c r="M230" s="72" t="s">
        <v>262</v>
      </c>
      <c r="N230" s="79" t="s">
        <v>578</v>
      </c>
      <c r="O230" s="193">
        <v>200000</v>
      </c>
      <c r="P230" s="193">
        <v>1</v>
      </c>
      <c r="Q230" s="193">
        <v>2</v>
      </c>
      <c r="R230" s="75">
        <f>O230*P230*Q230</f>
        <v>400000</v>
      </c>
      <c r="S230" s="75">
        <v>400000</v>
      </c>
      <c r="T230" s="78">
        <v>400000</v>
      </c>
      <c r="U230" s="185" t="s">
        <v>542</v>
      </c>
      <c r="V230" s="60">
        <f t="shared" si="20"/>
        <v>1</v>
      </c>
      <c r="W230" s="46"/>
      <c r="X230" s="74"/>
      <c r="Y230" s="46"/>
      <c r="AC230" s="46"/>
    </row>
    <row r="231" spans="1:29" s="59" customFormat="1" ht="17.25" customHeight="1">
      <c r="A231" s="59" t="s">
        <v>257</v>
      </c>
      <c r="B231" s="72" t="s">
        <v>531</v>
      </c>
      <c r="C231" s="155" t="s">
        <v>605</v>
      </c>
      <c r="D231" s="58" t="str">
        <f>VLOOKUP(C231,코드!$E$3:$F$30,2,FALSE)</f>
        <v>8701</v>
      </c>
      <c r="E231" s="65" t="s">
        <v>577</v>
      </c>
      <c r="F231" s="65" t="s">
        <v>601</v>
      </c>
      <c r="G231" s="66" t="s">
        <v>604</v>
      </c>
      <c r="H231" s="65" t="s">
        <v>624</v>
      </c>
      <c r="I231" s="65" t="s">
        <v>623</v>
      </c>
      <c r="J231" s="72" t="s">
        <v>60</v>
      </c>
      <c r="K231" s="72" t="s">
        <v>17</v>
      </c>
      <c r="L231" s="58">
        <f>VLOOKUP(K231,코드!$B$3:$C$29,2,FALSE)</f>
        <v>4241130</v>
      </c>
      <c r="M231" s="176" t="s">
        <v>107</v>
      </c>
      <c r="N231" s="79" t="s">
        <v>578</v>
      </c>
      <c r="O231" s="75">
        <v>35000</v>
      </c>
      <c r="P231" s="75">
        <v>200</v>
      </c>
      <c r="Q231" s="75">
        <v>2</v>
      </c>
      <c r="R231" s="160">
        <v>24000000</v>
      </c>
      <c r="S231" s="75">
        <v>24000000</v>
      </c>
      <c r="T231" s="165">
        <f>7000000+7000000</f>
        <v>14000000</v>
      </c>
      <c r="U231" s="185" t="s">
        <v>542</v>
      </c>
      <c r="V231" s="60">
        <f t="shared" si="20"/>
        <v>0.58333333333333337</v>
      </c>
      <c r="W231" s="46"/>
      <c r="X231" s="16"/>
      <c r="Y231" s="46"/>
      <c r="AC231" s="46"/>
    </row>
    <row r="232" spans="1:29" s="59" customFormat="1" ht="17.25" customHeight="1">
      <c r="A232" s="59" t="s">
        <v>257</v>
      </c>
      <c r="B232" s="72" t="s">
        <v>531</v>
      </c>
      <c r="C232" s="155" t="s">
        <v>605</v>
      </c>
      <c r="D232" s="58" t="str">
        <f>VLOOKUP(C232,코드!$E$3:$F$30,2,FALSE)</f>
        <v>8701</v>
      </c>
      <c r="E232" s="65" t="s">
        <v>577</v>
      </c>
      <c r="F232" s="65" t="s">
        <v>601</v>
      </c>
      <c r="G232" s="66" t="s">
        <v>604</v>
      </c>
      <c r="H232" s="65" t="s">
        <v>620</v>
      </c>
      <c r="I232" s="65" t="s">
        <v>622</v>
      </c>
      <c r="J232" s="72" t="s">
        <v>60</v>
      </c>
      <c r="K232" s="72" t="s">
        <v>28</v>
      </c>
      <c r="L232" s="58">
        <f>VLOOKUP(K232,코드!$B$3:$C$29,2,FALSE)</f>
        <v>4116101</v>
      </c>
      <c r="M232" s="176" t="s">
        <v>356</v>
      </c>
      <c r="N232" s="177" t="s">
        <v>578</v>
      </c>
      <c r="O232" s="75">
        <v>300000</v>
      </c>
      <c r="P232" s="75">
        <v>1</v>
      </c>
      <c r="Q232" s="75">
        <v>2</v>
      </c>
      <c r="R232" s="257">
        <v>500000</v>
      </c>
      <c r="S232" s="75">
        <v>600000</v>
      </c>
      <c r="T232" s="162">
        <v>0</v>
      </c>
      <c r="U232" s="71" t="s">
        <v>378</v>
      </c>
      <c r="V232" s="60">
        <f t="shared" si="20"/>
        <v>0</v>
      </c>
      <c r="W232" s="46"/>
      <c r="X232" s="74"/>
      <c r="Y232" s="46"/>
      <c r="AC232" s="46"/>
    </row>
    <row r="233" spans="1:29" s="59" customFormat="1" ht="17.25" customHeight="1">
      <c r="A233" s="59" t="s">
        <v>257</v>
      </c>
      <c r="B233" s="72" t="s">
        <v>531</v>
      </c>
      <c r="C233" s="155" t="s">
        <v>605</v>
      </c>
      <c r="D233" s="58" t="str">
        <f>VLOOKUP(C233,코드!$E$3:$F$30,2,FALSE)</f>
        <v>8701</v>
      </c>
      <c r="E233" s="65" t="s">
        <v>577</v>
      </c>
      <c r="F233" s="65" t="s">
        <v>601</v>
      </c>
      <c r="G233" s="66" t="s">
        <v>604</v>
      </c>
      <c r="H233" s="65" t="s">
        <v>620</v>
      </c>
      <c r="I233" s="65" t="s">
        <v>621</v>
      </c>
      <c r="J233" s="72" t="s">
        <v>60</v>
      </c>
      <c r="K233" s="72" t="s">
        <v>17</v>
      </c>
      <c r="L233" s="58">
        <f>VLOOKUP(K233,코드!$B$3:$C$29,2,FALSE)</f>
        <v>4241130</v>
      </c>
      <c r="M233" s="72" t="s">
        <v>262</v>
      </c>
      <c r="N233" s="79" t="s">
        <v>578</v>
      </c>
      <c r="O233" s="75">
        <v>500000</v>
      </c>
      <c r="P233" s="75">
        <v>1</v>
      </c>
      <c r="Q233" s="75">
        <v>2</v>
      </c>
      <c r="R233" s="257">
        <v>500000</v>
      </c>
      <c r="S233" s="75">
        <v>1000000</v>
      </c>
      <c r="T233" s="165">
        <v>200000</v>
      </c>
      <c r="U233" s="185" t="s">
        <v>542</v>
      </c>
      <c r="V233" s="60">
        <f t="shared" si="20"/>
        <v>0.4</v>
      </c>
      <c r="W233" s="46"/>
      <c r="X233" s="74"/>
      <c r="Y233" s="46"/>
      <c r="AC233" s="46"/>
    </row>
    <row r="234" spans="1:29" s="59" customFormat="1" ht="17.25" customHeight="1">
      <c r="A234" s="59" t="s">
        <v>257</v>
      </c>
      <c r="B234" s="72" t="s">
        <v>531</v>
      </c>
      <c r="C234" s="155" t="s">
        <v>605</v>
      </c>
      <c r="D234" s="58" t="str">
        <f>VLOOKUP(C234,코드!$E$3:$F$30,2,FALSE)</f>
        <v>8701</v>
      </c>
      <c r="E234" s="65" t="s">
        <v>577</v>
      </c>
      <c r="F234" s="65" t="s">
        <v>601</v>
      </c>
      <c r="G234" s="66" t="s">
        <v>604</v>
      </c>
      <c r="H234" s="65" t="s">
        <v>620</v>
      </c>
      <c r="I234" s="192" t="s">
        <v>619</v>
      </c>
      <c r="J234" s="72" t="s">
        <v>60</v>
      </c>
      <c r="K234" s="72" t="s">
        <v>179</v>
      </c>
      <c r="L234" s="58">
        <f>VLOOKUP(K234,코드!$B$3:$C$29,2,FALSE)</f>
        <v>4233201</v>
      </c>
      <c r="M234" s="176" t="s">
        <v>266</v>
      </c>
      <c r="N234" s="177" t="s">
        <v>578</v>
      </c>
      <c r="O234" s="75">
        <v>600000</v>
      </c>
      <c r="P234" s="75">
        <v>1</v>
      </c>
      <c r="Q234" s="75">
        <v>1</v>
      </c>
      <c r="R234" s="160">
        <f>O234*P234*Q234</f>
        <v>600000</v>
      </c>
      <c r="S234" s="75">
        <v>600000</v>
      </c>
      <c r="T234" s="162">
        <v>600000</v>
      </c>
      <c r="U234" s="185" t="s">
        <v>542</v>
      </c>
      <c r="V234" s="60">
        <f t="shared" si="20"/>
        <v>1</v>
      </c>
      <c r="W234" s="46"/>
      <c r="X234" s="74"/>
      <c r="Y234" s="46"/>
      <c r="AC234" s="46"/>
    </row>
    <row r="235" spans="1:29" s="59" customFormat="1" ht="17.25" customHeight="1">
      <c r="A235" s="59" t="s">
        <v>257</v>
      </c>
      <c r="B235" s="72" t="s">
        <v>531</v>
      </c>
      <c r="C235" s="155" t="s">
        <v>605</v>
      </c>
      <c r="D235" s="58" t="str">
        <f>VLOOKUP(C235,코드!$E$3:$F$30,2,FALSE)</f>
        <v>8701</v>
      </c>
      <c r="E235" s="65" t="s">
        <v>577</v>
      </c>
      <c r="F235" s="65" t="s">
        <v>601</v>
      </c>
      <c r="G235" s="66" t="s">
        <v>604</v>
      </c>
      <c r="H235" s="65" t="s">
        <v>617</v>
      </c>
      <c r="I235" s="65" t="s">
        <v>618</v>
      </c>
      <c r="J235" s="72" t="s">
        <v>60</v>
      </c>
      <c r="K235" s="72" t="s">
        <v>17</v>
      </c>
      <c r="L235" s="58">
        <f>VLOOKUP(K235,코드!$B$3:$C$29,2,FALSE)</f>
        <v>4241130</v>
      </c>
      <c r="M235" s="72" t="s">
        <v>262</v>
      </c>
      <c r="N235" s="79" t="s">
        <v>578</v>
      </c>
      <c r="O235" s="75">
        <v>40000</v>
      </c>
      <c r="P235" s="75">
        <v>50</v>
      </c>
      <c r="Q235" s="75">
        <v>2</v>
      </c>
      <c r="R235" s="75">
        <f>O235*P235*Q235</f>
        <v>4000000</v>
      </c>
      <c r="S235" s="75">
        <v>4000000</v>
      </c>
      <c r="T235" s="165">
        <v>2000000</v>
      </c>
      <c r="U235" s="185" t="s">
        <v>542</v>
      </c>
      <c r="V235" s="60">
        <f t="shared" si="20"/>
        <v>0.5</v>
      </c>
      <c r="W235" s="46"/>
      <c r="X235" s="74"/>
      <c r="Y235" s="46"/>
      <c r="AC235" s="46"/>
    </row>
    <row r="236" spans="1:29" s="59" customFormat="1" ht="17.25" customHeight="1">
      <c r="A236" s="59" t="s">
        <v>257</v>
      </c>
      <c r="B236" s="72" t="s">
        <v>531</v>
      </c>
      <c r="C236" s="155" t="s">
        <v>605</v>
      </c>
      <c r="D236" s="58" t="str">
        <f>VLOOKUP(C236,코드!$E$3:$F$30,2,FALSE)</f>
        <v>8701</v>
      </c>
      <c r="E236" s="65" t="s">
        <v>577</v>
      </c>
      <c r="F236" s="65" t="s">
        <v>601</v>
      </c>
      <c r="G236" s="66" t="s">
        <v>604</v>
      </c>
      <c r="H236" s="65" t="s">
        <v>617</v>
      </c>
      <c r="I236" s="65" t="s">
        <v>616</v>
      </c>
      <c r="J236" s="72" t="s">
        <v>60</v>
      </c>
      <c r="K236" s="72" t="s">
        <v>17</v>
      </c>
      <c r="L236" s="58">
        <f>VLOOKUP(K236,코드!$B$3:$C$29,2,FALSE)</f>
        <v>4241130</v>
      </c>
      <c r="M236" s="72" t="s">
        <v>262</v>
      </c>
      <c r="N236" s="79" t="s">
        <v>578</v>
      </c>
      <c r="O236" s="75">
        <v>4500</v>
      </c>
      <c r="P236" s="75">
        <v>300</v>
      </c>
      <c r="Q236" s="75">
        <v>2</v>
      </c>
      <c r="R236" s="75">
        <f>O236*P236*Q236</f>
        <v>2700000</v>
      </c>
      <c r="S236" s="75">
        <v>2700000</v>
      </c>
      <c r="T236" s="165">
        <v>2315700</v>
      </c>
      <c r="U236" s="185" t="s">
        <v>542</v>
      </c>
      <c r="V236" s="60">
        <f t="shared" si="20"/>
        <v>0.85766666666666669</v>
      </c>
      <c r="W236" s="46"/>
      <c r="X236" s="74"/>
      <c r="Y236" s="46"/>
      <c r="AC236" s="46"/>
    </row>
    <row r="237" spans="1:29" s="59" customFormat="1" ht="17.25" customHeight="1">
      <c r="A237" s="59" t="s">
        <v>257</v>
      </c>
      <c r="B237" s="72" t="s">
        <v>531</v>
      </c>
      <c r="C237" s="155" t="s">
        <v>605</v>
      </c>
      <c r="D237" s="58" t="str">
        <f>VLOOKUP(C237,코드!$E$3:$F$30,2,FALSE)</f>
        <v>8701</v>
      </c>
      <c r="E237" s="65" t="s">
        <v>577</v>
      </c>
      <c r="F237" s="65" t="s">
        <v>601</v>
      </c>
      <c r="G237" s="66" t="s">
        <v>604</v>
      </c>
      <c r="H237" s="65" t="s">
        <v>615</v>
      </c>
      <c r="I237" s="96" t="s">
        <v>614</v>
      </c>
      <c r="J237" s="72" t="s">
        <v>42</v>
      </c>
      <c r="K237" s="72" t="s">
        <v>9</v>
      </c>
      <c r="L237" s="58">
        <f>VLOOKUP(K237,코드!$B$3:$C$29,2,FALSE)</f>
        <v>4321701</v>
      </c>
      <c r="M237" s="72" t="s">
        <v>42</v>
      </c>
      <c r="N237" s="79" t="s">
        <v>607</v>
      </c>
      <c r="O237" s="75">
        <v>200000</v>
      </c>
      <c r="P237" s="75">
        <v>36</v>
      </c>
      <c r="Q237" s="75">
        <v>1</v>
      </c>
      <c r="R237" s="160">
        <v>6600000</v>
      </c>
      <c r="S237" s="75">
        <v>6600000</v>
      </c>
      <c r="T237" s="165">
        <v>3600000</v>
      </c>
      <c r="U237" s="185" t="s">
        <v>542</v>
      </c>
      <c r="V237" s="60">
        <f t="shared" si="20"/>
        <v>0.54545454545454541</v>
      </c>
      <c r="W237" s="46"/>
      <c r="X237" s="74"/>
      <c r="Y237" s="46"/>
      <c r="AC237" s="46"/>
    </row>
    <row r="238" spans="1:29" s="59" customFormat="1" ht="17.25" customHeight="1">
      <c r="A238" s="59" t="s">
        <v>257</v>
      </c>
      <c r="B238" s="72" t="s">
        <v>531</v>
      </c>
      <c r="C238" s="155" t="s">
        <v>605</v>
      </c>
      <c r="D238" s="58" t="str">
        <f>VLOOKUP(C238,코드!$E$3:$F$30,2,FALSE)</f>
        <v>8701</v>
      </c>
      <c r="E238" s="65" t="s">
        <v>577</v>
      </c>
      <c r="F238" s="65" t="s">
        <v>601</v>
      </c>
      <c r="G238" s="66" t="s">
        <v>604</v>
      </c>
      <c r="H238" s="65" t="s">
        <v>615</v>
      </c>
      <c r="I238" s="65" t="s">
        <v>613</v>
      </c>
      <c r="J238" s="72" t="s">
        <v>42</v>
      </c>
      <c r="K238" s="72" t="s">
        <v>9</v>
      </c>
      <c r="L238" s="58">
        <f>VLOOKUP(K238,코드!$B$3:$C$29,2,FALSE)</f>
        <v>4321701</v>
      </c>
      <c r="M238" s="72" t="s">
        <v>42</v>
      </c>
      <c r="N238" s="79" t="s">
        <v>607</v>
      </c>
      <c r="O238" s="75">
        <v>600000</v>
      </c>
      <c r="P238" s="75">
        <v>1</v>
      </c>
      <c r="Q238" s="75">
        <v>2</v>
      </c>
      <c r="R238" s="75">
        <f>O238*P238*Q238</f>
        <v>1200000</v>
      </c>
      <c r="S238" s="75">
        <v>1200000</v>
      </c>
      <c r="T238" s="165">
        <v>600000</v>
      </c>
      <c r="U238" s="185" t="s">
        <v>542</v>
      </c>
      <c r="V238" s="60">
        <f t="shared" si="20"/>
        <v>0.5</v>
      </c>
      <c r="W238" s="46"/>
      <c r="X238" s="74"/>
      <c r="Y238" s="46"/>
      <c r="AC238" s="46"/>
    </row>
    <row r="239" spans="1:29" s="59" customFormat="1" ht="17.25" customHeight="1">
      <c r="A239" s="59" t="s">
        <v>257</v>
      </c>
      <c r="B239" s="72" t="s">
        <v>531</v>
      </c>
      <c r="C239" s="155" t="s">
        <v>605</v>
      </c>
      <c r="D239" s="58" t="str">
        <f>VLOOKUP(C239,코드!$E$3:$F$30,2,FALSE)</f>
        <v>8701</v>
      </c>
      <c r="E239" s="65" t="s">
        <v>577</v>
      </c>
      <c r="F239" s="65" t="s">
        <v>601</v>
      </c>
      <c r="G239" s="66" t="s">
        <v>604</v>
      </c>
      <c r="H239" s="65" t="s">
        <v>615</v>
      </c>
      <c r="I239" s="65" t="s">
        <v>611</v>
      </c>
      <c r="J239" s="72" t="s">
        <v>60</v>
      </c>
      <c r="K239" s="72" t="s">
        <v>17</v>
      </c>
      <c r="L239" s="58">
        <f>VLOOKUP(K239,코드!$B$3:$C$29,2,FALSE)</f>
        <v>4241130</v>
      </c>
      <c r="M239" s="72" t="s">
        <v>262</v>
      </c>
      <c r="N239" s="79" t="s">
        <v>578</v>
      </c>
      <c r="O239" s="75">
        <v>550000</v>
      </c>
      <c r="P239" s="75">
        <v>1</v>
      </c>
      <c r="Q239" s="75">
        <v>2</v>
      </c>
      <c r="R239" s="160">
        <v>500000</v>
      </c>
      <c r="S239" s="75">
        <v>500000</v>
      </c>
      <c r="T239" s="162">
        <v>500000</v>
      </c>
      <c r="U239" s="185" t="s">
        <v>542</v>
      </c>
      <c r="V239" s="60">
        <f t="shared" si="20"/>
        <v>1</v>
      </c>
      <c r="W239" s="46"/>
      <c r="X239" s="74"/>
      <c r="Y239" s="46"/>
      <c r="AC239" s="46"/>
    </row>
    <row r="240" spans="1:29" s="59" customFormat="1" ht="17.25" customHeight="1">
      <c r="A240" s="59" t="s">
        <v>257</v>
      </c>
      <c r="B240" s="72" t="s">
        <v>531</v>
      </c>
      <c r="C240" s="155" t="s">
        <v>605</v>
      </c>
      <c r="D240" s="58" t="str">
        <f>VLOOKUP(C240,코드!$E$3:$F$30,2,FALSE)</f>
        <v>8701</v>
      </c>
      <c r="E240" s="65" t="s">
        <v>577</v>
      </c>
      <c r="F240" s="65" t="s">
        <v>601</v>
      </c>
      <c r="G240" s="66" t="s">
        <v>604</v>
      </c>
      <c r="H240" s="65" t="s">
        <v>612</v>
      </c>
      <c r="I240" s="65" t="s">
        <v>614</v>
      </c>
      <c r="J240" s="72" t="s">
        <v>42</v>
      </c>
      <c r="K240" s="72" t="s">
        <v>9</v>
      </c>
      <c r="L240" s="58">
        <f>VLOOKUP(K240,코드!$B$3:$C$29,2,FALSE)</f>
        <v>4321701</v>
      </c>
      <c r="M240" s="72" t="s">
        <v>42</v>
      </c>
      <c r="N240" s="79" t="s">
        <v>607</v>
      </c>
      <c r="O240" s="75">
        <v>500000</v>
      </c>
      <c r="P240" s="75">
        <v>40</v>
      </c>
      <c r="Q240" s="75">
        <v>2</v>
      </c>
      <c r="R240" s="75">
        <v>45000000</v>
      </c>
      <c r="S240" s="75">
        <v>40000000</v>
      </c>
      <c r="T240" s="165">
        <v>20100000</v>
      </c>
      <c r="U240" s="185" t="s">
        <v>542</v>
      </c>
      <c r="V240" s="60">
        <f t="shared" si="20"/>
        <v>0.44666666666666666</v>
      </c>
      <c r="W240" s="46"/>
      <c r="X240" s="74"/>
      <c r="Y240" s="46"/>
      <c r="AC240" s="46"/>
    </row>
    <row r="241" spans="1:29" s="59" customFormat="1" ht="17.25" customHeight="1">
      <c r="A241" s="59" t="s">
        <v>257</v>
      </c>
      <c r="B241" s="72" t="s">
        <v>531</v>
      </c>
      <c r="C241" s="155" t="s">
        <v>605</v>
      </c>
      <c r="D241" s="58" t="str">
        <f>VLOOKUP(C241,코드!$E$3:$F$30,2,FALSE)</f>
        <v>8701</v>
      </c>
      <c r="E241" s="65" t="s">
        <v>577</v>
      </c>
      <c r="F241" s="65" t="s">
        <v>601</v>
      </c>
      <c r="G241" s="66" t="s">
        <v>604</v>
      </c>
      <c r="H241" s="65" t="s">
        <v>612</v>
      </c>
      <c r="I241" s="65" t="s">
        <v>613</v>
      </c>
      <c r="J241" s="72" t="s">
        <v>42</v>
      </c>
      <c r="K241" s="72" t="s">
        <v>9</v>
      </c>
      <c r="L241" s="58">
        <f>VLOOKUP(K241,코드!$B$3:$C$29,2,FALSE)</f>
        <v>4321701</v>
      </c>
      <c r="M241" s="72" t="s">
        <v>42</v>
      </c>
      <c r="N241" s="79" t="s">
        <v>607</v>
      </c>
      <c r="O241" s="75">
        <v>1500000</v>
      </c>
      <c r="P241" s="75">
        <v>1</v>
      </c>
      <c r="Q241" s="75">
        <v>2</v>
      </c>
      <c r="R241" s="75">
        <v>1900000</v>
      </c>
      <c r="S241" s="75">
        <v>1400000</v>
      </c>
      <c r="T241" s="165">
        <v>1400000</v>
      </c>
      <c r="U241" s="185" t="s">
        <v>542</v>
      </c>
      <c r="V241" s="60">
        <f t="shared" si="20"/>
        <v>0.73684210526315785</v>
      </c>
      <c r="W241" s="46"/>
      <c r="X241" s="74"/>
      <c r="Y241" s="46"/>
      <c r="AC241" s="46"/>
    </row>
    <row r="242" spans="1:29" s="59" customFormat="1" ht="17.25" customHeight="1">
      <c r="A242" s="59" t="s">
        <v>257</v>
      </c>
      <c r="B242" s="72" t="s">
        <v>531</v>
      </c>
      <c r="C242" s="155" t="s">
        <v>605</v>
      </c>
      <c r="D242" s="58" t="str">
        <f>VLOOKUP(C242,코드!$E$3:$F$30,2,FALSE)</f>
        <v>8701</v>
      </c>
      <c r="E242" s="65" t="s">
        <v>577</v>
      </c>
      <c r="F242" s="65" t="s">
        <v>601</v>
      </c>
      <c r="G242" s="66" t="s">
        <v>604</v>
      </c>
      <c r="H242" s="65" t="s">
        <v>612</v>
      </c>
      <c r="I242" s="65" t="s">
        <v>611</v>
      </c>
      <c r="J242" s="72" t="s">
        <v>60</v>
      </c>
      <c r="K242" s="72" t="s">
        <v>17</v>
      </c>
      <c r="L242" s="58">
        <f>VLOOKUP(K242,코드!$B$3:$C$29,2,FALSE)</f>
        <v>4241130</v>
      </c>
      <c r="M242" s="72" t="s">
        <v>262</v>
      </c>
      <c r="N242" s="79" t="s">
        <v>578</v>
      </c>
      <c r="O242" s="75">
        <v>1000000</v>
      </c>
      <c r="P242" s="75">
        <v>1</v>
      </c>
      <c r="Q242" s="75">
        <v>2</v>
      </c>
      <c r="R242" s="75">
        <v>1000000</v>
      </c>
      <c r="S242" s="75">
        <v>700000</v>
      </c>
      <c r="T242" s="165">
        <v>700000</v>
      </c>
      <c r="U242" s="185" t="s">
        <v>542</v>
      </c>
      <c r="V242" s="60">
        <f t="shared" si="20"/>
        <v>0.7</v>
      </c>
      <c r="W242" s="46"/>
      <c r="X242" s="74"/>
      <c r="Y242" s="46"/>
      <c r="AC242" s="46"/>
    </row>
    <row r="243" spans="1:29" s="59" customFormat="1" ht="17.25" customHeight="1">
      <c r="A243" s="59" t="s">
        <v>257</v>
      </c>
      <c r="B243" s="72" t="s">
        <v>531</v>
      </c>
      <c r="C243" s="155" t="s">
        <v>605</v>
      </c>
      <c r="D243" s="58" t="str">
        <f>VLOOKUP(C243,코드!$E$3:$F$30,2,FALSE)</f>
        <v>8701</v>
      </c>
      <c r="E243" s="65" t="s">
        <v>577</v>
      </c>
      <c r="F243" s="65" t="s">
        <v>610</v>
      </c>
      <c r="G243" s="66" t="s">
        <v>604</v>
      </c>
      <c r="H243" s="65" t="s">
        <v>609</v>
      </c>
      <c r="I243" s="65" t="s">
        <v>583</v>
      </c>
      <c r="J243" s="72" t="s">
        <v>60</v>
      </c>
      <c r="K243" s="72" t="s">
        <v>28</v>
      </c>
      <c r="L243" s="58">
        <f>VLOOKUP(K243,코드!$B$3:$C$29,2,FALSE)</f>
        <v>4116101</v>
      </c>
      <c r="M243" s="72" t="s">
        <v>356</v>
      </c>
      <c r="N243" s="79" t="s">
        <v>578</v>
      </c>
      <c r="O243" s="75">
        <v>450000</v>
      </c>
      <c r="P243" s="75">
        <v>1</v>
      </c>
      <c r="Q243" s="75">
        <v>2</v>
      </c>
      <c r="R243" s="75">
        <v>800000</v>
      </c>
      <c r="S243" s="75">
        <v>800000</v>
      </c>
      <c r="T243" s="165">
        <v>450000</v>
      </c>
      <c r="U243" s="185" t="s">
        <v>542</v>
      </c>
      <c r="V243" s="60">
        <f t="shared" si="20"/>
        <v>0.5625</v>
      </c>
      <c r="W243" s="46"/>
      <c r="X243" s="74"/>
      <c r="Y243" s="46"/>
      <c r="AC243" s="46"/>
    </row>
    <row r="244" spans="1:29" s="59" customFormat="1" ht="17.25" customHeight="1">
      <c r="A244" s="59" t="s">
        <v>257</v>
      </c>
      <c r="B244" s="72" t="s">
        <v>531</v>
      </c>
      <c r="C244" s="155" t="s">
        <v>605</v>
      </c>
      <c r="D244" s="58" t="str">
        <f>VLOOKUP(C244,코드!$E$3:$F$30,2,FALSE)</f>
        <v>8701</v>
      </c>
      <c r="E244" s="65" t="s">
        <v>577</v>
      </c>
      <c r="F244" s="65" t="s">
        <v>601</v>
      </c>
      <c r="G244" s="66" t="s">
        <v>604</v>
      </c>
      <c r="H244" s="65" t="s">
        <v>609</v>
      </c>
      <c r="I244" s="65" t="s">
        <v>608</v>
      </c>
      <c r="J244" s="72" t="s">
        <v>60</v>
      </c>
      <c r="K244" s="72" t="s">
        <v>17</v>
      </c>
      <c r="L244" s="58">
        <f>VLOOKUP(K244,코드!$B$3:$C$29,2,FALSE)</f>
        <v>4241130</v>
      </c>
      <c r="M244" s="72" t="s">
        <v>262</v>
      </c>
      <c r="N244" s="79" t="s">
        <v>578</v>
      </c>
      <c r="O244" s="75">
        <v>550000</v>
      </c>
      <c r="P244" s="75">
        <v>2</v>
      </c>
      <c r="Q244" s="75">
        <v>2</v>
      </c>
      <c r="R244" s="75">
        <v>935000</v>
      </c>
      <c r="S244" s="75">
        <v>935000</v>
      </c>
      <c r="T244" s="165">
        <v>935000</v>
      </c>
      <c r="U244" s="185" t="s">
        <v>542</v>
      </c>
      <c r="V244" s="60">
        <f t="shared" si="20"/>
        <v>1</v>
      </c>
      <c r="W244" s="73"/>
      <c r="X244" s="74"/>
      <c r="Y244" s="46"/>
      <c r="AC244" s="46"/>
    </row>
    <row r="245" spans="1:29" s="59" customFormat="1" ht="17.25" customHeight="1">
      <c r="A245" s="59" t="s">
        <v>257</v>
      </c>
      <c r="B245" s="72" t="s">
        <v>531</v>
      </c>
      <c r="C245" s="155" t="s">
        <v>605</v>
      </c>
      <c r="D245" s="58" t="str">
        <f>VLOOKUP(C245,코드!$E$3:$F$30,2,FALSE)</f>
        <v>8701</v>
      </c>
      <c r="E245" s="65" t="s">
        <v>577</v>
      </c>
      <c r="F245" s="65" t="s">
        <v>601</v>
      </c>
      <c r="G245" s="66" t="s">
        <v>604</v>
      </c>
      <c r="H245" s="65" t="s">
        <v>606</v>
      </c>
      <c r="I245" s="65" t="s">
        <v>42</v>
      </c>
      <c r="J245" s="72" t="s">
        <v>42</v>
      </c>
      <c r="K245" s="72" t="s">
        <v>9</v>
      </c>
      <c r="L245" s="58">
        <f>VLOOKUP(K245,코드!$B$3:$C$29,2,FALSE)</f>
        <v>4321701</v>
      </c>
      <c r="M245" s="72" t="s">
        <v>42</v>
      </c>
      <c r="N245" s="79" t="s">
        <v>607</v>
      </c>
      <c r="O245" s="75">
        <v>1200000</v>
      </c>
      <c r="P245" s="75">
        <v>5</v>
      </c>
      <c r="Q245" s="75">
        <v>2</v>
      </c>
      <c r="R245" s="75">
        <f>O245*P245*Q245</f>
        <v>12000000</v>
      </c>
      <c r="S245" s="75">
        <v>12000000</v>
      </c>
      <c r="T245" s="165">
        <v>6000000</v>
      </c>
      <c r="U245" s="185" t="s">
        <v>542</v>
      </c>
      <c r="V245" s="60">
        <f t="shared" si="20"/>
        <v>0.5</v>
      </c>
      <c r="W245" s="73"/>
      <c r="X245" s="74"/>
      <c r="Y245" s="46"/>
      <c r="AC245" s="46"/>
    </row>
    <row r="246" spans="1:29" s="59" customFormat="1" ht="17.25" customHeight="1">
      <c r="A246" s="59" t="s">
        <v>257</v>
      </c>
      <c r="B246" s="72" t="s">
        <v>531</v>
      </c>
      <c r="C246" s="155" t="s">
        <v>605</v>
      </c>
      <c r="D246" s="58" t="str">
        <f>VLOOKUP(C246,코드!$E$3:$F$30,2,FALSE)</f>
        <v>8701</v>
      </c>
      <c r="E246" s="65" t="s">
        <v>577</v>
      </c>
      <c r="F246" s="65" t="s">
        <v>601</v>
      </c>
      <c r="G246" s="66" t="s">
        <v>604</v>
      </c>
      <c r="H246" s="65" t="s">
        <v>606</v>
      </c>
      <c r="I246" s="65" t="s">
        <v>129</v>
      </c>
      <c r="J246" s="72" t="s">
        <v>60</v>
      </c>
      <c r="K246" s="72" t="s">
        <v>17</v>
      </c>
      <c r="L246" s="58">
        <f>VLOOKUP(K246,코드!$B$3:$C$29,2,FALSE)</f>
        <v>4241130</v>
      </c>
      <c r="M246" s="72" t="s">
        <v>262</v>
      </c>
      <c r="N246" s="79" t="s">
        <v>578</v>
      </c>
      <c r="O246" s="75">
        <v>11300000</v>
      </c>
      <c r="P246" s="75">
        <v>1</v>
      </c>
      <c r="Q246" s="75">
        <v>2</v>
      </c>
      <c r="R246" s="75">
        <v>16363860</v>
      </c>
      <c r="S246" s="75">
        <v>16363860</v>
      </c>
      <c r="T246" s="165">
        <v>11300000</v>
      </c>
      <c r="U246" s="185" t="s">
        <v>542</v>
      </c>
      <c r="V246" s="60">
        <f t="shared" si="20"/>
        <v>0.69054611809194166</v>
      </c>
      <c r="W246" s="73"/>
      <c r="X246" s="74"/>
      <c r="Y246" s="46"/>
      <c r="AC246" s="46"/>
    </row>
    <row r="247" spans="1:29" s="59" customFormat="1" ht="17.25" customHeight="1">
      <c r="A247" s="59" t="s">
        <v>257</v>
      </c>
      <c r="B247" s="72" t="s">
        <v>531</v>
      </c>
      <c r="C247" s="155" t="s">
        <v>605</v>
      </c>
      <c r="D247" s="58" t="str">
        <f>VLOOKUP(C247,코드!$E$3:$F$30,2,FALSE)</f>
        <v>8701</v>
      </c>
      <c r="E247" s="65" t="s">
        <v>577</v>
      </c>
      <c r="F247" s="65" t="s">
        <v>601</v>
      </c>
      <c r="G247" s="66" t="s">
        <v>604</v>
      </c>
      <c r="H247" s="65" t="s">
        <v>603</v>
      </c>
      <c r="I247" s="65" t="s">
        <v>602</v>
      </c>
      <c r="J247" s="72" t="s">
        <v>60</v>
      </c>
      <c r="K247" s="72" t="s">
        <v>17</v>
      </c>
      <c r="L247" s="58">
        <f>VLOOKUP(K247,코드!$B$3:$C$29,2,FALSE)</f>
        <v>4241130</v>
      </c>
      <c r="M247" s="72" t="s">
        <v>262</v>
      </c>
      <c r="N247" s="79" t="s">
        <v>578</v>
      </c>
      <c r="O247" s="75">
        <v>4200000</v>
      </c>
      <c r="P247" s="75">
        <v>1</v>
      </c>
      <c r="Q247" s="75">
        <v>2</v>
      </c>
      <c r="R247" s="75">
        <v>4400000</v>
      </c>
      <c r="S247" s="75">
        <v>4400000</v>
      </c>
      <c r="T247" s="165">
        <v>4200000</v>
      </c>
      <c r="U247" s="185" t="s">
        <v>542</v>
      </c>
      <c r="V247" s="60">
        <f t="shared" si="20"/>
        <v>0.95454545454545459</v>
      </c>
      <c r="W247" s="73"/>
      <c r="X247" s="74"/>
      <c r="Y247" s="46"/>
      <c r="AC247" s="46"/>
    </row>
    <row r="248" spans="1:29" s="59" customFormat="1" ht="17.25" customHeight="1">
      <c r="A248" s="59" t="s">
        <v>257</v>
      </c>
      <c r="B248" s="72" t="s">
        <v>531</v>
      </c>
      <c r="C248" s="155" t="s">
        <v>152</v>
      </c>
      <c r="D248" s="58" t="str">
        <f>VLOOKUP(C248,코드!$E$3:$F$30,2,FALSE)</f>
        <v>8701</v>
      </c>
      <c r="E248" s="65" t="s">
        <v>577</v>
      </c>
      <c r="F248" s="65" t="s">
        <v>601</v>
      </c>
      <c r="G248" s="66" t="s">
        <v>600</v>
      </c>
      <c r="H248" s="65" t="s">
        <v>599</v>
      </c>
      <c r="I248" s="65" t="s">
        <v>598</v>
      </c>
      <c r="J248" s="72" t="s">
        <v>205</v>
      </c>
      <c r="K248" s="72" t="s">
        <v>179</v>
      </c>
      <c r="L248" s="58">
        <f>VLOOKUP(K248,코드!$B$3:$C$29,2,FALSE)</f>
        <v>4233201</v>
      </c>
      <c r="M248" s="72" t="s">
        <v>178</v>
      </c>
      <c r="N248" s="79" t="s">
        <v>571</v>
      </c>
      <c r="O248" s="75">
        <v>65835</v>
      </c>
      <c r="P248" s="75">
        <v>2000</v>
      </c>
      <c r="Q248" s="75">
        <v>1</v>
      </c>
      <c r="R248" s="75">
        <f>O248*P248*Q248</f>
        <v>131670000</v>
      </c>
      <c r="S248" s="75">
        <v>131670000</v>
      </c>
      <c r="T248" s="165">
        <v>131670000</v>
      </c>
      <c r="U248" s="185" t="s">
        <v>542</v>
      </c>
      <c r="V248" s="60">
        <f t="shared" si="20"/>
        <v>1</v>
      </c>
      <c r="W248" s="73"/>
      <c r="X248" s="74"/>
      <c r="Y248" s="46"/>
      <c r="AC248" s="46"/>
    </row>
    <row r="249" spans="1:29" s="59" customFormat="1" ht="17.25" customHeight="1">
      <c r="A249" s="59" t="s">
        <v>257</v>
      </c>
      <c r="B249" s="72" t="s">
        <v>531</v>
      </c>
      <c r="C249" s="155" t="s">
        <v>152</v>
      </c>
      <c r="D249" s="58" t="str">
        <f>VLOOKUP(C249,코드!$E$3:$F$30,2,FALSE)</f>
        <v>8701</v>
      </c>
      <c r="E249" s="65" t="s">
        <v>577</v>
      </c>
      <c r="F249" s="65" t="s">
        <v>581</v>
      </c>
      <c r="G249" s="66" t="s">
        <v>593</v>
      </c>
      <c r="H249" s="65" t="s">
        <v>592</v>
      </c>
      <c r="I249" s="65" t="s">
        <v>597</v>
      </c>
      <c r="J249" s="72" t="s">
        <v>130</v>
      </c>
      <c r="K249" s="72" t="s">
        <v>17</v>
      </c>
      <c r="L249" s="58">
        <f>VLOOKUP(K249,코드!$B$3:$C$29,2,FALSE)</f>
        <v>4241130</v>
      </c>
      <c r="M249" s="191" t="s">
        <v>217</v>
      </c>
      <c r="N249" s="79" t="s">
        <v>578</v>
      </c>
      <c r="O249" s="75">
        <v>40000</v>
      </c>
      <c r="P249" s="75">
        <v>70</v>
      </c>
      <c r="Q249" s="75">
        <v>1</v>
      </c>
      <c r="R249" s="260">
        <v>4000000</v>
      </c>
      <c r="S249" s="75">
        <v>4000000</v>
      </c>
      <c r="T249" s="259">
        <v>0</v>
      </c>
      <c r="U249" s="258"/>
      <c r="V249" s="189">
        <f t="shared" si="20"/>
        <v>0</v>
      </c>
      <c r="W249" s="73"/>
      <c r="X249" s="74"/>
      <c r="Y249" s="46"/>
      <c r="AC249" s="46"/>
    </row>
    <row r="250" spans="1:29" s="59" customFormat="1" ht="17.25" customHeight="1">
      <c r="A250" s="59" t="s">
        <v>257</v>
      </c>
      <c r="B250" s="72" t="s">
        <v>531</v>
      </c>
      <c r="C250" s="155" t="s">
        <v>152</v>
      </c>
      <c r="D250" s="58" t="str">
        <f>VLOOKUP(C250,코드!$E$3:$F$30,2,FALSE)</f>
        <v>8701</v>
      </c>
      <c r="E250" s="65" t="s">
        <v>577</v>
      </c>
      <c r="F250" s="65" t="s">
        <v>581</v>
      </c>
      <c r="G250" s="66" t="s">
        <v>593</v>
      </c>
      <c r="H250" s="65" t="s">
        <v>592</v>
      </c>
      <c r="I250" s="65" t="s">
        <v>596</v>
      </c>
      <c r="J250" s="72" t="s">
        <v>130</v>
      </c>
      <c r="K250" s="72" t="s">
        <v>29</v>
      </c>
      <c r="L250" s="58">
        <f>VLOOKUP(K250,코드!$B$3:$C$29,2,FALSE)</f>
        <v>4113401</v>
      </c>
      <c r="M250" s="72" t="s">
        <v>595</v>
      </c>
      <c r="N250" s="79" t="s">
        <v>578</v>
      </c>
      <c r="O250" s="75">
        <v>200000</v>
      </c>
      <c r="P250" s="75">
        <v>5</v>
      </c>
      <c r="Q250" s="75">
        <v>1</v>
      </c>
      <c r="R250" s="260">
        <v>1200000</v>
      </c>
      <c r="S250" s="75">
        <v>1200000</v>
      </c>
      <c r="T250" s="259">
        <v>0</v>
      </c>
      <c r="U250" s="258"/>
      <c r="V250" s="189">
        <f t="shared" si="20"/>
        <v>0</v>
      </c>
      <c r="W250" s="73"/>
      <c r="X250" s="74"/>
      <c r="Y250" s="46"/>
      <c r="AC250" s="46"/>
    </row>
    <row r="251" spans="1:29" s="59" customFormat="1" ht="17.25" customHeight="1">
      <c r="A251" s="59" t="s">
        <v>257</v>
      </c>
      <c r="B251" s="72" t="s">
        <v>531</v>
      </c>
      <c r="C251" s="155" t="s">
        <v>152</v>
      </c>
      <c r="D251" s="58" t="str">
        <f>VLOOKUP(C251,코드!$E$3:$F$30,2,FALSE)</f>
        <v>8701</v>
      </c>
      <c r="E251" s="65" t="s">
        <v>577</v>
      </c>
      <c r="F251" s="65" t="s">
        <v>581</v>
      </c>
      <c r="G251" s="66" t="s">
        <v>593</v>
      </c>
      <c r="H251" s="65" t="s">
        <v>592</v>
      </c>
      <c r="I251" s="65" t="s">
        <v>594</v>
      </c>
      <c r="J251" s="72" t="s">
        <v>130</v>
      </c>
      <c r="K251" s="72" t="s">
        <v>17</v>
      </c>
      <c r="L251" s="58">
        <f>VLOOKUP(K251,코드!$B$3:$C$29,2,FALSE)</f>
        <v>4241130</v>
      </c>
      <c r="M251" s="72" t="s">
        <v>120</v>
      </c>
      <c r="N251" s="79" t="s">
        <v>578</v>
      </c>
      <c r="O251" s="75">
        <v>30000</v>
      </c>
      <c r="P251" s="75">
        <v>70</v>
      </c>
      <c r="Q251" s="75">
        <v>1</v>
      </c>
      <c r="R251" s="260">
        <v>4900000</v>
      </c>
      <c r="S251" s="75">
        <v>4900000</v>
      </c>
      <c r="T251" s="259">
        <v>0</v>
      </c>
      <c r="U251" s="258"/>
      <c r="V251" s="189">
        <f t="shared" si="20"/>
        <v>0</v>
      </c>
      <c r="W251" s="73"/>
      <c r="X251" s="74"/>
      <c r="Y251" s="46"/>
      <c r="AC251" s="46"/>
    </row>
    <row r="252" spans="1:29" s="59" customFormat="1" ht="17.25" customHeight="1">
      <c r="A252" s="59" t="s">
        <v>257</v>
      </c>
      <c r="B252" s="72" t="s">
        <v>531</v>
      </c>
      <c r="C252" s="155" t="s">
        <v>152</v>
      </c>
      <c r="D252" s="58" t="str">
        <f>VLOOKUP(C252,코드!$E$3:$F$30,2,FALSE)</f>
        <v>8701</v>
      </c>
      <c r="E252" s="65" t="s">
        <v>577</v>
      </c>
      <c r="F252" s="65" t="s">
        <v>581</v>
      </c>
      <c r="G252" s="66" t="s">
        <v>593</v>
      </c>
      <c r="H252" s="65" t="s">
        <v>592</v>
      </c>
      <c r="I252" s="65" t="s">
        <v>591</v>
      </c>
      <c r="J252" s="72" t="s">
        <v>130</v>
      </c>
      <c r="K252" s="72" t="s">
        <v>17</v>
      </c>
      <c r="L252" s="58">
        <f>VLOOKUP(K252,코드!$B$3:$C$29,2,FALSE)</f>
        <v>4241130</v>
      </c>
      <c r="M252" s="72" t="s">
        <v>590</v>
      </c>
      <c r="N252" s="79" t="s">
        <v>578</v>
      </c>
      <c r="O252" s="75">
        <v>20000</v>
      </c>
      <c r="P252" s="75">
        <v>70</v>
      </c>
      <c r="Q252" s="75">
        <v>1</v>
      </c>
      <c r="R252" s="260">
        <v>2000000</v>
      </c>
      <c r="S252" s="75">
        <v>2000000</v>
      </c>
      <c r="T252" s="259">
        <v>0</v>
      </c>
      <c r="U252" s="258"/>
      <c r="V252" s="189">
        <f t="shared" si="20"/>
        <v>0</v>
      </c>
      <c r="W252" s="73"/>
      <c r="X252" s="74"/>
      <c r="Y252" s="46"/>
      <c r="AC252" s="46"/>
    </row>
    <row r="253" spans="1:29" s="59" customFormat="1" ht="17.25" customHeight="1">
      <c r="A253" s="59" t="s">
        <v>257</v>
      </c>
      <c r="B253" s="72" t="s">
        <v>531</v>
      </c>
      <c r="C253" s="155" t="s">
        <v>152</v>
      </c>
      <c r="D253" s="58" t="str">
        <f>VLOOKUP(C253,코드!$E$3:$F$30,2,FALSE)</f>
        <v>8701</v>
      </c>
      <c r="E253" s="65" t="s">
        <v>577</v>
      </c>
      <c r="F253" s="65" t="s">
        <v>581</v>
      </c>
      <c r="G253" s="66" t="s">
        <v>575</v>
      </c>
      <c r="H253" s="65" t="s">
        <v>586</v>
      </c>
      <c r="I253" s="65" t="s">
        <v>589</v>
      </c>
      <c r="J253" s="72" t="s">
        <v>130</v>
      </c>
      <c r="K253" s="72" t="s">
        <v>17</v>
      </c>
      <c r="L253" s="58">
        <f>VLOOKUP(K253,코드!$B$3:$C$29,2,FALSE)</f>
        <v>4241130</v>
      </c>
      <c r="M253" s="72" t="s">
        <v>120</v>
      </c>
      <c r="N253" s="79" t="s">
        <v>578</v>
      </c>
      <c r="O253" s="75">
        <v>1000000</v>
      </c>
      <c r="P253" s="75">
        <v>1</v>
      </c>
      <c r="Q253" s="75">
        <v>2</v>
      </c>
      <c r="R253" s="75">
        <f>O253*P253*Q253</f>
        <v>2000000</v>
      </c>
      <c r="S253" s="75">
        <v>2000000</v>
      </c>
      <c r="T253" s="78">
        <v>2000000</v>
      </c>
      <c r="U253" s="185" t="s">
        <v>542</v>
      </c>
      <c r="V253" s="60">
        <f t="shared" si="20"/>
        <v>1</v>
      </c>
      <c r="W253" s="73"/>
      <c r="X253" s="74"/>
      <c r="Y253" s="46"/>
      <c r="AC253" s="46"/>
    </row>
    <row r="254" spans="1:29" s="59" customFormat="1" ht="17.25" customHeight="1">
      <c r="A254" s="59" t="s">
        <v>257</v>
      </c>
      <c r="B254" s="72" t="s">
        <v>531</v>
      </c>
      <c r="C254" s="155" t="s">
        <v>152</v>
      </c>
      <c r="D254" s="58" t="str">
        <f>VLOOKUP(C254,코드!$E$3:$F$30,2,FALSE)</f>
        <v>8701</v>
      </c>
      <c r="E254" s="65" t="s">
        <v>577</v>
      </c>
      <c r="F254" s="65" t="s">
        <v>581</v>
      </c>
      <c r="G254" s="66" t="s">
        <v>575</v>
      </c>
      <c r="H254" s="65" t="s">
        <v>586</v>
      </c>
      <c r="I254" s="65" t="s">
        <v>588</v>
      </c>
      <c r="J254" s="72" t="s">
        <v>130</v>
      </c>
      <c r="K254" s="72" t="s">
        <v>17</v>
      </c>
      <c r="L254" s="58">
        <f>VLOOKUP(K254,코드!$B$3:$C$29,2,FALSE)</f>
        <v>4241130</v>
      </c>
      <c r="M254" s="72" t="s">
        <v>587</v>
      </c>
      <c r="N254" s="79" t="s">
        <v>578</v>
      </c>
      <c r="O254" s="75">
        <v>300000</v>
      </c>
      <c r="P254" s="75">
        <v>1</v>
      </c>
      <c r="Q254" s="75">
        <v>2</v>
      </c>
      <c r="R254" s="75">
        <f>O254*P254*Q254</f>
        <v>600000</v>
      </c>
      <c r="S254" s="75">
        <v>600000</v>
      </c>
      <c r="T254" s="78">
        <v>600000</v>
      </c>
      <c r="U254" s="185" t="s">
        <v>542</v>
      </c>
      <c r="V254" s="60">
        <f t="shared" si="20"/>
        <v>1</v>
      </c>
      <c r="W254" s="73"/>
      <c r="X254" s="74"/>
      <c r="Y254" s="46"/>
      <c r="AC254" s="46"/>
    </row>
    <row r="255" spans="1:29" s="59" customFormat="1" ht="17.25" customHeight="1">
      <c r="A255" s="59" t="s">
        <v>257</v>
      </c>
      <c r="B255" s="72" t="s">
        <v>531</v>
      </c>
      <c r="C255" s="155" t="s">
        <v>152</v>
      </c>
      <c r="D255" s="58" t="str">
        <f>VLOOKUP(C255,코드!$E$3:$F$30,2,FALSE)</f>
        <v>8701</v>
      </c>
      <c r="E255" s="65" t="s">
        <v>577</v>
      </c>
      <c r="F255" s="65" t="s">
        <v>581</v>
      </c>
      <c r="G255" s="66" t="s">
        <v>575</v>
      </c>
      <c r="H255" s="65" t="s">
        <v>586</v>
      </c>
      <c r="I255" s="65" t="s">
        <v>585</v>
      </c>
      <c r="J255" s="72" t="s">
        <v>130</v>
      </c>
      <c r="K255" s="72" t="s">
        <v>17</v>
      </c>
      <c r="L255" s="58">
        <f>VLOOKUP(K255,코드!$B$3:$C$29,2,FALSE)</f>
        <v>4241130</v>
      </c>
      <c r="M255" s="72" t="s">
        <v>120</v>
      </c>
      <c r="N255" s="79" t="s">
        <v>578</v>
      </c>
      <c r="O255" s="75">
        <v>500000</v>
      </c>
      <c r="P255" s="75">
        <v>1</v>
      </c>
      <c r="Q255" s="75">
        <v>2</v>
      </c>
      <c r="R255" s="75">
        <f>O255*P255*Q255</f>
        <v>1000000</v>
      </c>
      <c r="S255" s="75">
        <v>1000000</v>
      </c>
      <c r="T255" s="78">
        <v>1000000</v>
      </c>
      <c r="U255" s="185" t="s">
        <v>542</v>
      </c>
      <c r="V255" s="60">
        <f t="shared" si="20"/>
        <v>1</v>
      </c>
      <c r="W255" s="73"/>
      <c r="X255" s="74"/>
      <c r="Y255" s="46"/>
      <c r="AC255" s="46"/>
    </row>
    <row r="256" spans="1:29" s="59" customFormat="1" ht="17.25" customHeight="1">
      <c r="A256" s="59" t="s">
        <v>257</v>
      </c>
      <c r="B256" s="72" t="s">
        <v>531</v>
      </c>
      <c r="C256" s="155" t="s">
        <v>152</v>
      </c>
      <c r="D256" s="58" t="str">
        <f>VLOOKUP(C256,코드!$E$3:$F$30,2,FALSE)</f>
        <v>8701</v>
      </c>
      <c r="E256" s="65" t="s">
        <v>577</v>
      </c>
      <c r="F256" s="65" t="s">
        <v>581</v>
      </c>
      <c r="G256" s="66" t="s">
        <v>575</v>
      </c>
      <c r="H256" s="65" t="s">
        <v>580</v>
      </c>
      <c r="I256" s="65" t="s">
        <v>584</v>
      </c>
      <c r="J256" s="72" t="s">
        <v>130</v>
      </c>
      <c r="K256" s="72" t="s">
        <v>17</v>
      </c>
      <c r="L256" s="58">
        <f>VLOOKUP(K256,코드!$B$3:$C$29,2,FALSE)</f>
        <v>4241130</v>
      </c>
      <c r="M256" s="72" t="s">
        <v>583</v>
      </c>
      <c r="N256" s="79" t="s">
        <v>578</v>
      </c>
      <c r="O256" s="75">
        <v>550000</v>
      </c>
      <c r="P256" s="75">
        <v>1</v>
      </c>
      <c r="Q256" s="75">
        <v>1</v>
      </c>
      <c r="R256" s="75">
        <f>O256*P256*Q256</f>
        <v>550000</v>
      </c>
      <c r="S256" s="75">
        <v>550000</v>
      </c>
      <c r="T256" s="78">
        <v>550000</v>
      </c>
      <c r="U256" s="185" t="s">
        <v>542</v>
      </c>
      <c r="V256" s="60">
        <f t="shared" si="20"/>
        <v>1</v>
      </c>
      <c r="W256" s="73"/>
      <c r="X256" s="74"/>
      <c r="Y256" s="46"/>
      <c r="AC256" s="46"/>
    </row>
    <row r="257" spans="1:29" s="59" customFormat="1" ht="17.25" customHeight="1">
      <c r="A257" s="59" t="s">
        <v>257</v>
      </c>
      <c r="B257" s="72" t="s">
        <v>531</v>
      </c>
      <c r="C257" s="155" t="s">
        <v>152</v>
      </c>
      <c r="D257" s="58" t="str">
        <f>VLOOKUP(C257,코드!$E$3:$F$30,2,FALSE)</f>
        <v>8701</v>
      </c>
      <c r="E257" s="65" t="s">
        <v>577</v>
      </c>
      <c r="F257" s="65" t="s">
        <v>581</v>
      </c>
      <c r="G257" s="66" t="s">
        <v>575</v>
      </c>
      <c r="H257" s="65" t="s">
        <v>580</v>
      </c>
      <c r="I257" s="65" t="s">
        <v>582</v>
      </c>
      <c r="J257" s="72" t="s">
        <v>130</v>
      </c>
      <c r="K257" s="72" t="s">
        <v>17</v>
      </c>
      <c r="L257" s="58">
        <f>VLOOKUP(K257,코드!$B$3:$C$29,2,FALSE)</f>
        <v>4241130</v>
      </c>
      <c r="M257" s="72" t="s">
        <v>105</v>
      </c>
      <c r="N257" s="79" t="s">
        <v>578</v>
      </c>
      <c r="O257" s="75">
        <v>1000000</v>
      </c>
      <c r="P257" s="75">
        <v>1</v>
      </c>
      <c r="Q257" s="75">
        <v>4</v>
      </c>
      <c r="R257" s="75">
        <v>4000000</v>
      </c>
      <c r="S257" s="75">
        <v>4000000</v>
      </c>
      <c r="T257" s="78">
        <v>4000000</v>
      </c>
      <c r="U257" s="188" t="s">
        <v>136</v>
      </c>
      <c r="V257" s="60">
        <f t="shared" si="20"/>
        <v>1</v>
      </c>
      <c r="W257" s="73"/>
      <c r="X257" s="74"/>
      <c r="Y257" s="46"/>
      <c r="AC257" s="46"/>
    </row>
    <row r="258" spans="1:29" s="59" customFormat="1" ht="17.25" customHeight="1">
      <c r="A258" s="59" t="s">
        <v>257</v>
      </c>
      <c r="B258" s="72" t="s">
        <v>531</v>
      </c>
      <c r="C258" s="155" t="s">
        <v>152</v>
      </c>
      <c r="D258" s="58" t="str">
        <f>VLOOKUP(C258,코드!$E$3:$F$30,2,FALSE)</f>
        <v>8701</v>
      </c>
      <c r="E258" s="65" t="s">
        <v>577</v>
      </c>
      <c r="F258" s="65" t="s">
        <v>581</v>
      </c>
      <c r="G258" s="66" t="s">
        <v>575</v>
      </c>
      <c r="H258" s="65" t="s">
        <v>580</v>
      </c>
      <c r="I258" s="65" t="s">
        <v>579</v>
      </c>
      <c r="J258" s="72" t="s">
        <v>130</v>
      </c>
      <c r="K258" s="72" t="s">
        <v>17</v>
      </c>
      <c r="L258" s="58">
        <f>VLOOKUP(K258,코드!$B$3:$C$29,2,FALSE)</f>
        <v>4241130</v>
      </c>
      <c r="M258" s="72" t="s">
        <v>120</v>
      </c>
      <c r="N258" s="79" t="s">
        <v>578</v>
      </c>
      <c r="O258" s="75">
        <v>1500000</v>
      </c>
      <c r="P258" s="75">
        <v>1</v>
      </c>
      <c r="Q258" s="75">
        <v>1</v>
      </c>
      <c r="R258" s="75">
        <f>O258*P258*Q258</f>
        <v>1500000</v>
      </c>
      <c r="S258" s="75">
        <v>1500000</v>
      </c>
      <c r="T258" s="78">
        <v>1500000</v>
      </c>
      <c r="U258" s="185" t="s">
        <v>542</v>
      </c>
      <c r="V258" s="60">
        <f t="shared" si="20"/>
        <v>1</v>
      </c>
      <c r="W258" s="73"/>
      <c r="X258" s="74"/>
      <c r="Y258" s="46"/>
      <c r="AC258" s="46"/>
    </row>
    <row r="259" spans="1:29" s="59" customFormat="1" ht="17.25" customHeight="1">
      <c r="A259" s="59" t="s">
        <v>257</v>
      </c>
      <c r="B259" s="72" t="s">
        <v>531</v>
      </c>
      <c r="C259" s="155" t="s">
        <v>152</v>
      </c>
      <c r="D259" s="58" t="str">
        <f>VLOOKUP(C259,코드!$E$3:$F$30,2,FALSE)</f>
        <v>8701</v>
      </c>
      <c r="E259" s="65" t="s">
        <v>577</v>
      </c>
      <c r="F259" s="65" t="s">
        <v>581</v>
      </c>
      <c r="G259" s="66" t="s">
        <v>575</v>
      </c>
      <c r="H259" s="65" t="s">
        <v>574</v>
      </c>
      <c r="I259" s="65" t="s">
        <v>1067</v>
      </c>
      <c r="J259" s="72" t="s">
        <v>205</v>
      </c>
      <c r="K259" s="72" t="s">
        <v>34</v>
      </c>
      <c r="L259" s="58">
        <f>VLOOKUP(K259,코드!$B$3:$C$29,2,FALSE)</f>
        <v>1314901</v>
      </c>
      <c r="M259" s="72" t="s">
        <v>572</v>
      </c>
      <c r="N259" s="79" t="s">
        <v>571</v>
      </c>
      <c r="O259" s="75">
        <v>0</v>
      </c>
      <c r="P259" s="75">
        <v>0</v>
      </c>
      <c r="Q259" s="75">
        <v>0</v>
      </c>
      <c r="R259" s="75">
        <f>O259*P259*Q259</f>
        <v>0</v>
      </c>
      <c r="S259" s="75">
        <v>0</v>
      </c>
      <c r="T259" s="78">
        <v>0</v>
      </c>
      <c r="U259" s="71"/>
      <c r="V259" s="60" t="e">
        <f t="shared" si="20"/>
        <v>#DIV/0!</v>
      </c>
      <c r="W259" s="73"/>
      <c r="X259" s="74"/>
      <c r="Y259" s="46"/>
      <c r="AC259" s="46"/>
    </row>
    <row r="260" spans="1:29" s="59" customFormat="1" ht="17.25" customHeight="1">
      <c r="A260" s="59" t="s">
        <v>257</v>
      </c>
      <c r="B260" s="72"/>
      <c r="C260" s="155"/>
      <c r="D260" s="79" t="e">
        <f>VLOOKUP(C260,[1]코드!$E$3:$F$29,2,FALSE)</f>
        <v>#N/A</v>
      </c>
      <c r="E260" s="65"/>
      <c r="F260" s="65"/>
      <c r="G260" s="66"/>
      <c r="H260" s="65"/>
      <c r="I260" s="65"/>
      <c r="J260" s="72"/>
      <c r="K260" s="72"/>
      <c r="L260" s="79" t="e">
        <f>VLOOKUP(K260,[1]코드!$B$3:$C$29,2,FALSE)</f>
        <v>#N/A</v>
      </c>
      <c r="M260" s="72"/>
      <c r="N260" s="58"/>
      <c r="O260" s="75"/>
      <c r="P260" s="75"/>
      <c r="Q260" s="75"/>
      <c r="R260" s="75"/>
      <c r="S260" s="75"/>
      <c r="T260" s="78">
        <v>0</v>
      </c>
      <c r="U260" s="71"/>
      <c r="V260" s="60" t="s">
        <v>126</v>
      </c>
      <c r="W260" s="46"/>
      <c r="X260" s="74"/>
      <c r="Y260" s="46"/>
      <c r="AC260" s="46"/>
    </row>
    <row r="261" spans="1:29" s="59" customFormat="1" ht="17.25" customHeight="1">
      <c r="A261" s="59" t="s">
        <v>257</v>
      </c>
      <c r="B261" s="72" t="s">
        <v>531</v>
      </c>
      <c r="C261" s="155" t="s">
        <v>152</v>
      </c>
      <c r="D261" s="58" t="str">
        <f>VLOOKUP(C261,코드!$E$3:$F$30,2,FALSE)</f>
        <v>8701</v>
      </c>
      <c r="E261" s="65" t="s">
        <v>525</v>
      </c>
      <c r="F261" s="65" t="s">
        <v>558</v>
      </c>
      <c r="G261" s="66" t="s">
        <v>561</v>
      </c>
      <c r="H261" s="65" t="s">
        <v>570</v>
      </c>
      <c r="I261" s="65" t="s">
        <v>569</v>
      </c>
      <c r="J261" s="72" t="s">
        <v>130</v>
      </c>
      <c r="K261" s="72" t="s">
        <v>568</v>
      </c>
      <c r="L261" s="58">
        <f>VLOOKUP(K261,코드!$B$3:$C$29,2,FALSE)</f>
        <v>4241130</v>
      </c>
      <c r="M261" s="72" t="s">
        <v>109</v>
      </c>
      <c r="N261" s="79" t="s">
        <v>523</v>
      </c>
      <c r="O261" s="75">
        <v>30000</v>
      </c>
      <c r="P261" s="75">
        <v>5</v>
      </c>
      <c r="Q261" s="75">
        <v>3</v>
      </c>
      <c r="R261" s="75">
        <f>O261*P261*Q261</f>
        <v>450000</v>
      </c>
      <c r="S261" s="75"/>
      <c r="T261" s="78">
        <v>450000</v>
      </c>
      <c r="U261" s="185" t="s">
        <v>542</v>
      </c>
      <c r="V261" s="60">
        <f t="shared" ref="V261:V277" si="21">T261/R261</f>
        <v>1</v>
      </c>
      <c r="W261" s="46"/>
      <c r="X261" s="74"/>
      <c r="Y261" s="46"/>
      <c r="AC261" s="46"/>
    </row>
    <row r="262" spans="1:29" s="59" customFormat="1" ht="17.25" customHeight="1">
      <c r="A262" s="59" t="s">
        <v>257</v>
      </c>
      <c r="B262" s="72" t="s">
        <v>531</v>
      </c>
      <c r="C262" s="155" t="s">
        <v>152</v>
      </c>
      <c r="D262" s="58" t="str">
        <f>VLOOKUP(C262,코드!$E$3:$F$30,2,FALSE)</f>
        <v>8701</v>
      </c>
      <c r="E262" s="65" t="s">
        <v>525</v>
      </c>
      <c r="F262" s="65" t="s">
        <v>558</v>
      </c>
      <c r="G262" s="66" t="s">
        <v>561</v>
      </c>
      <c r="H262" s="65" t="s">
        <v>566</v>
      </c>
      <c r="I262" s="65" t="s">
        <v>567</v>
      </c>
      <c r="J262" s="72" t="s">
        <v>130</v>
      </c>
      <c r="K262" s="72" t="s">
        <v>17</v>
      </c>
      <c r="L262" s="58">
        <f>VLOOKUP(K262,코드!$B$3:$C$29,2,FALSE)</f>
        <v>4241130</v>
      </c>
      <c r="M262" s="72" t="s">
        <v>120</v>
      </c>
      <c r="N262" s="79" t="s">
        <v>523</v>
      </c>
      <c r="O262" s="75">
        <v>0</v>
      </c>
      <c r="P262" s="75">
        <v>0</v>
      </c>
      <c r="Q262" s="75">
        <v>0</v>
      </c>
      <c r="R262" s="75">
        <f>O262*P262*Q262</f>
        <v>0</v>
      </c>
      <c r="S262" s="75"/>
      <c r="T262" s="78">
        <v>0</v>
      </c>
      <c r="U262" s="71"/>
      <c r="V262" s="60" t="e">
        <f t="shared" si="21"/>
        <v>#DIV/0!</v>
      </c>
      <c r="W262" s="46"/>
      <c r="X262" s="74"/>
      <c r="Y262" s="46"/>
      <c r="AC262" s="46"/>
    </row>
    <row r="263" spans="1:29" s="59" customFormat="1" ht="17.25" customHeight="1">
      <c r="A263" s="59" t="s">
        <v>257</v>
      </c>
      <c r="B263" s="72" t="s">
        <v>531</v>
      </c>
      <c r="C263" s="155" t="s">
        <v>152</v>
      </c>
      <c r="D263" s="58" t="str">
        <f>VLOOKUP(C263,코드!$E$3:$F$30,2,FALSE)</f>
        <v>8701</v>
      </c>
      <c r="E263" s="65" t="s">
        <v>525</v>
      </c>
      <c r="F263" s="65" t="s">
        <v>558</v>
      </c>
      <c r="G263" s="66" t="s">
        <v>561</v>
      </c>
      <c r="H263" s="65" t="s">
        <v>566</v>
      </c>
      <c r="I263" s="65" t="s">
        <v>565</v>
      </c>
      <c r="J263" s="72" t="s">
        <v>130</v>
      </c>
      <c r="K263" s="72" t="s">
        <v>29</v>
      </c>
      <c r="L263" s="58">
        <f>VLOOKUP(K263,코드!$B$3:$C$29,2,FALSE)</f>
        <v>4113401</v>
      </c>
      <c r="M263" s="72" t="s">
        <v>564</v>
      </c>
      <c r="N263" s="79" t="s">
        <v>523</v>
      </c>
      <c r="O263" s="75">
        <v>0</v>
      </c>
      <c r="P263" s="75">
        <v>0</v>
      </c>
      <c r="Q263" s="75">
        <v>0</v>
      </c>
      <c r="R263" s="75">
        <f>O263*P263*Q263</f>
        <v>0</v>
      </c>
      <c r="S263" s="75"/>
      <c r="T263" s="78">
        <v>0</v>
      </c>
      <c r="U263" s="71"/>
      <c r="V263" s="60" t="e">
        <f t="shared" si="21"/>
        <v>#DIV/0!</v>
      </c>
      <c r="W263" s="46"/>
      <c r="X263" s="74"/>
      <c r="Y263" s="46"/>
      <c r="AC263" s="46"/>
    </row>
    <row r="264" spans="1:29" s="59" customFormat="1" ht="17.25" customHeight="1">
      <c r="A264" s="59" t="s">
        <v>257</v>
      </c>
      <c r="B264" s="72" t="s">
        <v>531</v>
      </c>
      <c r="C264" s="155" t="s">
        <v>152</v>
      </c>
      <c r="D264" s="58" t="str">
        <f>VLOOKUP(C264,코드!$E$3:$F$30,2,FALSE)</f>
        <v>8701</v>
      </c>
      <c r="E264" s="65" t="s">
        <v>525</v>
      </c>
      <c r="F264" s="65" t="s">
        <v>563</v>
      </c>
      <c r="G264" s="66" t="s">
        <v>561</v>
      </c>
      <c r="H264" s="65" t="s">
        <v>560</v>
      </c>
      <c r="I264" s="65" t="s">
        <v>562</v>
      </c>
      <c r="J264" s="72" t="s">
        <v>130</v>
      </c>
      <c r="K264" s="72" t="s">
        <v>29</v>
      </c>
      <c r="L264" s="58">
        <f>VLOOKUP(K264,코드!$B$3:$C$29,2,FALSE)</f>
        <v>4113401</v>
      </c>
      <c r="M264" s="72" t="s">
        <v>540</v>
      </c>
      <c r="N264" s="79" t="s">
        <v>523</v>
      </c>
      <c r="O264" s="75">
        <v>50000</v>
      </c>
      <c r="P264" s="75">
        <v>10</v>
      </c>
      <c r="Q264" s="75">
        <v>16</v>
      </c>
      <c r="R264" s="75">
        <f>O264*P264*Q264</f>
        <v>8000000</v>
      </c>
      <c r="S264" s="75"/>
      <c r="T264" s="78">
        <v>8000000</v>
      </c>
      <c r="U264" s="185" t="s">
        <v>542</v>
      </c>
      <c r="V264" s="60">
        <f t="shared" si="21"/>
        <v>1</v>
      </c>
      <c r="W264" s="46"/>
      <c r="X264" s="74"/>
      <c r="Y264" s="46"/>
      <c r="AC264" s="46"/>
    </row>
    <row r="265" spans="1:29" s="59" customFormat="1" ht="17.25" customHeight="1">
      <c r="A265" s="59" t="s">
        <v>257</v>
      </c>
      <c r="B265" s="72" t="s">
        <v>531</v>
      </c>
      <c r="C265" s="155" t="s">
        <v>152</v>
      </c>
      <c r="D265" s="58" t="str">
        <f>VLOOKUP(C265,코드!$E$3:$F$30,2,FALSE)</f>
        <v>8701</v>
      </c>
      <c r="E265" s="65" t="s">
        <v>525</v>
      </c>
      <c r="F265" s="65" t="s">
        <v>558</v>
      </c>
      <c r="G265" s="66" t="s">
        <v>561</v>
      </c>
      <c r="H265" s="65" t="s">
        <v>560</v>
      </c>
      <c r="I265" s="65" t="s">
        <v>559</v>
      </c>
      <c r="J265" s="72" t="s">
        <v>130</v>
      </c>
      <c r="K265" s="72" t="s">
        <v>17</v>
      </c>
      <c r="L265" s="58">
        <f>VLOOKUP(K265,코드!$B$3:$C$29,2,FALSE)</f>
        <v>4241130</v>
      </c>
      <c r="M265" s="72" t="s">
        <v>540</v>
      </c>
      <c r="N265" s="79" t="s">
        <v>523</v>
      </c>
      <c r="O265" s="75">
        <v>50000</v>
      </c>
      <c r="P265" s="75">
        <v>2</v>
      </c>
      <c r="Q265" s="75">
        <v>40</v>
      </c>
      <c r="R265" s="75">
        <f>O265*P265*Q265</f>
        <v>4000000</v>
      </c>
      <c r="S265" s="75"/>
      <c r="T265" s="78">
        <v>4000000</v>
      </c>
      <c r="U265" s="185" t="s">
        <v>542</v>
      </c>
      <c r="V265" s="60">
        <f t="shared" si="21"/>
        <v>1</v>
      </c>
      <c r="W265" s="46"/>
      <c r="X265" s="74"/>
      <c r="Y265" s="46"/>
      <c r="AC265" s="46"/>
    </row>
    <row r="266" spans="1:29" s="59" customFormat="1" ht="17.25" customHeight="1">
      <c r="A266" s="59" t="s">
        <v>257</v>
      </c>
      <c r="B266" s="72" t="s">
        <v>531</v>
      </c>
      <c r="C266" s="155" t="s">
        <v>152</v>
      </c>
      <c r="D266" s="58" t="str">
        <f>VLOOKUP(C266,코드!$E$3:$F$30,2,FALSE)</f>
        <v>8701</v>
      </c>
      <c r="E266" s="65" t="s">
        <v>525</v>
      </c>
      <c r="F266" s="65" t="s">
        <v>558</v>
      </c>
      <c r="G266" s="66" t="s">
        <v>557</v>
      </c>
      <c r="H266" s="65" t="s">
        <v>556</v>
      </c>
      <c r="I266" s="65" t="s">
        <v>555</v>
      </c>
      <c r="J266" s="72" t="s">
        <v>130</v>
      </c>
      <c r="K266" s="72" t="s">
        <v>17</v>
      </c>
      <c r="L266" s="58">
        <f>VLOOKUP(K266,코드!$B$3:$C$29,2,FALSE)</f>
        <v>4241130</v>
      </c>
      <c r="M266" s="72" t="s">
        <v>129</v>
      </c>
      <c r="N266" s="79" t="s">
        <v>523</v>
      </c>
      <c r="O266" s="75">
        <v>800000</v>
      </c>
      <c r="P266" s="75">
        <v>1</v>
      </c>
      <c r="Q266" s="75">
        <v>1</v>
      </c>
      <c r="R266" s="75">
        <v>500000</v>
      </c>
      <c r="S266" s="75"/>
      <c r="T266" s="78">
        <v>0</v>
      </c>
      <c r="U266" s="71"/>
      <c r="V266" s="60">
        <f t="shared" si="21"/>
        <v>0</v>
      </c>
      <c r="W266" s="46"/>
      <c r="X266" s="74"/>
      <c r="Y266" s="46"/>
      <c r="AC266" s="46"/>
    </row>
    <row r="267" spans="1:29" s="59" customFormat="1" ht="17.25" customHeight="1">
      <c r="A267" s="59" t="s">
        <v>257</v>
      </c>
      <c r="B267" s="72" t="s">
        <v>531</v>
      </c>
      <c r="C267" s="155" t="s">
        <v>152</v>
      </c>
      <c r="D267" s="58" t="str">
        <f>VLOOKUP(C267,코드!$E$3:$F$30,2,FALSE)</f>
        <v>8701</v>
      </c>
      <c r="E267" s="65" t="s">
        <v>525</v>
      </c>
      <c r="F267" s="65" t="s">
        <v>553</v>
      </c>
      <c r="G267" s="66" t="s">
        <v>552</v>
      </c>
      <c r="H267" s="65" t="s">
        <v>551</v>
      </c>
      <c r="I267" s="65" t="s">
        <v>554</v>
      </c>
      <c r="J267" s="72" t="s">
        <v>130</v>
      </c>
      <c r="K267" s="72" t="s">
        <v>17</v>
      </c>
      <c r="L267" s="58">
        <f>VLOOKUP(K267,코드!$B$3:$C$29,2,FALSE)</f>
        <v>4241130</v>
      </c>
      <c r="M267" s="72" t="s">
        <v>120</v>
      </c>
      <c r="N267" s="79" t="s">
        <v>523</v>
      </c>
      <c r="O267" s="75">
        <v>30000000</v>
      </c>
      <c r="P267" s="75">
        <v>1</v>
      </c>
      <c r="Q267" s="75">
        <v>1</v>
      </c>
      <c r="R267" s="75">
        <v>18675740</v>
      </c>
      <c r="S267" s="75"/>
      <c r="T267" s="78">
        <v>18675740</v>
      </c>
      <c r="U267" s="185" t="s">
        <v>542</v>
      </c>
      <c r="V267" s="60">
        <f t="shared" si="21"/>
        <v>1</v>
      </c>
      <c r="W267" s="73"/>
      <c r="X267" s="74"/>
      <c r="Y267" s="46"/>
      <c r="AC267" s="46"/>
    </row>
    <row r="268" spans="1:29" s="59" customFormat="1" ht="17.25" customHeight="1">
      <c r="A268" s="59" t="s">
        <v>257</v>
      </c>
      <c r="B268" s="72" t="s">
        <v>531</v>
      </c>
      <c r="C268" s="155" t="s">
        <v>152</v>
      </c>
      <c r="D268" s="58" t="str">
        <f>VLOOKUP(C268,코드!$E$3:$F$30,2,FALSE)</f>
        <v>8701</v>
      </c>
      <c r="E268" s="65" t="s">
        <v>525</v>
      </c>
      <c r="F268" s="65" t="s">
        <v>553</v>
      </c>
      <c r="G268" s="66" t="s">
        <v>552</v>
      </c>
      <c r="H268" s="65" t="s">
        <v>551</v>
      </c>
      <c r="I268" s="65" t="s">
        <v>550</v>
      </c>
      <c r="J268" s="72" t="s">
        <v>42</v>
      </c>
      <c r="K268" s="72" t="s">
        <v>9</v>
      </c>
      <c r="L268" s="58">
        <f>VLOOKUP(K268,코드!$B$3:$C$29,2,FALSE)</f>
        <v>4321701</v>
      </c>
      <c r="M268" s="72" t="s">
        <v>42</v>
      </c>
      <c r="N268" s="79" t="s">
        <v>549</v>
      </c>
      <c r="O268" s="75">
        <v>1806000</v>
      </c>
      <c r="P268" s="75">
        <v>1</v>
      </c>
      <c r="Q268" s="75">
        <v>1</v>
      </c>
      <c r="R268" s="160">
        <v>939120</v>
      </c>
      <c r="S268" s="75"/>
      <c r="T268" s="186">
        <v>939120</v>
      </c>
      <c r="U268" s="185" t="s">
        <v>542</v>
      </c>
      <c r="V268" s="60">
        <f t="shared" si="21"/>
        <v>1</v>
      </c>
      <c r="W268" s="183"/>
      <c r="X268" s="74"/>
      <c r="Y268" s="46"/>
      <c r="AC268" s="46"/>
    </row>
    <row r="269" spans="1:29" s="178" customFormat="1" ht="17.25" customHeight="1">
      <c r="A269" s="59" t="s">
        <v>257</v>
      </c>
      <c r="B269" s="72" t="s">
        <v>531</v>
      </c>
      <c r="C269" s="155" t="s">
        <v>152</v>
      </c>
      <c r="D269" s="58" t="str">
        <f>VLOOKUP(C269,코드!$E$3:$F$30,2,FALSE)</f>
        <v>8701</v>
      </c>
      <c r="E269" s="65" t="s">
        <v>525</v>
      </c>
      <c r="F269" s="65" t="s">
        <v>548</v>
      </c>
      <c r="G269" s="66" t="s">
        <v>547</v>
      </c>
      <c r="H269" s="65" t="s">
        <v>546</v>
      </c>
      <c r="I269" s="65" t="s">
        <v>545</v>
      </c>
      <c r="J269" s="72" t="s">
        <v>130</v>
      </c>
      <c r="K269" s="72" t="s">
        <v>17</v>
      </c>
      <c r="L269" s="58">
        <f>VLOOKUP(K269,코드!$B$3:$C$29,2,FALSE)</f>
        <v>4241130</v>
      </c>
      <c r="M269" s="72" t="s">
        <v>109</v>
      </c>
      <c r="N269" s="79" t="s">
        <v>523</v>
      </c>
      <c r="O269" s="75">
        <v>1000000</v>
      </c>
      <c r="P269" s="75">
        <v>1</v>
      </c>
      <c r="Q269" s="75">
        <v>3</v>
      </c>
      <c r="R269" s="160">
        <v>4000000</v>
      </c>
      <c r="S269" s="75"/>
      <c r="T269" s="186">
        <v>4000000</v>
      </c>
      <c r="U269" s="185" t="s">
        <v>542</v>
      </c>
      <c r="V269" s="60">
        <f t="shared" si="21"/>
        <v>1</v>
      </c>
      <c r="W269" s="179"/>
      <c r="X269" s="180"/>
      <c r="Y269" s="179"/>
      <c r="AC269" s="179"/>
    </row>
    <row r="270" spans="1:29" s="59" customFormat="1" ht="17.25" customHeight="1">
      <c r="A270" s="59" t="s">
        <v>257</v>
      </c>
      <c r="B270" s="72" t="s">
        <v>531</v>
      </c>
      <c r="C270" s="155" t="s">
        <v>152</v>
      </c>
      <c r="D270" s="58" t="str">
        <f>VLOOKUP(C270,코드!$E$3:$F$30,2,FALSE)</f>
        <v>8701</v>
      </c>
      <c r="E270" s="65" t="s">
        <v>525</v>
      </c>
      <c r="F270" s="65" t="s">
        <v>524</v>
      </c>
      <c r="G270" s="66" t="s">
        <v>530</v>
      </c>
      <c r="H270" s="65" t="s">
        <v>539</v>
      </c>
      <c r="I270" s="96" t="s">
        <v>544</v>
      </c>
      <c r="J270" s="72" t="s">
        <v>42</v>
      </c>
      <c r="K270" s="72" t="s">
        <v>15</v>
      </c>
      <c r="L270" s="58">
        <f>VLOOKUP(K270,코드!$B$3:$C$29,2,FALSE)</f>
        <v>4321701</v>
      </c>
      <c r="M270" s="72" t="s">
        <v>42</v>
      </c>
      <c r="N270" s="79" t="s">
        <v>527</v>
      </c>
      <c r="O270" s="75">
        <v>111000000</v>
      </c>
      <c r="P270" s="75">
        <v>1</v>
      </c>
      <c r="Q270" s="75">
        <v>1</v>
      </c>
      <c r="R270" s="75">
        <f>O270*P270*Q270</f>
        <v>111000000</v>
      </c>
      <c r="S270" s="75"/>
      <c r="T270" s="187">
        <f>55500000+55500000</f>
        <v>111000000</v>
      </c>
      <c r="U270" s="185" t="s">
        <v>542</v>
      </c>
      <c r="V270" s="60">
        <f t="shared" si="21"/>
        <v>1</v>
      </c>
      <c r="W270" s="46"/>
      <c r="X270" s="74"/>
      <c r="Y270" s="46"/>
      <c r="AC270" s="46"/>
    </row>
    <row r="271" spans="1:29" s="178" customFormat="1" ht="17.25" customHeight="1">
      <c r="A271" s="59" t="s">
        <v>257</v>
      </c>
      <c r="B271" s="72" t="s">
        <v>531</v>
      </c>
      <c r="C271" s="155" t="s">
        <v>152</v>
      </c>
      <c r="D271" s="58" t="str">
        <f>VLOOKUP(C271,코드!$E$3:$F$30,2,FALSE)</f>
        <v>8701</v>
      </c>
      <c r="E271" s="65" t="s">
        <v>525</v>
      </c>
      <c r="F271" s="65" t="s">
        <v>534</v>
      </c>
      <c r="G271" s="66" t="s">
        <v>530</v>
      </c>
      <c r="H271" s="65" t="s">
        <v>539</v>
      </c>
      <c r="I271" s="96" t="s">
        <v>543</v>
      </c>
      <c r="J271" s="72" t="s">
        <v>130</v>
      </c>
      <c r="K271" s="72" t="s">
        <v>17</v>
      </c>
      <c r="L271" s="58">
        <f>VLOOKUP(K271,코드!$B$3:$C$29,2,FALSE)</f>
        <v>4241130</v>
      </c>
      <c r="M271" s="72" t="s">
        <v>120</v>
      </c>
      <c r="N271" s="79" t="s">
        <v>523</v>
      </c>
      <c r="O271" s="75">
        <v>12000000</v>
      </c>
      <c r="P271" s="75">
        <v>1</v>
      </c>
      <c r="Q271" s="75">
        <v>1</v>
      </c>
      <c r="R271" s="75">
        <v>12600000</v>
      </c>
      <c r="S271" s="75"/>
      <c r="T271" s="186">
        <v>12600000</v>
      </c>
      <c r="U271" s="185" t="s">
        <v>542</v>
      </c>
      <c r="V271" s="60">
        <f t="shared" si="21"/>
        <v>1</v>
      </c>
      <c r="W271" s="179"/>
      <c r="X271" s="180"/>
      <c r="Y271" s="179"/>
      <c r="AC271" s="179"/>
    </row>
    <row r="272" spans="1:29" s="178" customFormat="1" ht="17.25" customHeight="1">
      <c r="A272" s="59" t="s">
        <v>257</v>
      </c>
      <c r="B272" s="72" t="s">
        <v>531</v>
      </c>
      <c r="C272" s="155" t="s">
        <v>152</v>
      </c>
      <c r="D272" s="58" t="str">
        <f>VLOOKUP(C272,코드!$E$3:$F$30,2,FALSE)</f>
        <v>8701</v>
      </c>
      <c r="E272" s="65" t="s">
        <v>525</v>
      </c>
      <c r="F272" s="65" t="s">
        <v>524</v>
      </c>
      <c r="G272" s="66" t="s">
        <v>530</v>
      </c>
      <c r="H272" s="65" t="s">
        <v>539</v>
      </c>
      <c r="I272" s="182" t="s">
        <v>541</v>
      </c>
      <c r="J272" s="72" t="s">
        <v>130</v>
      </c>
      <c r="K272" s="72" t="s">
        <v>29</v>
      </c>
      <c r="L272" s="58">
        <f>VLOOKUP(K272,코드!$B$3:$C$29,2,FALSE)</f>
        <v>4113401</v>
      </c>
      <c r="M272" s="72" t="s">
        <v>540</v>
      </c>
      <c r="N272" s="79" t="s">
        <v>523</v>
      </c>
      <c r="O272" s="75">
        <v>1200000</v>
      </c>
      <c r="P272" s="75">
        <v>1</v>
      </c>
      <c r="Q272" s="75">
        <v>1</v>
      </c>
      <c r="R272" s="164">
        <v>1200000</v>
      </c>
      <c r="S272" s="164"/>
      <c r="T272" s="156">
        <v>1200000</v>
      </c>
      <c r="U272" s="184" t="s">
        <v>877</v>
      </c>
      <c r="V272" s="60">
        <f t="shared" si="21"/>
        <v>1</v>
      </c>
      <c r="W272" s="183"/>
      <c r="X272" s="180"/>
      <c r="Y272" s="88"/>
      <c r="Z272" s="16"/>
      <c r="AA272" s="16"/>
      <c r="AC272" s="179"/>
    </row>
    <row r="273" spans="1:29" s="178" customFormat="1" ht="17.25" customHeight="1">
      <c r="A273" s="59" t="s">
        <v>257</v>
      </c>
      <c r="B273" s="72" t="s">
        <v>531</v>
      </c>
      <c r="C273" s="155" t="s">
        <v>152</v>
      </c>
      <c r="D273" s="58" t="str">
        <f>VLOOKUP(C273,코드!$E$3:$F$30,2,FALSE)</f>
        <v>8701</v>
      </c>
      <c r="E273" s="65" t="s">
        <v>525</v>
      </c>
      <c r="F273" s="65" t="s">
        <v>524</v>
      </c>
      <c r="G273" s="66" t="s">
        <v>530</v>
      </c>
      <c r="H273" s="65" t="s">
        <v>539</v>
      </c>
      <c r="I273" s="182" t="s">
        <v>538</v>
      </c>
      <c r="J273" s="72" t="s">
        <v>42</v>
      </c>
      <c r="K273" s="72" t="s">
        <v>15</v>
      </c>
      <c r="L273" s="58">
        <f>VLOOKUP(K273,코드!$B$3:$C$29,2,FALSE)</f>
        <v>4321701</v>
      </c>
      <c r="M273" s="72" t="s">
        <v>235</v>
      </c>
      <c r="N273" s="79" t="s">
        <v>527</v>
      </c>
      <c r="O273" s="75"/>
      <c r="P273" s="75"/>
      <c r="Q273" s="75"/>
      <c r="R273" s="257">
        <v>10000000</v>
      </c>
      <c r="S273" s="75"/>
      <c r="T273" s="156">
        <v>866880</v>
      </c>
      <c r="U273" s="185"/>
      <c r="V273" s="60">
        <f t="shared" si="21"/>
        <v>8.6688000000000001E-2</v>
      </c>
      <c r="W273" s="179"/>
      <c r="X273" s="180"/>
      <c r="Y273" s="179"/>
      <c r="AC273" s="179"/>
    </row>
    <row r="274" spans="1:29" s="59" customFormat="1" ht="17.25" customHeight="1">
      <c r="A274" s="59" t="s">
        <v>257</v>
      </c>
      <c r="B274" s="72" t="s">
        <v>531</v>
      </c>
      <c r="C274" s="155" t="s">
        <v>152</v>
      </c>
      <c r="D274" s="58" t="str">
        <f>VLOOKUP(C274,코드!$E$3:$F$30,2,FALSE)</f>
        <v>8701</v>
      </c>
      <c r="E274" s="65" t="s">
        <v>525</v>
      </c>
      <c r="F274" s="65" t="s">
        <v>524</v>
      </c>
      <c r="G274" s="66" t="s">
        <v>530</v>
      </c>
      <c r="H274" s="65" t="s">
        <v>536</v>
      </c>
      <c r="I274" s="65" t="s">
        <v>537</v>
      </c>
      <c r="J274" s="72" t="s">
        <v>130</v>
      </c>
      <c r="K274" s="176" t="s">
        <v>17</v>
      </c>
      <c r="L274" s="58">
        <f>VLOOKUP(K274,코드!$B$3:$C$29,2,FALSE)</f>
        <v>4241130</v>
      </c>
      <c r="M274" s="176" t="s">
        <v>129</v>
      </c>
      <c r="N274" s="79" t="s">
        <v>523</v>
      </c>
      <c r="O274" s="75">
        <v>17000000</v>
      </c>
      <c r="P274" s="75">
        <v>1</v>
      </c>
      <c r="Q274" s="75">
        <v>1</v>
      </c>
      <c r="R274" s="75">
        <v>7700000</v>
      </c>
      <c r="S274" s="75"/>
      <c r="T274" s="187">
        <v>0</v>
      </c>
      <c r="U274" s="71"/>
      <c r="V274" s="60">
        <f t="shared" si="21"/>
        <v>0</v>
      </c>
      <c r="W274" s="46"/>
      <c r="X274" s="74"/>
      <c r="Y274" s="46"/>
      <c r="AC274" s="46"/>
    </row>
    <row r="275" spans="1:29" s="59" customFormat="1" ht="17.25" customHeight="1">
      <c r="A275" s="59" t="s">
        <v>257</v>
      </c>
      <c r="B275" s="72" t="s">
        <v>531</v>
      </c>
      <c r="C275" s="155" t="s">
        <v>152</v>
      </c>
      <c r="D275" s="58" t="str">
        <f>VLOOKUP(C275,코드!$E$3:$F$30,2,FALSE)</f>
        <v>8701</v>
      </c>
      <c r="E275" s="65" t="s">
        <v>525</v>
      </c>
      <c r="F275" s="65" t="s">
        <v>524</v>
      </c>
      <c r="G275" s="66" t="s">
        <v>530</v>
      </c>
      <c r="H275" s="65" t="s">
        <v>536</v>
      </c>
      <c r="I275" s="65" t="s">
        <v>535</v>
      </c>
      <c r="J275" s="72" t="s">
        <v>60</v>
      </c>
      <c r="K275" s="72" t="s">
        <v>17</v>
      </c>
      <c r="L275" s="58">
        <f>VLOOKUP(K275,코드!$B$3:$C$29,2,FALSE)</f>
        <v>4241130</v>
      </c>
      <c r="M275" s="72" t="s">
        <v>120</v>
      </c>
      <c r="N275" s="79" t="s">
        <v>523</v>
      </c>
      <c r="O275" s="75">
        <v>36000000</v>
      </c>
      <c r="P275" s="75">
        <v>1</v>
      </c>
      <c r="Q275" s="75">
        <v>1</v>
      </c>
      <c r="R275" s="75">
        <v>24000000</v>
      </c>
      <c r="S275" s="75"/>
      <c r="T275" s="186">
        <v>21874260</v>
      </c>
      <c r="U275" s="185" t="s">
        <v>542</v>
      </c>
      <c r="V275" s="60">
        <f t="shared" si="21"/>
        <v>0.91142749999999995</v>
      </c>
      <c r="W275" s="46"/>
      <c r="X275" s="74"/>
      <c r="Y275" s="46"/>
      <c r="AC275" s="46"/>
    </row>
    <row r="276" spans="1:29" s="59" customFormat="1" ht="17.25" customHeight="1">
      <c r="A276" s="59" t="s">
        <v>257</v>
      </c>
      <c r="B276" s="72" t="s">
        <v>531</v>
      </c>
      <c r="C276" s="155" t="s">
        <v>152</v>
      </c>
      <c r="D276" s="58" t="str">
        <f>VLOOKUP(C276,코드!$E$3:$F$30,2,FALSE)</f>
        <v>8701</v>
      </c>
      <c r="E276" s="65" t="s">
        <v>525</v>
      </c>
      <c r="F276" s="65" t="s">
        <v>534</v>
      </c>
      <c r="G276" s="66" t="s">
        <v>533</v>
      </c>
      <c r="H276" s="65" t="s">
        <v>529</v>
      </c>
      <c r="I276" s="65" t="s">
        <v>532</v>
      </c>
      <c r="J276" s="72" t="s">
        <v>130</v>
      </c>
      <c r="K276" s="72" t="s">
        <v>17</v>
      </c>
      <c r="L276" s="58">
        <f>VLOOKUP(K276,코드!$B$3:$C$29,2,FALSE)</f>
        <v>4241130</v>
      </c>
      <c r="M276" s="72" t="s">
        <v>120</v>
      </c>
      <c r="N276" s="79" t="s">
        <v>523</v>
      </c>
      <c r="O276" s="75">
        <v>1000000</v>
      </c>
      <c r="P276" s="75">
        <v>1</v>
      </c>
      <c r="Q276" s="75">
        <v>1</v>
      </c>
      <c r="R276" s="75">
        <f>O276*P276*Q276</f>
        <v>1000000</v>
      </c>
      <c r="S276" s="75"/>
      <c r="T276" s="78">
        <v>500000</v>
      </c>
      <c r="U276" s="185" t="s">
        <v>542</v>
      </c>
      <c r="V276" s="60">
        <f t="shared" si="21"/>
        <v>0.5</v>
      </c>
      <c r="W276" s="46"/>
      <c r="X276" s="74"/>
      <c r="Y276" s="46"/>
      <c r="AC276" s="46"/>
    </row>
    <row r="277" spans="1:29" s="59" customFormat="1" ht="17.25" customHeight="1">
      <c r="A277" s="59" t="s">
        <v>257</v>
      </c>
      <c r="B277" s="72" t="s">
        <v>531</v>
      </c>
      <c r="C277" s="155" t="s">
        <v>152</v>
      </c>
      <c r="D277" s="58" t="str">
        <f>VLOOKUP(C277,코드!$E$3:$F$30,2,FALSE)</f>
        <v>8701</v>
      </c>
      <c r="E277" s="65" t="s">
        <v>525</v>
      </c>
      <c r="F277" s="65" t="s">
        <v>524</v>
      </c>
      <c r="G277" s="66" t="s">
        <v>530</v>
      </c>
      <c r="H277" s="65" t="s">
        <v>529</v>
      </c>
      <c r="I277" s="65" t="s">
        <v>528</v>
      </c>
      <c r="J277" s="72" t="s">
        <v>42</v>
      </c>
      <c r="K277" s="72" t="s">
        <v>9</v>
      </c>
      <c r="L277" s="58">
        <f>VLOOKUP(K277,코드!$B$3:$C$29,2,FALSE)</f>
        <v>4321701</v>
      </c>
      <c r="M277" s="72" t="s">
        <v>42</v>
      </c>
      <c r="N277" s="79" t="s">
        <v>527</v>
      </c>
      <c r="O277" s="75">
        <v>20000000</v>
      </c>
      <c r="P277" s="75">
        <v>1</v>
      </c>
      <c r="Q277" s="75">
        <v>1</v>
      </c>
      <c r="R277" s="75">
        <f>O277*P277*Q277</f>
        <v>20000000</v>
      </c>
      <c r="S277" s="75"/>
      <c r="T277" s="78">
        <v>10000000</v>
      </c>
      <c r="U277" s="185" t="s">
        <v>542</v>
      </c>
      <c r="V277" s="60">
        <f t="shared" si="21"/>
        <v>0.5</v>
      </c>
      <c r="W277" s="46"/>
      <c r="X277" s="74"/>
      <c r="Y277" s="46"/>
      <c r="AC277" s="46"/>
    </row>
    <row r="278" spans="1:29" ht="17.25" customHeight="1">
      <c r="A278" s="59" t="s">
        <v>257</v>
      </c>
      <c r="B278" s="58"/>
      <c r="C278" s="65"/>
      <c r="D278" s="79" t="e">
        <f>VLOOKUP(C278,[1]코드!$E$3:$F$29,2,FALSE)</f>
        <v>#N/A</v>
      </c>
      <c r="E278" s="65"/>
      <c r="F278" s="65"/>
      <c r="G278" s="66"/>
      <c r="H278" s="65"/>
      <c r="I278" s="65"/>
      <c r="J278" s="58"/>
      <c r="K278" s="58"/>
      <c r="L278" s="79" t="e">
        <f>VLOOKUP(K278,[1]코드!$B$3:$C$29,2,FALSE)</f>
        <v>#N/A</v>
      </c>
      <c r="M278" s="58"/>
      <c r="N278" s="58"/>
      <c r="O278" s="63"/>
      <c r="P278" s="63"/>
      <c r="Q278" s="63"/>
      <c r="R278" s="63"/>
      <c r="S278" s="63"/>
      <c r="T278" s="62">
        <v>0</v>
      </c>
      <c r="U278" s="61"/>
      <c r="V278" s="60" t="s">
        <v>126</v>
      </c>
    </row>
    <row r="279" spans="1:29" s="59" customFormat="1" ht="17.25" customHeight="1">
      <c r="A279" s="59" t="s">
        <v>257</v>
      </c>
      <c r="B279" s="58" t="s">
        <v>338</v>
      </c>
      <c r="C279" s="155" t="s">
        <v>337</v>
      </c>
      <c r="D279" s="58" t="str">
        <f>VLOOKUP(C279,코드!$E$3:$F$30,2,FALSE)</f>
        <v>8639</v>
      </c>
      <c r="E279" s="65" t="s">
        <v>455</v>
      </c>
      <c r="F279" s="65" t="s">
        <v>507</v>
      </c>
      <c r="G279" s="66" t="s">
        <v>510</v>
      </c>
      <c r="H279" s="65" t="s">
        <v>522</v>
      </c>
      <c r="I279" s="65" t="s">
        <v>521</v>
      </c>
      <c r="J279" s="72" t="s">
        <v>60</v>
      </c>
      <c r="K279" s="72" t="s">
        <v>17</v>
      </c>
      <c r="L279" s="58">
        <f>VLOOKUP(K279,코드!$B$3:$C$29,2,FALSE)</f>
        <v>4241130</v>
      </c>
      <c r="M279" s="72" t="s">
        <v>262</v>
      </c>
      <c r="N279" s="72" t="s">
        <v>450</v>
      </c>
      <c r="O279" s="75">
        <v>100000</v>
      </c>
      <c r="P279" s="75">
        <v>25</v>
      </c>
      <c r="Q279" s="75">
        <v>2</v>
      </c>
      <c r="R279" s="75">
        <v>4200000</v>
      </c>
      <c r="S279" s="75"/>
      <c r="T279" s="78">
        <v>2200000</v>
      </c>
      <c r="U279" s="71" t="s">
        <v>378</v>
      </c>
      <c r="V279" s="60">
        <f t="shared" ref="V279:V318" si="22">T279/R279</f>
        <v>0.52380952380952384</v>
      </c>
      <c r="W279" s="46"/>
      <c r="X279" s="74"/>
      <c r="Y279" s="46"/>
      <c r="AC279" s="46"/>
    </row>
    <row r="280" spans="1:29" s="59" customFormat="1" ht="17.25" customHeight="1">
      <c r="A280" s="59" t="s">
        <v>257</v>
      </c>
      <c r="B280" s="58" t="s">
        <v>338</v>
      </c>
      <c r="C280" s="155" t="s">
        <v>337</v>
      </c>
      <c r="D280" s="58" t="str">
        <f>VLOOKUP(C280,코드!$E$3:$F$30,2,FALSE)</f>
        <v>8639</v>
      </c>
      <c r="E280" s="65" t="s">
        <v>455</v>
      </c>
      <c r="F280" s="65" t="s">
        <v>507</v>
      </c>
      <c r="G280" s="66" t="s">
        <v>510</v>
      </c>
      <c r="H280" s="65" t="s">
        <v>522</v>
      </c>
      <c r="I280" s="65" t="s">
        <v>521</v>
      </c>
      <c r="J280" s="72" t="s">
        <v>60</v>
      </c>
      <c r="K280" s="72" t="s">
        <v>17</v>
      </c>
      <c r="L280" s="58">
        <f>VLOOKUP(K280,코드!$B$3:$C$29,2,FALSE)</f>
        <v>4241130</v>
      </c>
      <c r="M280" s="176" t="s">
        <v>217</v>
      </c>
      <c r="N280" s="72" t="s">
        <v>450</v>
      </c>
      <c r="O280" s="75"/>
      <c r="P280" s="75"/>
      <c r="Q280" s="75"/>
      <c r="R280" s="75">
        <v>800000</v>
      </c>
      <c r="S280" s="75"/>
      <c r="T280" s="78">
        <v>800000</v>
      </c>
      <c r="U280" s="71" t="s">
        <v>378</v>
      </c>
      <c r="V280" s="60">
        <f t="shared" si="22"/>
        <v>1</v>
      </c>
      <c r="W280" s="46"/>
      <c r="X280" s="74"/>
      <c r="Y280" s="46"/>
      <c r="AC280" s="46"/>
    </row>
    <row r="281" spans="1:29" s="59" customFormat="1" ht="17.25" customHeight="1">
      <c r="A281" s="59" t="s">
        <v>257</v>
      </c>
      <c r="B281" s="58" t="s">
        <v>338</v>
      </c>
      <c r="C281" s="155" t="s">
        <v>337</v>
      </c>
      <c r="D281" s="58" t="str">
        <f>VLOOKUP(C281,코드!$E$3:$F$30,2,FALSE)</f>
        <v>8639</v>
      </c>
      <c r="E281" s="65" t="s">
        <v>455</v>
      </c>
      <c r="F281" s="65" t="s">
        <v>520</v>
      </c>
      <c r="G281" s="66" t="s">
        <v>510</v>
      </c>
      <c r="H281" s="65" t="s">
        <v>512</v>
      </c>
      <c r="I281" s="65" t="s">
        <v>519</v>
      </c>
      <c r="J281" s="72" t="s">
        <v>130</v>
      </c>
      <c r="K281" s="72" t="s">
        <v>17</v>
      </c>
      <c r="L281" s="58">
        <f>VLOOKUP(K281,코드!$B$3:$C$29,2,FALSE)</f>
        <v>4241130</v>
      </c>
      <c r="M281" s="72" t="s">
        <v>262</v>
      </c>
      <c r="N281" s="72" t="s">
        <v>450</v>
      </c>
      <c r="O281" s="75">
        <v>200000</v>
      </c>
      <c r="P281" s="75">
        <v>110</v>
      </c>
      <c r="Q281" s="75">
        <v>2</v>
      </c>
      <c r="R281" s="75">
        <v>52959300</v>
      </c>
      <c r="S281" s="75"/>
      <c r="T281" s="78">
        <v>32959300</v>
      </c>
      <c r="U281" s="71" t="s">
        <v>378</v>
      </c>
      <c r="V281" s="60">
        <f t="shared" si="22"/>
        <v>0.62235150389072358</v>
      </c>
      <c r="W281" s="46"/>
      <c r="X281" s="74"/>
      <c r="Y281" s="46"/>
      <c r="AC281" s="46"/>
    </row>
    <row r="282" spans="1:29" s="59" customFormat="1" ht="17.25" customHeight="1">
      <c r="A282" s="59" t="s">
        <v>257</v>
      </c>
      <c r="B282" s="58" t="s">
        <v>338</v>
      </c>
      <c r="C282" s="155" t="s">
        <v>337</v>
      </c>
      <c r="D282" s="58" t="str">
        <f>VLOOKUP(C282,코드!$E$3:$F$30,2,FALSE)</f>
        <v>8639</v>
      </c>
      <c r="E282" s="65" t="s">
        <v>455</v>
      </c>
      <c r="F282" s="65" t="s">
        <v>507</v>
      </c>
      <c r="G282" s="66" t="s">
        <v>510</v>
      </c>
      <c r="H282" s="65" t="s">
        <v>512</v>
      </c>
      <c r="I282" s="65" t="s">
        <v>518</v>
      </c>
      <c r="J282" s="72" t="s">
        <v>130</v>
      </c>
      <c r="K282" s="72" t="s">
        <v>17</v>
      </c>
      <c r="L282" s="58">
        <f>VLOOKUP(K282,코드!$B$3:$C$29,2,FALSE)</f>
        <v>4241130</v>
      </c>
      <c r="M282" s="176" t="s">
        <v>120</v>
      </c>
      <c r="N282" s="72" t="s">
        <v>450</v>
      </c>
      <c r="O282" s="75"/>
      <c r="P282" s="75"/>
      <c r="Q282" s="75"/>
      <c r="R282" s="75">
        <v>660000</v>
      </c>
      <c r="S282" s="75"/>
      <c r="T282" s="78">
        <v>660000</v>
      </c>
      <c r="U282" s="71" t="s">
        <v>378</v>
      </c>
      <c r="V282" s="60">
        <f t="shared" si="22"/>
        <v>1</v>
      </c>
      <c r="W282" s="46"/>
      <c r="X282" s="74"/>
      <c r="Y282" s="46"/>
      <c r="AC282" s="46"/>
    </row>
    <row r="283" spans="1:29" s="59" customFormat="1" ht="17.25" customHeight="1">
      <c r="A283" s="59" t="s">
        <v>257</v>
      </c>
      <c r="B283" s="58" t="s">
        <v>338</v>
      </c>
      <c r="C283" s="155" t="s">
        <v>337</v>
      </c>
      <c r="D283" s="58" t="str">
        <f>VLOOKUP(C283,코드!$E$3:$F$30,2,FALSE)</f>
        <v>8639</v>
      </c>
      <c r="E283" s="65" t="s">
        <v>455</v>
      </c>
      <c r="F283" s="65" t="s">
        <v>507</v>
      </c>
      <c r="G283" s="66" t="s">
        <v>510</v>
      </c>
      <c r="H283" s="65" t="s">
        <v>512</v>
      </c>
      <c r="I283" s="65" t="s">
        <v>517</v>
      </c>
      <c r="J283" s="72" t="s">
        <v>130</v>
      </c>
      <c r="K283" s="72" t="s">
        <v>17</v>
      </c>
      <c r="L283" s="58">
        <f>VLOOKUP(K283,코드!$B$3:$C$29,2,FALSE)</f>
        <v>4241130</v>
      </c>
      <c r="M283" s="176" t="s">
        <v>259</v>
      </c>
      <c r="N283" s="72" t="s">
        <v>450</v>
      </c>
      <c r="O283" s="75"/>
      <c r="P283" s="75"/>
      <c r="Q283" s="75"/>
      <c r="R283" s="75">
        <v>555700</v>
      </c>
      <c r="S283" s="75"/>
      <c r="T283" s="78">
        <v>555700</v>
      </c>
      <c r="U283" s="71" t="s">
        <v>378</v>
      </c>
      <c r="V283" s="60">
        <f t="shared" si="22"/>
        <v>1</v>
      </c>
      <c r="W283" s="46"/>
      <c r="X283" s="74"/>
      <c r="Y283" s="46"/>
      <c r="AC283" s="46"/>
    </row>
    <row r="284" spans="1:29" s="59" customFormat="1" ht="17.25" customHeight="1">
      <c r="A284" s="59" t="s">
        <v>257</v>
      </c>
      <c r="B284" s="58" t="s">
        <v>338</v>
      </c>
      <c r="C284" s="155" t="s">
        <v>337</v>
      </c>
      <c r="D284" s="58" t="str">
        <f>VLOOKUP(C284,코드!$E$3:$F$30,2,FALSE)</f>
        <v>8639</v>
      </c>
      <c r="E284" s="65" t="s">
        <v>455</v>
      </c>
      <c r="F284" s="65" t="s">
        <v>507</v>
      </c>
      <c r="G284" s="66" t="s">
        <v>510</v>
      </c>
      <c r="H284" s="65" t="s">
        <v>515</v>
      </c>
      <c r="I284" s="65" t="s">
        <v>516</v>
      </c>
      <c r="J284" s="72" t="s">
        <v>130</v>
      </c>
      <c r="K284" s="72" t="s">
        <v>17</v>
      </c>
      <c r="L284" s="58">
        <f>VLOOKUP(K284,코드!$B$3:$C$29,2,FALSE)</f>
        <v>4241130</v>
      </c>
      <c r="M284" s="72" t="s">
        <v>365</v>
      </c>
      <c r="N284" s="72" t="s">
        <v>450</v>
      </c>
      <c r="O284" s="75">
        <v>400000</v>
      </c>
      <c r="P284" s="75">
        <v>1</v>
      </c>
      <c r="Q284" s="75">
        <v>2</v>
      </c>
      <c r="R284" s="75">
        <v>825000</v>
      </c>
      <c r="S284" s="75"/>
      <c r="T284" s="78">
        <v>825000</v>
      </c>
      <c r="U284" s="71" t="s">
        <v>378</v>
      </c>
      <c r="V284" s="60">
        <f t="shared" si="22"/>
        <v>1</v>
      </c>
      <c r="W284" s="46"/>
      <c r="X284" s="74"/>
      <c r="Y284" s="46"/>
      <c r="AC284" s="46"/>
    </row>
    <row r="285" spans="1:29" s="59" customFormat="1" ht="17.25" customHeight="1">
      <c r="A285" s="59" t="s">
        <v>257</v>
      </c>
      <c r="B285" s="58" t="s">
        <v>338</v>
      </c>
      <c r="C285" s="155" t="s">
        <v>337</v>
      </c>
      <c r="D285" s="58" t="str">
        <f>VLOOKUP(C285,코드!$E$3:$F$30,2,FALSE)</f>
        <v>8639</v>
      </c>
      <c r="E285" s="65" t="s">
        <v>455</v>
      </c>
      <c r="F285" s="65" t="s">
        <v>507</v>
      </c>
      <c r="G285" s="66" t="s">
        <v>513</v>
      </c>
      <c r="H285" s="65" t="s">
        <v>515</v>
      </c>
      <c r="I285" s="65" t="s">
        <v>514</v>
      </c>
      <c r="J285" s="72" t="s">
        <v>130</v>
      </c>
      <c r="K285" s="72" t="s">
        <v>17</v>
      </c>
      <c r="L285" s="58">
        <f>VLOOKUP(K285,코드!$B$3:$C$29,2,FALSE)</f>
        <v>4241130</v>
      </c>
      <c r="M285" s="72" t="s">
        <v>356</v>
      </c>
      <c r="N285" s="72" t="s">
        <v>450</v>
      </c>
      <c r="O285" s="75">
        <v>200000</v>
      </c>
      <c r="P285" s="75">
        <v>2</v>
      </c>
      <c r="Q285" s="75">
        <v>1</v>
      </c>
      <c r="R285" s="75">
        <v>800000</v>
      </c>
      <c r="S285" s="75"/>
      <c r="T285" s="78">
        <v>400000</v>
      </c>
      <c r="U285" s="71" t="s">
        <v>378</v>
      </c>
      <c r="V285" s="60">
        <f t="shared" si="22"/>
        <v>0.5</v>
      </c>
      <c r="W285" s="46"/>
      <c r="X285" s="74"/>
      <c r="Y285" s="46"/>
      <c r="AC285" s="46"/>
    </row>
    <row r="286" spans="1:29" s="59" customFormat="1" ht="17.25" customHeight="1">
      <c r="A286" s="59" t="s">
        <v>257</v>
      </c>
      <c r="B286" s="58" t="s">
        <v>338</v>
      </c>
      <c r="C286" s="155" t="s">
        <v>337</v>
      </c>
      <c r="D286" s="58" t="str">
        <f>VLOOKUP(C286,코드!$E$3:$F$30,2,FALSE)</f>
        <v>8639</v>
      </c>
      <c r="E286" s="65" t="s">
        <v>455</v>
      </c>
      <c r="F286" s="65" t="s">
        <v>507</v>
      </c>
      <c r="G286" s="66" t="s">
        <v>513</v>
      </c>
      <c r="H286" s="65" t="s">
        <v>512</v>
      </c>
      <c r="I286" s="65" t="s">
        <v>511</v>
      </c>
      <c r="J286" s="72" t="s">
        <v>101</v>
      </c>
      <c r="K286" s="72" t="s">
        <v>15</v>
      </c>
      <c r="L286" s="58">
        <f>VLOOKUP(K286,코드!$B$3:$C$29,2,FALSE)</f>
        <v>4321701</v>
      </c>
      <c r="M286" s="72" t="s">
        <v>349</v>
      </c>
      <c r="N286" s="72" t="s">
        <v>475</v>
      </c>
      <c r="O286" s="75"/>
      <c r="P286" s="75"/>
      <c r="Q286" s="75"/>
      <c r="R286" s="75">
        <v>400000</v>
      </c>
      <c r="S286" s="75"/>
      <c r="T286" s="78">
        <v>200000</v>
      </c>
      <c r="U286" s="71" t="s">
        <v>378</v>
      </c>
      <c r="V286" s="60">
        <f t="shared" si="22"/>
        <v>0.5</v>
      </c>
      <c r="W286" s="46"/>
      <c r="X286" s="74"/>
      <c r="Y286" s="46"/>
      <c r="AC286" s="46"/>
    </row>
    <row r="287" spans="1:29" s="59" customFormat="1" ht="17.25" customHeight="1">
      <c r="A287" s="59" t="s">
        <v>257</v>
      </c>
      <c r="B287" s="58" t="s">
        <v>338</v>
      </c>
      <c r="C287" s="155" t="s">
        <v>337</v>
      </c>
      <c r="D287" s="58" t="str">
        <f>VLOOKUP(C287,코드!$E$3:$F$30,2,FALSE)</f>
        <v>8639</v>
      </c>
      <c r="E287" s="65" t="s">
        <v>455</v>
      </c>
      <c r="F287" s="65" t="s">
        <v>507</v>
      </c>
      <c r="G287" s="66" t="s">
        <v>510</v>
      </c>
      <c r="H287" s="65" t="s">
        <v>509</v>
      </c>
      <c r="I287" s="65" t="s">
        <v>508</v>
      </c>
      <c r="J287" s="72" t="s">
        <v>130</v>
      </c>
      <c r="K287" s="72" t="s">
        <v>17</v>
      </c>
      <c r="L287" s="58">
        <f>VLOOKUP(K287,코드!$B$3:$C$29,2,FALSE)</f>
        <v>4241130</v>
      </c>
      <c r="M287" s="72" t="s">
        <v>262</v>
      </c>
      <c r="N287" s="72" t="s">
        <v>450</v>
      </c>
      <c r="O287" s="75">
        <v>25000</v>
      </c>
      <c r="P287" s="75">
        <v>40</v>
      </c>
      <c r="Q287" s="75">
        <v>6</v>
      </c>
      <c r="R287" s="75">
        <v>6000000</v>
      </c>
      <c r="S287" s="75"/>
      <c r="T287" s="78">
        <v>3500000</v>
      </c>
      <c r="U287" s="71" t="s">
        <v>316</v>
      </c>
      <c r="V287" s="60">
        <f t="shared" si="22"/>
        <v>0.58333333333333337</v>
      </c>
      <c r="W287" s="46"/>
      <c r="X287" s="74"/>
      <c r="Y287" s="46"/>
      <c r="AC287" s="46"/>
    </row>
    <row r="288" spans="1:29" s="59" customFormat="1" ht="17.25" customHeight="1">
      <c r="A288" s="59" t="s">
        <v>257</v>
      </c>
      <c r="B288" s="58" t="s">
        <v>338</v>
      </c>
      <c r="C288" s="155" t="s">
        <v>337</v>
      </c>
      <c r="D288" s="58" t="str">
        <f>VLOOKUP(C288,코드!$E$3:$F$30,2,FALSE)</f>
        <v>8639</v>
      </c>
      <c r="E288" s="65" t="s">
        <v>455</v>
      </c>
      <c r="F288" s="65" t="s">
        <v>507</v>
      </c>
      <c r="G288" s="66" t="s">
        <v>506</v>
      </c>
      <c r="H288" s="65" t="s">
        <v>505</v>
      </c>
      <c r="I288" s="65" t="s">
        <v>504</v>
      </c>
      <c r="J288" s="72"/>
      <c r="K288" s="72"/>
      <c r="L288" s="58"/>
      <c r="M288" s="72"/>
      <c r="N288" s="72"/>
      <c r="O288" s="75"/>
      <c r="P288" s="75"/>
      <c r="Q288" s="75"/>
      <c r="R288" s="75">
        <v>0</v>
      </c>
      <c r="S288" s="75"/>
      <c r="T288" s="78">
        <v>0</v>
      </c>
      <c r="U288" s="71"/>
      <c r="V288" s="60" t="e">
        <f t="shared" si="22"/>
        <v>#DIV/0!</v>
      </c>
      <c r="W288" s="46"/>
      <c r="X288" s="74"/>
      <c r="Y288" s="46"/>
      <c r="AC288" s="46"/>
    </row>
    <row r="289" spans="1:29" s="59" customFormat="1" ht="17.25" customHeight="1">
      <c r="A289" s="59" t="s">
        <v>257</v>
      </c>
      <c r="B289" s="58" t="s">
        <v>338</v>
      </c>
      <c r="C289" s="155" t="s">
        <v>337</v>
      </c>
      <c r="D289" s="58" t="str">
        <f>VLOOKUP(C289,코드!$E$3:$F$30,2,FALSE)</f>
        <v>8639</v>
      </c>
      <c r="E289" s="65" t="s">
        <v>455</v>
      </c>
      <c r="F289" s="65" t="s">
        <v>468</v>
      </c>
      <c r="G289" s="66" t="s">
        <v>487</v>
      </c>
      <c r="H289" s="65" t="s">
        <v>500</v>
      </c>
      <c r="I289" s="65" t="s">
        <v>503</v>
      </c>
      <c r="J289" s="72" t="s">
        <v>130</v>
      </c>
      <c r="K289" s="72" t="s">
        <v>17</v>
      </c>
      <c r="L289" s="58">
        <f>VLOOKUP(K289,코드!$B$3:$C$29,2,FALSE)</f>
        <v>4241130</v>
      </c>
      <c r="M289" s="72" t="s">
        <v>262</v>
      </c>
      <c r="N289" s="72" t="s">
        <v>450</v>
      </c>
      <c r="O289" s="75">
        <v>20000</v>
      </c>
      <c r="P289" s="75">
        <v>1400</v>
      </c>
      <c r="Q289" s="75">
        <v>2</v>
      </c>
      <c r="R289" s="75">
        <v>33000000</v>
      </c>
      <c r="S289" s="75"/>
      <c r="T289" s="78">
        <v>12000000</v>
      </c>
      <c r="U289" s="71" t="s">
        <v>316</v>
      </c>
      <c r="V289" s="60">
        <f t="shared" si="22"/>
        <v>0.36363636363636365</v>
      </c>
      <c r="W289" s="46"/>
      <c r="X289" s="74"/>
      <c r="Y289" s="46"/>
      <c r="AC289" s="46"/>
    </row>
    <row r="290" spans="1:29" s="59" customFormat="1" ht="17.25" customHeight="1">
      <c r="A290" s="59" t="s">
        <v>257</v>
      </c>
      <c r="B290" s="58" t="s">
        <v>338</v>
      </c>
      <c r="C290" s="155" t="s">
        <v>337</v>
      </c>
      <c r="D290" s="58" t="str">
        <f>VLOOKUP(C290,코드!$E$3:$F$30,2,FALSE)</f>
        <v>8639</v>
      </c>
      <c r="E290" s="65" t="s">
        <v>455</v>
      </c>
      <c r="F290" s="65" t="s">
        <v>468</v>
      </c>
      <c r="G290" s="66" t="s">
        <v>487</v>
      </c>
      <c r="H290" s="65" t="s">
        <v>500</v>
      </c>
      <c r="I290" s="65" t="s">
        <v>502</v>
      </c>
      <c r="J290" s="72" t="s">
        <v>130</v>
      </c>
      <c r="K290" s="72" t="s">
        <v>17</v>
      </c>
      <c r="L290" s="58">
        <f>VLOOKUP(K290,코드!$B$3:$C$29,2,FALSE)</f>
        <v>4241130</v>
      </c>
      <c r="M290" s="176" t="s">
        <v>365</v>
      </c>
      <c r="N290" s="72" t="s">
        <v>450</v>
      </c>
      <c r="O290" s="75"/>
      <c r="P290" s="75"/>
      <c r="Q290" s="75"/>
      <c r="R290" s="75">
        <v>3000000</v>
      </c>
      <c r="S290" s="75"/>
      <c r="T290" s="78">
        <v>3000000</v>
      </c>
      <c r="U290" s="71" t="s">
        <v>378</v>
      </c>
      <c r="V290" s="60">
        <f t="shared" si="22"/>
        <v>1</v>
      </c>
      <c r="W290" s="46"/>
      <c r="X290" s="74"/>
      <c r="Y290" s="46"/>
      <c r="AC290" s="46"/>
    </row>
    <row r="291" spans="1:29" s="59" customFormat="1" ht="17.25" customHeight="1">
      <c r="A291" s="59" t="s">
        <v>257</v>
      </c>
      <c r="B291" s="58" t="s">
        <v>338</v>
      </c>
      <c r="C291" s="155" t="s">
        <v>337</v>
      </c>
      <c r="D291" s="58" t="str">
        <f>VLOOKUP(C291,코드!$E$3:$F$30,2,FALSE)</f>
        <v>8639</v>
      </c>
      <c r="E291" s="65" t="s">
        <v>455</v>
      </c>
      <c r="F291" s="65" t="s">
        <v>501</v>
      </c>
      <c r="G291" s="66" t="s">
        <v>487</v>
      </c>
      <c r="H291" s="65" t="s">
        <v>500</v>
      </c>
      <c r="I291" s="65" t="s">
        <v>499</v>
      </c>
      <c r="J291" s="72" t="s">
        <v>130</v>
      </c>
      <c r="K291" s="72" t="s">
        <v>17</v>
      </c>
      <c r="L291" s="58">
        <f>VLOOKUP(K291,코드!$B$3:$C$29,2,FALSE)</f>
        <v>4241130</v>
      </c>
      <c r="M291" s="176" t="s">
        <v>259</v>
      </c>
      <c r="N291" s="72" t="s">
        <v>450</v>
      </c>
      <c r="O291" s="75"/>
      <c r="P291" s="75"/>
      <c r="Q291" s="75"/>
      <c r="R291" s="75">
        <v>20000000</v>
      </c>
      <c r="S291" s="75"/>
      <c r="T291" s="78">
        <v>20000000</v>
      </c>
      <c r="U291" s="71" t="s">
        <v>378</v>
      </c>
      <c r="V291" s="60">
        <f t="shared" si="22"/>
        <v>1</v>
      </c>
      <c r="W291" s="46"/>
      <c r="X291" s="74"/>
      <c r="Y291" s="46"/>
      <c r="AC291" s="46"/>
    </row>
    <row r="292" spans="1:29" s="59" customFormat="1" ht="17.25" customHeight="1">
      <c r="A292" s="59" t="s">
        <v>257</v>
      </c>
      <c r="B292" s="58" t="s">
        <v>338</v>
      </c>
      <c r="C292" s="155" t="s">
        <v>337</v>
      </c>
      <c r="D292" s="58" t="str">
        <f>VLOOKUP(C292,코드!$E$3:$F$30,2,FALSE)</f>
        <v>8639</v>
      </c>
      <c r="E292" s="65" t="s">
        <v>455</v>
      </c>
      <c r="F292" s="65" t="s">
        <v>468</v>
      </c>
      <c r="G292" s="66" t="s">
        <v>487</v>
      </c>
      <c r="H292" s="65" t="s">
        <v>498</v>
      </c>
      <c r="I292" s="65" t="s">
        <v>497</v>
      </c>
      <c r="J292" s="72" t="s">
        <v>101</v>
      </c>
      <c r="K292" s="72" t="s">
        <v>15</v>
      </c>
      <c r="L292" s="58">
        <f>VLOOKUP(K292,코드!$B$3:$C$29,2,FALSE)</f>
        <v>4321701</v>
      </c>
      <c r="M292" s="72" t="s">
        <v>349</v>
      </c>
      <c r="N292" s="130" t="s">
        <v>475</v>
      </c>
      <c r="O292" s="75">
        <v>300000</v>
      </c>
      <c r="P292" s="75">
        <v>12</v>
      </c>
      <c r="Q292" s="75">
        <v>1</v>
      </c>
      <c r="R292" s="75">
        <v>4200000</v>
      </c>
      <c r="S292" s="75"/>
      <c r="T292" s="78">
        <v>600000</v>
      </c>
      <c r="U292" s="71" t="s">
        <v>316</v>
      </c>
      <c r="V292" s="60">
        <f t="shared" si="22"/>
        <v>0.14285714285714285</v>
      </c>
      <c r="W292" s="46"/>
      <c r="X292" s="74"/>
      <c r="Y292" s="46"/>
      <c r="AC292" s="46"/>
    </row>
    <row r="293" spans="1:29" s="59" customFormat="1" ht="17.25" customHeight="1">
      <c r="A293" s="59" t="s">
        <v>257</v>
      </c>
      <c r="B293" s="58" t="s">
        <v>338</v>
      </c>
      <c r="C293" s="155" t="s">
        <v>337</v>
      </c>
      <c r="D293" s="58" t="str">
        <f>VLOOKUP(C293,코드!$E$3:$F$30,2,FALSE)</f>
        <v>8639</v>
      </c>
      <c r="E293" s="65" t="s">
        <v>455</v>
      </c>
      <c r="F293" s="65" t="s">
        <v>468</v>
      </c>
      <c r="G293" s="66" t="s">
        <v>487</v>
      </c>
      <c r="H293" s="65" t="s">
        <v>496</v>
      </c>
      <c r="I293" s="65" t="s">
        <v>495</v>
      </c>
      <c r="J293" s="72" t="s">
        <v>101</v>
      </c>
      <c r="K293" s="72" t="s">
        <v>15</v>
      </c>
      <c r="L293" s="58">
        <f>VLOOKUP(K293,코드!$B$3:$C$29,2,FALSE)</f>
        <v>4321701</v>
      </c>
      <c r="M293" s="72" t="s">
        <v>100</v>
      </c>
      <c r="N293" s="130" t="s">
        <v>475</v>
      </c>
      <c r="O293" s="75">
        <v>1800000</v>
      </c>
      <c r="P293" s="75">
        <v>3</v>
      </c>
      <c r="Q293" s="75">
        <v>2</v>
      </c>
      <c r="R293" s="75">
        <v>10800000</v>
      </c>
      <c r="S293" s="75"/>
      <c r="T293" s="78">
        <v>5400000</v>
      </c>
      <c r="U293" s="71" t="s">
        <v>316</v>
      </c>
      <c r="V293" s="60">
        <f t="shared" si="22"/>
        <v>0.5</v>
      </c>
      <c r="W293" s="46"/>
      <c r="X293" s="74"/>
      <c r="Y293" s="46"/>
      <c r="AC293" s="46"/>
    </row>
    <row r="294" spans="1:29" s="59" customFormat="1" ht="17.25" customHeight="1">
      <c r="A294" s="59" t="s">
        <v>257</v>
      </c>
      <c r="B294" s="58" t="s">
        <v>338</v>
      </c>
      <c r="C294" s="155" t="s">
        <v>337</v>
      </c>
      <c r="D294" s="58" t="str">
        <f>VLOOKUP(C294,코드!$E$3:$F$30,2,FALSE)</f>
        <v>8639</v>
      </c>
      <c r="E294" s="65" t="s">
        <v>455</v>
      </c>
      <c r="F294" s="65" t="s">
        <v>468</v>
      </c>
      <c r="G294" s="66" t="s">
        <v>487</v>
      </c>
      <c r="H294" s="65" t="s">
        <v>494</v>
      </c>
      <c r="I294" s="65" t="s">
        <v>493</v>
      </c>
      <c r="J294" s="72" t="s">
        <v>101</v>
      </c>
      <c r="K294" s="72" t="s">
        <v>15</v>
      </c>
      <c r="L294" s="58">
        <f>VLOOKUP(K294,코드!$B$3:$C$29,2,FALSE)</f>
        <v>4321701</v>
      </c>
      <c r="M294" s="72" t="s">
        <v>100</v>
      </c>
      <c r="N294" s="130" t="s">
        <v>475</v>
      </c>
      <c r="O294" s="75">
        <v>1000000</v>
      </c>
      <c r="P294" s="75">
        <v>5</v>
      </c>
      <c r="Q294" s="75">
        <v>2</v>
      </c>
      <c r="R294" s="75">
        <v>0</v>
      </c>
      <c r="S294" s="75"/>
      <c r="T294" s="78">
        <v>0</v>
      </c>
      <c r="U294" s="71"/>
      <c r="V294" s="60" t="e">
        <f t="shared" si="22"/>
        <v>#DIV/0!</v>
      </c>
      <c r="W294" s="46"/>
      <c r="X294" s="74"/>
      <c r="Y294" s="46"/>
      <c r="AC294" s="46"/>
    </row>
    <row r="295" spans="1:29" s="59" customFormat="1" ht="17.25" customHeight="1">
      <c r="A295" s="59" t="s">
        <v>257</v>
      </c>
      <c r="B295" s="58" t="s">
        <v>338</v>
      </c>
      <c r="C295" s="155" t="s">
        <v>337</v>
      </c>
      <c r="D295" s="58" t="str">
        <f>VLOOKUP(C295,코드!$E$3:$F$30,2,FALSE)</f>
        <v>8639</v>
      </c>
      <c r="E295" s="65" t="s">
        <v>455</v>
      </c>
      <c r="F295" s="65" t="s">
        <v>468</v>
      </c>
      <c r="G295" s="66" t="s">
        <v>487</v>
      </c>
      <c r="H295" s="65" t="s">
        <v>489</v>
      </c>
      <c r="I295" s="65" t="s">
        <v>492</v>
      </c>
      <c r="J295" s="72" t="s">
        <v>130</v>
      </c>
      <c r="K295" s="72" t="s">
        <v>17</v>
      </c>
      <c r="L295" s="58">
        <f>VLOOKUP(K295,코드!$B$3:$C$29,2,FALSE)</f>
        <v>4241130</v>
      </c>
      <c r="M295" s="72" t="s">
        <v>259</v>
      </c>
      <c r="N295" s="72" t="s">
        <v>450</v>
      </c>
      <c r="O295" s="75">
        <v>500000</v>
      </c>
      <c r="P295" s="75">
        <v>10</v>
      </c>
      <c r="Q295" s="75">
        <v>1</v>
      </c>
      <c r="R295" s="75">
        <v>5000000</v>
      </c>
      <c r="S295" s="75"/>
      <c r="T295" s="78">
        <v>5000000</v>
      </c>
      <c r="U295" s="71" t="s">
        <v>316</v>
      </c>
      <c r="V295" s="60">
        <f t="shared" si="22"/>
        <v>1</v>
      </c>
      <c r="W295" s="46"/>
      <c r="X295" s="74"/>
      <c r="Y295" s="46"/>
      <c r="AC295" s="46"/>
    </row>
    <row r="296" spans="1:29" s="59" customFormat="1" ht="17.25" customHeight="1">
      <c r="A296" s="59" t="s">
        <v>257</v>
      </c>
      <c r="B296" s="58" t="s">
        <v>338</v>
      </c>
      <c r="C296" s="155" t="s">
        <v>337</v>
      </c>
      <c r="D296" s="58" t="str">
        <f>VLOOKUP(C296,코드!$E$3:$F$30,2,FALSE)</f>
        <v>8639</v>
      </c>
      <c r="E296" s="65" t="s">
        <v>455</v>
      </c>
      <c r="F296" s="65" t="s">
        <v>468</v>
      </c>
      <c r="G296" s="66" t="s">
        <v>487</v>
      </c>
      <c r="H296" s="65" t="s">
        <v>489</v>
      </c>
      <c r="I296" s="65" t="s">
        <v>491</v>
      </c>
      <c r="J296" s="72" t="s">
        <v>130</v>
      </c>
      <c r="K296" s="72" t="s">
        <v>17</v>
      </c>
      <c r="L296" s="58">
        <f>VLOOKUP(K296,코드!$B$3:$C$29,2,FALSE)</f>
        <v>4241130</v>
      </c>
      <c r="M296" s="72" t="s">
        <v>262</v>
      </c>
      <c r="N296" s="72" t="s">
        <v>450</v>
      </c>
      <c r="O296" s="75">
        <v>30000</v>
      </c>
      <c r="P296" s="75">
        <v>25</v>
      </c>
      <c r="Q296" s="75">
        <v>4</v>
      </c>
      <c r="R296" s="256">
        <v>925260</v>
      </c>
      <c r="S296" s="75"/>
      <c r="T296" s="129">
        <v>925260</v>
      </c>
      <c r="U296" s="71" t="s">
        <v>316</v>
      </c>
      <c r="V296" s="60">
        <f t="shared" si="22"/>
        <v>1</v>
      </c>
      <c r="W296" s="46"/>
      <c r="X296" s="74"/>
      <c r="Y296" s="46"/>
      <c r="AC296" s="46"/>
    </row>
    <row r="297" spans="1:29" s="59" customFormat="1" ht="17.25" customHeight="1">
      <c r="A297" s="59" t="s">
        <v>257</v>
      </c>
      <c r="B297" s="58" t="s">
        <v>338</v>
      </c>
      <c r="C297" s="155" t="s">
        <v>337</v>
      </c>
      <c r="D297" s="58" t="str">
        <f>VLOOKUP(C297,코드!$E$3:$F$30,2,FALSE)</f>
        <v>8639</v>
      </c>
      <c r="E297" s="65" t="s">
        <v>455</v>
      </c>
      <c r="F297" s="65" t="s">
        <v>468</v>
      </c>
      <c r="G297" s="66" t="s">
        <v>487</v>
      </c>
      <c r="H297" s="65" t="s">
        <v>489</v>
      </c>
      <c r="I297" s="65" t="s">
        <v>490</v>
      </c>
      <c r="J297" s="72" t="s">
        <v>130</v>
      </c>
      <c r="K297" s="72" t="s">
        <v>17</v>
      </c>
      <c r="L297" s="58">
        <f>VLOOKUP(K297,코드!$B$3:$C$29,2,FALSE)</f>
        <v>4241130</v>
      </c>
      <c r="M297" s="72" t="s">
        <v>262</v>
      </c>
      <c r="N297" s="72" t="s">
        <v>450</v>
      </c>
      <c r="O297" s="75">
        <v>30000</v>
      </c>
      <c r="P297" s="75">
        <v>25</v>
      </c>
      <c r="Q297" s="75">
        <v>4</v>
      </c>
      <c r="R297" s="256">
        <v>74740</v>
      </c>
      <c r="S297" s="75"/>
      <c r="T297" s="129">
        <v>74740</v>
      </c>
      <c r="U297" s="71" t="s">
        <v>316</v>
      </c>
      <c r="V297" s="60">
        <f t="shared" si="22"/>
        <v>1</v>
      </c>
      <c r="W297" s="46"/>
      <c r="X297" s="74"/>
      <c r="Y297" s="46"/>
      <c r="AC297" s="46"/>
    </row>
    <row r="298" spans="1:29" s="59" customFormat="1" ht="17.25" customHeight="1">
      <c r="A298" s="59" t="s">
        <v>257</v>
      </c>
      <c r="B298" s="58" t="s">
        <v>338</v>
      </c>
      <c r="C298" s="155" t="s">
        <v>337</v>
      </c>
      <c r="D298" s="58" t="str">
        <f>VLOOKUP(C298,코드!$E$3:$F$30,2,FALSE)</f>
        <v>8639</v>
      </c>
      <c r="E298" s="65" t="s">
        <v>455</v>
      </c>
      <c r="F298" s="65" t="s">
        <v>468</v>
      </c>
      <c r="G298" s="66" t="s">
        <v>487</v>
      </c>
      <c r="H298" s="65" t="s">
        <v>489</v>
      </c>
      <c r="I298" s="65" t="s">
        <v>488</v>
      </c>
      <c r="J298" s="72" t="s">
        <v>130</v>
      </c>
      <c r="K298" s="72" t="s">
        <v>17</v>
      </c>
      <c r="L298" s="58">
        <f>VLOOKUP(K298,코드!$B$3:$C$29,2,FALSE)</f>
        <v>4241130</v>
      </c>
      <c r="M298" s="72" t="s">
        <v>356</v>
      </c>
      <c r="N298" s="72" t="s">
        <v>450</v>
      </c>
      <c r="O298" s="75">
        <v>300000</v>
      </c>
      <c r="P298" s="75">
        <v>2</v>
      </c>
      <c r="Q298" s="75">
        <v>2</v>
      </c>
      <c r="R298" s="160">
        <v>1800000</v>
      </c>
      <c r="S298" s="75"/>
      <c r="T298" s="78">
        <v>900000</v>
      </c>
      <c r="U298" s="71" t="s">
        <v>316</v>
      </c>
      <c r="V298" s="60">
        <f t="shared" si="22"/>
        <v>0.5</v>
      </c>
      <c r="W298" s="46"/>
      <c r="X298" s="74"/>
      <c r="Y298" s="46"/>
      <c r="AC298" s="46"/>
    </row>
    <row r="299" spans="1:29" s="59" customFormat="1" ht="17.25" customHeight="1">
      <c r="A299" s="59" t="s">
        <v>257</v>
      </c>
      <c r="B299" s="58" t="s">
        <v>338</v>
      </c>
      <c r="C299" s="155" t="s">
        <v>337</v>
      </c>
      <c r="D299" s="58" t="str">
        <f>VLOOKUP(C299,코드!$E$3:$F$30,2,FALSE)</f>
        <v>8639</v>
      </c>
      <c r="E299" s="65" t="s">
        <v>455</v>
      </c>
      <c r="F299" s="65" t="s">
        <v>468</v>
      </c>
      <c r="G299" s="66" t="s">
        <v>487</v>
      </c>
      <c r="H299" s="65" t="s">
        <v>486</v>
      </c>
      <c r="I299" s="65" t="s">
        <v>485</v>
      </c>
      <c r="J299" s="72" t="s">
        <v>130</v>
      </c>
      <c r="K299" s="72" t="s">
        <v>17</v>
      </c>
      <c r="L299" s="58">
        <f>VLOOKUP(K299,코드!$B$3:$C$29,2,FALSE)</f>
        <v>4241130</v>
      </c>
      <c r="M299" s="72" t="s">
        <v>262</v>
      </c>
      <c r="N299" s="72" t="s">
        <v>450</v>
      </c>
      <c r="O299" s="75"/>
      <c r="P299" s="75"/>
      <c r="Q299" s="75"/>
      <c r="R299" s="75">
        <v>0</v>
      </c>
      <c r="S299" s="75"/>
      <c r="T299" s="78">
        <v>0</v>
      </c>
      <c r="U299" s="71"/>
      <c r="V299" s="60" t="e">
        <f t="shared" si="22"/>
        <v>#DIV/0!</v>
      </c>
      <c r="W299" s="46"/>
      <c r="X299" s="74"/>
      <c r="Y299" s="46"/>
      <c r="AC299" s="46"/>
    </row>
    <row r="300" spans="1:29" s="59" customFormat="1" ht="17.25" customHeight="1">
      <c r="A300" s="59" t="s">
        <v>257</v>
      </c>
      <c r="B300" s="58" t="s">
        <v>338</v>
      </c>
      <c r="C300" s="155" t="s">
        <v>337</v>
      </c>
      <c r="D300" s="58" t="str">
        <f>VLOOKUP(C300,코드!$E$3:$F$30,2,FALSE)</f>
        <v>8639</v>
      </c>
      <c r="E300" s="65" t="s">
        <v>484</v>
      </c>
      <c r="F300" s="65" t="s">
        <v>468</v>
      </c>
      <c r="G300" s="66" t="s">
        <v>467</v>
      </c>
      <c r="H300" s="65" t="s">
        <v>481</v>
      </c>
      <c r="I300" s="65" t="s">
        <v>483</v>
      </c>
      <c r="J300" s="72" t="s">
        <v>130</v>
      </c>
      <c r="K300" s="72" t="s">
        <v>17</v>
      </c>
      <c r="L300" s="58">
        <f>VLOOKUP(K300,코드!$B$3:$C$29,2,FALSE)</f>
        <v>4241130</v>
      </c>
      <c r="M300" s="72" t="s">
        <v>422</v>
      </c>
      <c r="N300" s="72" t="s">
        <v>450</v>
      </c>
      <c r="O300" s="75">
        <v>600000</v>
      </c>
      <c r="P300" s="75">
        <v>8</v>
      </c>
      <c r="Q300" s="75">
        <v>2</v>
      </c>
      <c r="R300" s="75">
        <v>4900000</v>
      </c>
      <c r="S300" s="75"/>
      <c r="T300" s="78">
        <v>2500000</v>
      </c>
      <c r="U300" s="71" t="s">
        <v>316</v>
      </c>
      <c r="V300" s="60">
        <f t="shared" si="22"/>
        <v>0.51020408163265307</v>
      </c>
      <c r="W300" s="46"/>
      <c r="X300" s="74"/>
      <c r="Y300" s="46"/>
      <c r="AC300" s="46"/>
    </row>
    <row r="301" spans="1:29" s="59" customFormat="1" ht="17.25" customHeight="1">
      <c r="A301" s="59" t="s">
        <v>257</v>
      </c>
      <c r="B301" s="58" t="s">
        <v>338</v>
      </c>
      <c r="C301" s="155" t="s">
        <v>337</v>
      </c>
      <c r="D301" s="58" t="str">
        <f>VLOOKUP(C301,코드!$E$3:$F$30,2,FALSE)</f>
        <v>8639</v>
      </c>
      <c r="E301" s="65" t="s">
        <v>455</v>
      </c>
      <c r="F301" s="65" t="s">
        <v>468</v>
      </c>
      <c r="G301" s="66" t="s">
        <v>467</v>
      </c>
      <c r="H301" s="65" t="s">
        <v>481</v>
      </c>
      <c r="I301" s="65" t="s">
        <v>129</v>
      </c>
      <c r="J301" s="72" t="s">
        <v>130</v>
      </c>
      <c r="K301" s="72" t="s">
        <v>17</v>
      </c>
      <c r="L301" s="58">
        <f>VLOOKUP(K301,코드!$B$3:$C$29,2,FALSE)</f>
        <v>4241130</v>
      </c>
      <c r="M301" s="72" t="s">
        <v>262</v>
      </c>
      <c r="N301" s="72" t="s">
        <v>450</v>
      </c>
      <c r="O301" s="75">
        <v>100000</v>
      </c>
      <c r="P301" s="75">
        <v>20</v>
      </c>
      <c r="Q301" s="75">
        <v>2</v>
      </c>
      <c r="R301" s="75">
        <v>1200000</v>
      </c>
      <c r="S301" s="75"/>
      <c r="T301" s="165">
        <v>1200000</v>
      </c>
      <c r="U301" s="71" t="s">
        <v>316</v>
      </c>
      <c r="V301" s="60">
        <f t="shared" si="22"/>
        <v>1</v>
      </c>
      <c r="W301" s="46"/>
      <c r="X301" s="74"/>
      <c r="Y301" s="46"/>
      <c r="AC301" s="46"/>
    </row>
    <row r="302" spans="1:29" s="59" customFormat="1" ht="17.25" customHeight="1">
      <c r="A302" s="59" t="s">
        <v>257</v>
      </c>
      <c r="B302" s="58" t="s">
        <v>338</v>
      </c>
      <c r="C302" s="155" t="s">
        <v>337</v>
      </c>
      <c r="D302" s="58" t="str">
        <f>VLOOKUP(C302,코드!$E$3:$F$30,2,FALSE)</f>
        <v>8639</v>
      </c>
      <c r="E302" s="65" t="s">
        <v>455</v>
      </c>
      <c r="F302" s="65" t="s">
        <v>468</v>
      </c>
      <c r="G302" s="66" t="s">
        <v>467</v>
      </c>
      <c r="H302" s="65" t="s">
        <v>481</v>
      </c>
      <c r="I302" s="65" t="s">
        <v>482</v>
      </c>
      <c r="J302" s="72" t="s">
        <v>130</v>
      </c>
      <c r="K302" s="72" t="s">
        <v>17</v>
      </c>
      <c r="L302" s="58">
        <f>VLOOKUP(K302,코드!$B$3:$C$29,2,FALSE)</f>
        <v>4241130</v>
      </c>
      <c r="M302" s="72" t="s">
        <v>107</v>
      </c>
      <c r="N302" s="72" t="s">
        <v>450</v>
      </c>
      <c r="O302" s="75"/>
      <c r="P302" s="75"/>
      <c r="Q302" s="75"/>
      <c r="R302" s="75">
        <v>400000</v>
      </c>
      <c r="S302" s="75"/>
      <c r="T302" s="165">
        <v>400000</v>
      </c>
      <c r="U302" s="71" t="s">
        <v>378</v>
      </c>
      <c r="V302" s="60">
        <f t="shared" si="22"/>
        <v>1</v>
      </c>
      <c r="W302" s="46"/>
      <c r="X302" s="74"/>
      <c r="Y302" s="46"/>
      <c r="AC302" s="46"/>
    </row>
    <row r="303" spans="1:29" s="59" customFormat="1" ht="17.25" customHeight="1">
      <c r="A303" s="59" t="s">
        <v>257</v>
      </c>
      <c r="B303" s="58" t="s">
        <v>338</v>
      </c>
      <c r="C303" s="155" t="s">
        <v>337</v>
      </c>
      <c r="D303" s="58" t="str">
        <f>VLOOKUP(C303,코드!$E$3:$F$30,2,FALSE)</f>
        <v>8639</v>
      </c>
      <c r="E303" s="65" t="s">
        <v>455</v>
      </c>
      <c r="F303" s="65" t="s">
        <v>468</v>
      </c>
      <c r="G303" s="66" t="s">
        <v>467</v>
      </c>
      <c r="H303" s="65" t="s">
        <v>481</v>
      </c>
      <c r="I303" s="65" t="s">
        <v>472</v>
      </c>
      <c r="J303" s="72" t="s">
        <v>130</v>
      </c>
      <c r="K303" s="72" t="s">
        <v>15</v>
      </c>
      <c r="L303" s="58">
        <f>VLOOKUP(K303,코드!$B$3:$C$29,2,FALSE)</f>
        <v>4321701</v>
      </c>
      <c r="M303" s="72" t="s">
        <v>422</v>
      </c>
      <c r="N303" s="72" t="s">
        <v>450</v>
      </c>
      <c r="O303" s="75">
        <v>700000</v>
      </c>
      <c r="P303" s="75">
        <v>2</v>
      </c>
      <c r="Q303" s="75">
        <v>2</v>
      </c>
      <c r="R303" s="75">
        <v>2800000</v>
      </c>
      <c r="S303" s="75"/>
      <c r="T303" s="165">
        <v>1400000</v>
      </c>
      <c r="U303" s="71" t="s">
        <v>316</v>
      </c>
      <c r="V303" s="60">
        <f t="shared" si="22"/>
        <v>0.5</v>
      </c>
      <c r="W303" s="46"/>
      <c r="X303" s="74"/>
      <c r="Y303" s="46"/>
      <c r="AC303" s="46"/>
    </row>
    <row r="304" spans="1:29" s="59" customFormat="1" ht="17.25" customHeight="1">
      <c r="A304" s="59" t="s">
        <v>257</v>
      </c>
      <c r="B304" s="58" t="s">
        <v>338</v>
      </c>
      <c r="C304" s="155" t="s">
        <v>337</v>
      </c>
      <c r="D304" s="58" t="str">
        <f>VLOOKUP(C304,코드!$E$3:$F$30,2,FALSE)</f>
        <v>8639</v>
      </c>
      <c r="E304" s="65" t="s">
        <v>455</v>
      </c>
      <c r="F304" s="65" t="s">
        <v>468</v>
      </c>
      <c r="G304" s="66" t="s">
        <v>467</v>
      </c>
      <c r="H304" s="65" t="s">
        <v>481</v>
      </c>
      <c r="I304" s="65" t="s">
        <v>480</v>
      </c>
      <c r="J304" s="72" t="s">
        <v>101</v>
      </c>
      <c r="K304" s="72" t="s">
        <v>15</v>
      </c>
      <c r="L304" s="58">
        <f>VLOOKUP(K304,코드!$B$3:$C$29,2,FALSE)</f>
        <v>4321701</v>
      </c>
      <c r="M304" s="72" t="s">
        <v>349</v>
      </c>
      <c r="N304" s="130" t="s">
        <v>475</v>
      </c>
      <c r="O304" s="75">
        <v>300000</v>
      </c>
      <c r="P304" s="75">
        <v>2</v>
      </c>
      <c r="Q304" s="75">
        <v>2</v>
      </c>
      <c r="R304" s="160">
        <v>3000000</v>
      </c>
      <c r="S304" s="75"/>
      <c r="T304" s="165">
        <v>600000</v>
      </c>
      <c r="U304" s="71" t="s">
        <v>316</v>
      </c>
      <c r="V304" s="60">
        <f t="shared" si="22"/>
        <v>0.2</v>
      </c>
      <c r="W304" s="46"/>
      <c r="X304" s="74"/>
      <c r="Y304" s="46"/>
      <c r="AC304" s="46"/>
    </row>
    <row r="305" spans="1:29" s="59" customFormat="1" ht="17.25" customHeight="1">
      <c r="A305" s="59" t="s">
        <v>257</v>
      </c>
      <c r="B305" s="58" t="s">
        <v>338</v>
      </c>
      <c r="C305" s="155" t="s">
        <v>337</v>
      </c>
      <c r="D305" s="58" t="str">
        <f>VLOOKUP(C305,코드!$E$3:$F$30,2,FALSE)</f>
        <v>8639</v>
      </c>
      <c r="E305" s="65" t="s">
        <v>455</v>
      </c>
      <c r="F305" s="65" t="s">
        <v>468</v>
      </c>
      <c r="G305" s="66" t="s">
        <v>467</v>
      </c>
      <c r="H305" s="65" t="s">
        <v>478</v>
      </c>
      <c r="I305" s="65" t="s">
        <v>479</v>
      </c>
      <c r="J305" s="72" t="s">
        <v>130</v>
      </c>
      <c r="K305" s="72" t="s">
        <v>17</v>
      </c>
      <c r="L305" s="58">
        <f>VLOOKUP(K305,코드!$B$3:$C$29,2,FALSE)</f>
        <v>4241130</v>
      </c>
      <c r="M305" s="72" t="s">
        <v>262</v>
      </c>
      <c r="N305" s="72" t="s">
        <v>450</v>
      </c>
      <c r="O305" s="75">
        <v>200000</v>
      </c>
      <c r="P305" s="75">
        <v>20</v>
      </c>
      <c r="Q305" s="75">
        <v>2</v>
      </c>
      <c r="R305" s="75">
        <v>7000000</v>
      </c>
      <c r="S305" s="75"/>
      <c r="T305" s="165">
        <v>4000000</v>
      </c>
      <c r="U305" s="71" t="s">
        <v>316</v>
      </c>
      <c r="V305" s="60">
        <f t="shared" si="22"/>
        <v>0.5714285714285714</v>
      </c>
      <c r="W305" s="46"/>
      <c r="X305" s="74"/>
      <c r="Y305" s="46"/>
      <c r="AC305" s="46"/>
    </row>
    <row r="306" spans="1:29" s="59" customFormat="1" ht="17.25" customHeight="1">
      <c r="A306" s="59" t="s">
        <v>257</v>
      </c>
      <c r="B306" s="58" t="s">
        <v>338</v>
      </c>
      <c r="C306" s="155" t="s">
        <v>337</v>
      </c>
      <c r="D306" s="58" t="str">
        <f>VLOOKUP(C306,코드!$E$3:$F$30,2,FALSE)</f>
        <v>8639</v>
      </c>
      <c r="E306" s="65" t="s">
        <v>455</v>
      </c>
      <c r="F306" s="65" t="s">
        <v>468</v>
      </c>
      <c r="G306" s="66" t="s">
        <v>467</v>
      </c>
      <c r="H306" s="65" t="s">
        <v>478</v>
      </c>
      <c r="I306" s="65" t="s">
        <v>477</v>
      </c>
      <c r="J306" s="72" t="s">
        <v>130</v>
      </c>
      <c r="K306" s="72" t="s">
        <v>17</v>
      </c>
      <c r="L306" s="58">
        <f>VLOOKUP(K306,코드!$B$3:$C$29,2,FALSE)</f>
        <v>4241130</v>
      </c>
      <c r="M306" s="72" t="s">
        <v>356</v>
      </c>
      <c r="N306" s="72" t="s">
        <v>450</v>
      </c>
      <c r="O306" s="75"/>
      <c r="P306" s="75"/>
      <c r="Q306" s="75"/>
      <c r="R306" s="75">
        <v>400000</v>
      </c>
      <c r="S306" s="75"/>
      <c r="T306" s="165">
        <v>400000</v>
      </c>
      <c r="U306" s="71" t="s">
        <v>378</v>
      </c>
      <c r="V306" s="60">
        <f t="shared" si="22"/>
        <v>1</v>
      </c>
      <c r="W306" s="46"/>
      <c r="X306" s="74"/>
      <c r="Y306" s="46"/>
      <c r="AC306" s="46"/>
    </row>
    <row r="307" spans="1:29" s="59" customFormat="1" ht="17.25" customHeight="1">
      <c r="A307" s="59" t="s">
        <v>257</v>
      </c>
      <c r="B307" s="58" t="s">
        <v>338</v>
      </c>
      <c r="C307" s="155" t="s">
        <v>337</v>
      </c>
      <c r="D307" s="58" t="str">
        <f>VLOOKUP(C307,코드!$E$3:$F$30,2,FALSE)</f>
        <v>8639</v>
      </c>
      <c r="E307" s="65" t="s">
        <v>455</v>
      </c>
      <c r="F307" s="65" t="s">
        <v>468</v>
      </c>
      <c r="G307" s="66" t="s">
        <v>467</v>
      </c>
      <c r="H307" s="65" t="s">
        <v>473</v>
      </c>
      <c r="I307" s="65" t="s">
        <v>476</v>
      </c>
      <c r="J307" s="72" t="s">
        <v>101</v>
      </c>
      <c r="K307" s="72" t="s">
        <v>15</v>
      </c>
      <c r="L307" s="58">
        <f>VLOOKUP(K307,코드!$B$3:$C$29,2,FALSE)</f>
        <v>4321701</v>
      </c>
      <c r="M307" s="72" t="s">
        <v>100</v>
      </c>
      <c r="N307" s="130" t="s">
        <v>475</v>
      </c>
      <c r="O307" s="75">
        <v>1000000</v>
      </c>
      <c r="P307" s="75">
        <v>20</v>
      </c>
      <c r="Q307" s="75">
        <v>2</v>
      </c>
      <c r="R307" s="75">
        <v>37600000</v>
      </c>
      <c r="S307" s="75"/>
      <c r="T307" s="78">
        <v>21000000</v>
      </c>
      <c r="U307" s="71" t="s">
        <v>316</v>
      </c>
      <c r="V307" s="60">
        <f t="shared" si="22"/>
        <v>0.55851063829787229</v>
      </c>
      <c r="W307" s="46"/>
      <c r="X307" s="74"/>
      <c r="Y307" s="46"/>
      <c r="AC307" s="46"/>
    </row>
    <row r="308" spans="1:29" s="59" customFormat="1" ht="17.25" customHeight="1">
      <c r="A308" s="59" t="s">
        <v>257</v>
      </c>
      <c r="B308" s="58" t="s">
        <v>338</v>
      </c>
      <c r="C308" s="155" t="s">
        <v>337</v>
      </c>
      <c r="D308" s="58" t="str">
        <f>VLOOKUP(C308,코드!$E$3:$F$30,2,FALSE)</f>
        <v>8639</v>
      </c>
      <c r="E308" s="65" t="s">
        <v>455</v>
      </c>
      <c r="F308" s="65" t="s">
        <v>468</v>
      </c>
      <c r="G308" s="66" t="s">
        <v>467</v>
      </c>
      <c r="H308" s="65" t="s">
        <v>473</v>
      </c>
      <c r="I308" s="65" t="s">
        <v>474</v>
      </c>
      <c r="J308" s="72" t="s">
        <v>130</v>
      </c>
      <c r="K308" s="72" t="s">
        <v>17</v>
      </c>
      <c r="L308" s="58">
        <f>VLOOKUP(K308,코드!$B$3:$C$29,2,FALSE)</f>
        <v>4241130</v>
      </c>
      <c r="M308" s="72" t="s">
        <v>232</v>
      </c>
      <c r="N308" s="72" t="s">
        <v>450</v>
      </c>
      <c r="O308" s="75"/>
      <c r="P308" s="75"/>
      <c r="Q308" s="75"/>
      <c r="R308" s="160">
        <v>4700000</v>
      </c>
      <c r="S308" s="75"/>
      <c r="T308" s="162">
        <v>2300000</v>
      </c>
      <c r="U308" s="71" t="s">
        <v>378</v>
      </c>
      <c r="V308" s="60">
        <f t="shared" si="22"/>
        <v>0.48936170212765956</v>
      </c>
      <c r="W308" s="46"/>
      <c r="X308" s="74"/>
      <c r="Y308" s="46"/>
      <c r="AC308" s="46"/>
    </row>
    <row r="309" spans="1:29" s="59" customFormat="1" ht="17.25" customHeight="1">
      <c r="A309" s="59" t="s">
        <v>257</v>
      </c>
      <c r="B309" s="58" t="s">
        <v>338</v>
      </c>
      <c r="C309" s="155" t="s">
        <v>337</v>
      </c>
      <c r="D309" s="58" t="str">
        <f>VLOOKUP(C309,코드!$E$3:$F$30,2,FALSE)</f>
        <v>8639</v>
      </c>
      <c r="E309" s="65" t="s">
        <v>455</v>
      </c>
      <c r="F309" s="65" t="s">
        <v>468</v>
      </c>
      <c r="G309" s="66" t="s">
        <v>467</v>
      </c>
      <c r="H309" s="65" t="s">
        <v>473</v>
      </c>
      <c r="I309" s="65" t="s">
        <v>472</v>
      </c>
      <c r="J309" s="72" t="s">
        <v>130</v>
      </c>
      <c r="K309" s="72" t="s">
        <v>15</v>
      </c>
      <c r="L309" s="58">
        <f>VLOOKUP(K309,코드!$B$3:$C$29,2,FALSE)</f>
        <v>4321701</v>
      </c>
      <c r="M309" s="72" t="s">
        <v>422</v>
      </c>
      <c r="N309" s="72" t="s">
        <v>450</v>
      </c>
      <c r="O309" s="75">
        <v>700000</v>
      </c>
      <c r="P309" s="75">
        <v>3</v>
      </c>
      <c r="Q309" s="75">
        <v>2</v>
      </c>
      <c r="R309" s="75">
        <v>4200000</v>
      </c>
      <c r="S309" s="75"/>
      <c r="T309" s="78">
        <v>2100000</v>
      </c>
      <c r="U309" s="71" t="s">
        <v>316</v>
      </c>
      <c r="V309" s="60">
        <f t="shared" si="22"/>
        <v>0.5</v>
      </c>
      <c r="W309" s="46"/>
      <c r="X309" s="74"/>
      <c r="Y309" s="46"/>
      <c r="AC309" s="46"/>
    </row>
    <row r="310" spans="1:29" s="59" customFormat="1" ht="17.25" customHeight="1">
      <c r="A310" s="59" t="s">
        <v>257</v>
      </c>
      <c r="B310" s="58" t="s">
        <v>338</v>
      </c>
      <c r="C310" s="155" t="s">
        <v>337</v>
      </c>
      <c r="D310" s="58" t="str">
        <f>VLOOKUP(C310,코드!$E$3:$F$30,2,FALSE)</f>
        <v>8639</v>
      </c>
      <c r="E310" s="65" t="s">
        <v>455</v>
      </c>
      <c r="F310" s="65" t="s">
        <v>468</v>
      </c>
      <c r="G310" s="66" t="s">
        <v>467</v>
      </c>
      <c r="H310" s="70" t="s">
        <v>470</v>
      </c>
      <c r="I310" s="70" t="s">
        <v>471</v>
      </c>
      <c r="J310" s="69" t="s">
        <v>84</v>
      </c>
      <c r="K310" s="68" t="s">
        <v>97</v>
      </c>
      <c r="L310" s="68">
        <f>VLOOKUP(K310,코드!$B$3:$C$29,2,FALSE)</f>
        <v>4125101</v>
      </c>
      <c r="M310" s="69" t="s">
        <v>96</v>
      </c>
      <c r="N310" s="68" t="s">
        <v>68</v>
      </c>
      <c r="O310" s="75"/>
      <c r="P310" s="75"/>
      <c r="Q310" s="75"/>
      <c r="R310" s="63">
        <v>30000000</v>
      </c>
      <c r="S310" s="75"/>
      <c r="T310" s="63">
        <v>30000000</v>
      </c>
      <c r="U310" s="61" t="s">
        <v>67</v>
      </c>
      <c r="V310" s="60">
        <f t="shared" si="22"/>
        <v>1</v>
      </c>
      <c r="W310" s="46"/>
      <c r="X310" s="74"/>
      <c r="Y310" s="46"/>
      <c r="AC310" s="46"/>
    </row>
    <row r="311" spans="1:29" s="59" customFormat="1" ht="17.25" customHeight="1">
      <c r="A311" s="59" t="s">
        <v>257</v>
      </c>
      <c r="B311" s="58" t="s">
        <v>338</v>
      </c>
      <c r="C311" s="155" t="s">
        <v>337</v>
      </c>
      <c r="D311" s="58" t="str">
        <f>VLOOKUP(C311,코드!$E$3:$F$30,2,FALSE)</f>
        <v>8639</v>
      </c>
      <c r="E311" s="65" t="s">
        <v>455</v>
      </c>
      <c r="F311" s="65" t="s">
        <v>468</v>
      </c>
      <c r="G311" s="66" t="s">
        <v>467</v>
      </c>
      <c r="H311" s="70" t="s">
        <v>470</v>
      </c>
      <c r="I311" s="70" t="s">
        <v>469</v>
      </c>
      <c r="J311" s="69" t="s">
        <v>84</v>
      </c>
      <c r="K311" s="68" t="s">
        <v>97</v>
      </c>
      <c r="L311" s="68">
        <f>VLOOKUP(K311,코드!$B$3:$C$29,2,FALSE)</f>
        <v>4125101</v>
      </c>
      <c r="M311" s="69" t="s">
        <v>96</v>
      </c>
      <c r="N311" s="68" t="s">
        <v>68</v>
      </c>
      <c r="O311" s="75"/>
      <c r="P311" s="75"/>
      <c r="Q311" s="75"/>
      <c r="R311" s="63">
        <v>30000000</v>
      </c>
      <c r="S311" s="75"/>
      <c r="T311" s="63">
        <v>30000000</v>
      </c>
      <c r="U311" s="61" t="s">
        <v>67</v>
      </c>
      <c r="V311" s="60">
        <f t="shared" si="22"/>
        <v>1</v>
      </c>
      <c r="W311" s="46"/>
      <c r="X311" s="74"/>
      <c r="Y311" s="46"/>
      <c r="AC311" s="46"/>
    </row>
    <row r="312" spans="1:29" s="59" customFormat="1" ht="17.25" customHeight="1">
      <c r="A312" s="59" t="s">
        <v>257</v>
      </c>
      <c r="B312" s="58" t="s">
        <v>338</v>
      </c>
      <c r="C312" s="155" t="s">
        <v>337</v>
      </c>
      <c r="D312" s="58" t="str">
        <f>VLOOKUP(C312,코드!$E$3:$F$30,2,FALSE)</f>
        <v>8639</v>
      </c>
      <c r="E312" s="65" t="s">
        <v>455</v>
      </c>
      <c r="F312" s="65" t="s">
        <v>468</v>
      </c>
      <c r="G312" s="66" t="s">
        <v>467</v>
      </c>
      <c r="H312" s="65" t="s">
        <v>466</v>
      </c>
      <c r="I312" s="65" t="s">
        <v>465</v>
      </c>
      <c r="J312" s="72" t="s">
        <v>205</v>
      </c>
      <c r="K312" s="72" t="s">
        <v>20</v>
      </c>
      <c r="L312" s="58">
        <f>VLOOKUP(K312,코드!$B$3:$C$29,2,FALSE)</f>
        <v>4211402</v>
      </c>
      <c r="M312" s="72"/>
      <c r="N312" s="130"/>
      <c r="O312" s="75"/>
      <c r="P312" s="75"/>
      <c r="Q312" s="75"/>
      <c r="R312" s="75">
        <v>0</v>
      </c>
      <c r="S312" s="75"/>
      <c r="T312" s="78">
        <v>0</v>
      </c>
      <c r="U312" s="71"/>
      <c r="V312" s="60" t="e">
        <f t="shared" si="22"/>
        <v>#DIV/0!</v>
      </c>
      <c r="W312" s="46"/>
      <c r="X312" s="74"/>
      <c r="Y312" s="46"/>
      <c r="AC312" s="46"/>
    </row>
    <row r="313" spans="1:29" s="59" customFormat="1" ht="17.25" customHeight="1">
      <c r="A313" s="59" t="s">
        <v>257</v>
      </c>
      <c r="B313" s="58" t="s">
        <v>338</v>
      </c>
      <c r="C313" s="155" t="s">
        <v>337</v>
      </c>
      <c r="D313" s="58" t="str">
        <f>VLOOKUP(C313,코드!$E$3:$F$30,2,FALSE)</f>
        <v>8639</v>
      </c>
      <c r="E313" s="65" t="s">
        <v>455</v>
      </c>
      <c r="F313" s="65" t="s">
        <v>457</v>
      </c>
      <c r="G313" s="66" t="s">
        <v>461</v>
      </c>
      <c r="H313" s="65" t="s">
        <v>464</v>
      </c>
      <c r="I313" s="65" t="s">
        <v>463</v>
      </c>
      <c r="J313" s="72" t="s">
        <v>130</v>
      </c>
      <c r="K313" s="72" t="s">
        <v>17</v>
      </c>
      <c r="L313" s="58">
        <f>VLOOKUP(K313,코드!$B$3:$C$29,2,FALSE)</f>
        <v>4241130</v>
      </c>
      <c r="M313" s="72" t="s">
        <v>262</v>
      </c>
      <c r="N313" s="72" t="s">
        <v>450</v>
      </c>
      <c r="O313" s="75">
        <v>10000</v>
      </c>
      <c r="P313" s="75">
        <v>100</v>
      </c>
      <c r="Q313" s="75">
        <v>3</v>
      </c>
      <c r="R313" s="75">
        <v>0</v>
      </c>
      <c r="S313" s="75"/>
      <c r="T313" s="78">
        <v>0</v>
      </c>
      <c r="U313" s="71"/>
      <c r="V313" s="60" t="e">
        <f t="shared" si="22"/>
        <v>#DIV/0!</v>
      </c>
      <c r="W313" s="46"/>
      <c r="X313" s="74"/>
      <c r="Y313" s="46"/>
      <c r="AC313" s="46"/>
    </row>
    <row r="314" spans="1:29" s="59" customFormat="1" ht="17.25" customHeight="1">
      <c r="A314" s="59" t="s">
        <v>257</v>
      </c>
      <c r="B314" s="58" t="s">
        <v>338</v>
      </c>
      <c r="C314" s="155" t="s">
        <v>337</v>
      </c>
      <c r="D314" s="58" t="str">
        <f>VLOOKUP(C314,코드!$E$3:$F$30,2,FALSE)</f>
        <v>8639</v>
      </c>
      <c r="E314" s="65" t="s">
        <v>455</v>
      </c>
      <c r="F314" s="65" t="s">
        <v>457</v>
      </c>
      <c r="G314" s="66" t="s">
        <v>461</v>
      </c>
      <c r="H314" s="65" t="s">
        <v>460</v>
      </c>
      <c r="I314" s="65" t="s">
        <v>462</v>
      </c>
      <c r="J314" s="72" t="s">
        <v>130</v>
      </c>
      <c r="K314" s="72" t="s">
        <v>17</v>
      </c>
      <c r="L314" s="58">
        <f>VLOOKUP(K314,코드!$B$3:$C$29,2,FALSE)</f>
        <v>4241130</v>
      </c>
      <c r="M314" s="72" t="s">
        <v>262</v>
      </c>
      <c r="N314" s="72" t="s">
        <v>450</v>
      </c>
      <c r="O314" s="75">
        <v>4500</v>
      </c>
      <c r="P314" s="75">
        <v>1600</v>
      </c>
      <c r="Q314" s="75">
        <v>1</v>
      </c>
      <c r="R314" s="75">
        <v>7200000</v>
      </c>
      <c r="S314" s="75"/>
      <c r="T314" s="78">
        <v>0</v>
      </c>
      <c r="U314" s="71"/>
      <c r="V314" s="60">
        <f t="shared" si="22"/>
        <v>0</v>
      </c>
      <c r="W314" s="46"/>
      <c r="X314" s="74"/>
      <c r="Y314" s="46"/>
      <c r="AC314" s="46"/>
    </row>
    <row r="315" spans="1:29" s="59" customFormat="1" ht="17.25" customHeight="1">
      <c r="A315" s="59" t="s">
        <v>257</v>
      </c>
      <c r="B315" s="58" t="s">
        <v>338</v>
      </c>
      <c r="C315" s="155" t="s">
        <v>337</v>
      </c>
      <c r="D315" s="58" t="str">
        <f>VLOOKUP(C315,코드!$E$3:$F$30,2,FALSE)</f>
        <v>8639</v>
      </c>
      <c r="E315" s="65" t="s">
        <v>455</v>
      </c>
      <c r="F315" s="65" t="s">
        <v>457</v>
      </c>
      <c r="G315" s="66" t="s">
        <v>461</v>
      </c>
      <c r="H315" s="65" t="s">
        <v>460</v>
      </c>
      <c r="I315" s="65" t="s">
        <v>459</v>
      </c>
      <c r="J315" s="72" t="s">
        <v>130</v>
      </c>
      <c r="K315" s="72" t="s">
        <v>17</v>
      </c>
      <c r="L315" s="58">
        <f>VLOOKUP(K315,코드!$B$3:$C$29,2,FALSE)</f>
        <v>4241130</v>
      </c>
      <c r="M315" s="72" t="s">
        <v>262</v>
      </c>
      <c r="N315" s="72" t="s">
        <v>450</v>
      </c>
      <c r="O315" s="75">
        <v>30000</v>
      </c>
      <c r="P315" s="75">
        <v>20</v>
      </c>
      <c r="Q315" s="75">
        <v>3</v>
      </c>
      <c r="R315" s="75">
        <v>1800000</v>
      </c>
      <c r="S315" s="75"/>
      <c r="T315" s="78">
        <v>0</v>
      </c>
      <c r="U315" s="71"/>
      <c r="V315" s="60">
        <f t="shared" si="22"/>
        <v>0</v>
      </c>
      <c r="W315" s="46"/>
      <c r="X315" s="74"/>
      <c r="Y315" s="46"/>
      <c r="AC315" s="46"/>
    </row>
    <row r="316" spans="1:29" s="59" customFormat="1" ht="17.25" customHeight="1">
      <c r="A316" s="59" t="s">
        <v>257</v>
      </c>
      <c r="B316" s="58" t="s">
        <v>338</v>
      </c>
      <c r="C316" s="155" t="s">
        <v>337</v>
      </c>
      <c r="D316" s="58" t="str">
        <f>VLOOKUP(C316,코드!$E$3:$F$30,2,FALSE)</f>
        <v>8639</v>
      </c>
      <c r="E316" s="65" t="s">
        <v>455</v>
      </c>
      <c r="F316" s="65" t="s">
        <v>457</v>
      </c>
      <c r="G316" s="66" t="s">
        <v>453</v>
      </c>
      <c r="H316" s="65" t="s">
        <v>452</v>
      </c>
      <c r="I316" s="65" t="s">
        <v>458</v>
      </c>
      <c r="J316" s="72" t="s">
        <v>130</v>
      </c>
      <c r="K316" s="72" t="s">
        <v>17</v>
      </c>
      <c r="L316" s="58">
        <f>VLOOKUP(K316,코드!$B$3:$C$29,2,FALSE)</f>
        <v>4241130</v>
      </c>
      <c r="M316" s="72" t="s">
        <v>356</v>
      </c>
      <c r="N316" s="72" t="s">
        <v>450</v>
      </c>
      <c r="O316" s="75">
        <v>400000</v>
      </c>
      <c r="P316" s="75">
        <v>6</v>
      </c>
      <c r="Q316" s="75">
        <v>2</v>
      </c>
      <c r="R316" s="164">
        <v>3000000</v>
      </c>
      <c r="S316" s="157"/>
      <c r="T316" s="78">
        <v>2600000</v>
      </c>
      <c r="U316" s="71" t="s">
        <v>316</v>
      </c>
      <c r="V316" s="60">
        <f t="shared" si="22"/>
        <v>0.8666666666666667</v>
      </c>
      <c r="W316" s="46"/>
      <c r="X316" s="74"/>
      <c r="Y316" s="46"/>
      <c r="AC316" s="46"/>
    </row>
    <row r="317" spans="1:29" s="59" customFormat="1" ht="17.25" customHeight="1">
      <c r="A317" s="59" t="s">
        <v>257</v>
      </c>
      <c r="B317" s="58" t="s">
        <v>338</v>
      </c>
      <c r="C317" s="155" t="s">
        <v>337</v>
      </c>
      <c r="D317" s="58" t="str">
        <f>VLOOKUP(C317,코드!$E$3:$F$30,2,FALSE)</f>
        <v>8639</v>
      </c>
      <c r="E317" s="65" t="s">
        <v>455</v>
      </c>
      <c r="F317" s="65" t="s">
        <v>457</v>
      </c>
      <c r="G317" s="66" t="s">
        <v>453</v>
      </c>
      <c r="H317" s="65" t="s">
        <v>452</v>
      </c>
      <c r="I317" s="65" t="s">
        <v>456</v>
      </c>
      <c r="J317" s="72" t="s">
        <v>130</v>
      </c>
      <c r="K317" s="72" t="s">
        <v>17</v>
      </c>
      <c r="L317" s="58">
        <f>VLOOKUP(K317,코드!$B$3:$C$29,2,FALSE)</f>
        <v>4241130</v>
      </c>
      <c r="M317" s="72" t="s">
        <v>262</v>
      </c>
      <c r="N317" s="72" t="s">
        <v>450</v>
      </c>
      <c r="O317" s="75">
        <v>60000</v>
      </c>
      <c r="P317" s="75">
        <v>10</v>
      </c>
      <c r="Q317" s="75">
        <v>4</v>
      </c>
      <c r="R317" s="164">
        <v>4840000</v>
      </c>
      <c r="S317" s="157"/>
      <c r="T317" s="78">
        <v>1640000</v>
      </c>
      <c r="U317" s="71" t="s">
        <v>316</v>
      </c>
      <c r="V317" s="60">
        <f t="shared" si="22"/>
        <v>0.33884297520661155</v>
      </c>
      <c r="W317" s="46"/>
      <c r="X317" s="74"/>
      <c r="Y317" s="46"/>
      <c r="AC317" s="46"/>
    </row>
    <row r="318" spans="1:29" s="59" customFormat="1" ht="17.25" customHeight="1">
      <c r="A318" s="59" t="s">
        <v>257</v>
      </c>
      <c r="B318" s="58" t="s">
        <v>338</v>
      </c>
      <c r="C318" s="155" t="s">
        <v>337</v>
      </c>
      <c r="D318" s="58" t="str">
        <f>VLOOKUP(C318,코드!$E$3:$F$30,2,FALSE)</f>
        <v>8639</v>
      </c>
      <c r="E318" s="65" t="s">
        <v>455</v>
      </c>
      <c r="F318" s="65" t="s">
        <v>454</v>
      </c>
      <c r="G318" s="66" t="s">
        <v>453</v>
      </c>
      <c r="H318" s="65" t="s">
        <v>452</v>
      </c>
      <c r="I318" s="65" t="s">
        <v>451</v>
      </c>
      <c r="J318" s="72" t="s">
        <v>130</v>
      </c>
      <c r="K318" s="72" t="s">
        <v>17</v>
      </c>
      <c r="L318" s="58">
        <f>VLOOKUP(K318,코드!$B$3:$C$29,2,FALSE)</f>
        <v>4241130</v>
      </c>
      <c r="M318" s="72" t="s">
        <v>262</v>
      </c>
      <c r="N318" s="72" t="s">
        <v>450</v>
      </c>
      <c r="O318" s="75"/>
      <c r="P318" s="75"/>
      <c r="Q318" s="75"/>
      <c r="R318" s="164">
        <v>160000</v>
      </c>
      <c r="S318" s="157"/>
      <c r="T318" s="78">
        <v>160000</v>
      </c>
      <c r="U318" s="71"/>
      <c r="V318" s="60">
        <f t="shared" si="22"/>
        <v>1</v>
      </c>
      <c r="W318" s="46"/>
      <c r="X318" s="74"/>
      <c r="Y318" s="46"/>
      <c r="AC318" s="46"/>
    </row>
    <row r="319" spans="1:29" s="59" customFormat="1" ht="17.25" customHeight="1">
      <c r="A319" s="59" t="s">
        <v>257</v>
      </c>
      <c r="B319" s="58"/>
      <c r="C319" s="155"/>
      <c r="D319" s="79" t="e">
        <f>VLOOKUP(C319,[1]코드!$E$3:$F$29,2,FALSE)</f>
        <v>#N/A</v>
      </c>
      <c r="E319" s="65"/>
      <c r="F319" s="65"/>
      <c r="G319" s="66"/>
      <c r="H319" s="65"/>
      <c r="I319" s="65"/>
      <c r="J319" s="72"/>
      <c r="K319" s="72"/>
      <c r="L319" s="79" t="e">
        <f>VLOOKUP(K319,[1]코드!$B$3:$C$29,2,FALSE)</f>
        <v>#N/A</v>
      </c>
      <c r="M319" s="72"/>
      <c r="N319" s="58"/>
      <c r="O319" s="75"/>
      <c r="P319" s="75"/>
      <c r="Q319" s="75"/>
      <c r="R319" s="75"/>
      <c r="S319" s="75"/>
      <c r="T319" s="78">
        <v>0</v>
      </c>
      <c r="U319" s="71"/>
      <c r="V319" s="60" t="s">
        <v>126</v>
      </c>
      <c r="W319" s="46"/>
      <c r="X319" s="74"/>
      <c r="Y319" s="46"/>
      <c r="AC319" s="46"/>
    </row>
    <row r="320" spans="1:29" s="59" customFormat="1" ht="17.25" customHeight="1">
      <c r="A320" s="59" t="s">
        <v>257</v>
      </c>
      <c r="B320" s="58" t="s">
        <v>338</v>
      </c>
      <c r="C320" s="155" t="s">
        <v>337</v>
      </c>
      <c r="D320" s="58" t="str">
        <f>VLOOKUP(C320,코드!$E$3:$F$30,2,FALSE)</f>
        <v>8639</v>
      </c>
      <c r="E320" s="65" t="s">
        <v>402</v>
      </c>
      <c r="F320" s="65" t="s">
        <v>448</v>
      </c>
      <c r="G320" s="66" t="s">
        <v>447</v>
      </c>
      <c r="H320" s="65" t="s">
        <v>443</v>
      </c>
      <c r="I320" s="65" t="s">
        <v>449</v>
      </c>
      <c r="J320" s="72" t="s">
        <v>130</v>
      </c>
      <c r="K320" s="72" t="s">
        <v>17</v>
      </c>
      <c r="L320" s="58">
        <f>VLOOKUP(K320,코드!$B$3:$C$29,2,FALSE)</f>
        <v>4241130</v>
      </c>
      <c r="M320" s="72" t="s">
        <v>262</v>
      </c>
      <c r="N320" s="130" t="s">
        <v>397</v>
      </c>
      <c r="O320" s="75">
        <v>40000</v>
      </c>
      <c r="P320" s="75">
        <v>10</v>
      </c>
      <c r="Q320" s="75">
        <v>5</v>
      </c>
      <c r="R320" s="75">
        <v>900000</v>
      </c>
      <c r="S320" s="75"/>
      <c r="T320" s="78">
        <v>900000</v>
      </c>
      <c r="U320" s="71" t="s">
        <v>316</v>
      </c>
      <c r="V320" s="60">
        <f t="shared" ref="V320:V334" si="23">T320/R320</f>
        <v>1</v>
      </c>
      <c r="W320" s="46"/>
      <c r="X320" s="74"/>
      <c r="Y320" s="46"/>
      <c r="AC320" s="46"/>
    </row>
    <row r="321" spans="1:29" s="59" customFormat="1" ht="17.25" customHeight="1">
      <c r="A321" s="59" t="s">
        <v>257</v>
      </c>
      <c r="B321" s="58" t="s">
        <v>338</v>
      </c>
      <c r="C321" s="155" t="s">
        <v>337</v>
      </c>
      <c r="D321" s="58" t="str">
        <f>VLOOKUP(C321,코드!$E$3:$F$30,2,FALSE)</f>
        <v>8639</v>
      </c>
      <c r="E321" s="65" t="s">
        <v>402</v>
      </c>
      <c r="F321" s="65" t="s">
        <v>448</v>
      </c>
      <c r="G321" s="66" t="s">
        <v>447</v>
      </c>
      <c r="H321" s="65" t="s">
        <v>443</v>
      </c>
      <c r="I321" s="65" t="s">
        <v>446</v>
      </c>
      <c r="J321" s="72" t="s">
        <v>130</v>
      </c>
      <c r="K321" s="72" t="s">
        <v>17</v>
      </c>
      <c r="L321" s="58">
        <f>VLOOKUP(K321,코드!$B$3:$C$29,2,FALSE)</f>
        <v>4241130</v>
      </c>
      <c r="M321" s="72" t="s">
        <v>103</v>
      </c>
      <c r="N321" s="130" t="s">
        <v>397</v>
      </c>
      <c r="O321" s="75"/>
      <c r="P321" s="75"/>
      <c r="Q321" s="75"/>
      <c r="R321" s="75">
        <v>100000</v>
      </c>
      <c r="S321" s="75"/>
      <c r="T321" s="78">
        <v>100000</v>
      </c>
      <c r="U321" s="71" t="s">
        <v>316</v>
      </c>
      <c r="V321" s="60">
        <f t="shared" si="23"/>
        <v>1</v>
      </c>
      <c r="W321" s="46"/>
      <c r="X321" s="74"/>
      <c r="Y321" s="46"/>
      <c r="AC321" s="46"/>
    </row>
    <row r="322" spans="1:29" s="59" customFormat="1" ht="17.25" customHeight="1">
      <c r="A322" s="59" t="s">
        <v>257</v>
      </c>
      <c r="B322" s="58" t="s">
        <v>338</v>
      </c>
      <c r="C322" s="155" t="s">
        <v>337</v>
      </c>
      <c r="D322" s="58" t="str">
        <f>VLOOKUP(C322,코드!$E$3:$F$30,2,FALSE)</f>
        <v>8639</v>
      </c>
      <c r="E322" s="65" t="s">
        <v>402</v>
      </c>
      <c r="F322" s="65" t="s">
        <v>445</v>
      </c>
      <c r="G322" s="66" t="s">
        <v>444</v>
      </c>
      <c r="H322" s="65" t="s">
        <v>443</v>
      </c>
      <c r="I322" s="65" t="s">
        <v>442</v>
      </c>
      <c r="J322" s="72" t="s">
        <v>130</v>
      </c>
      <c r="K322" s="72" t="s">
        <v>18</v>
      </c>
      <c r="L322" s="58">
        <f>VLOOKUP(K322,코드!$B$3:$C$29,2,FALSE)</f>
        <v>4233201</v>
      </c>
      <c r="M322" s="72" t="s">
        <v>266</v>
      </c>
      <c r="N322" s="130" t="s">
        <v>397</v>
      </c>
      <c r="O322" s="75">
        <v>15000000</v>
      </c>
      <c r="P322" s="75">
        <v>2</v>
      </c>
      <c r="Q322" s="75">
        <v>1</v>
      </c>
      <c r="R322" s="164">
        <v>22000000</v>
      </c>
      <c r="S322" s="164"/>
      <c r="T322" s="156">
        <v>22000000</v>
      </c>
      <c r="U322" s="174" t="s">
        <v>316</v>
      </c>
      <c r="V322" s="60">
        <f t="shared" si="23"/>
        <v>1</v>
      </c>
      <c r="W322" s="46" t="s">
        <v>441</v>
      </c>
      <c r="X322" s="74"/>
      <c r="Y322" s="46"/>
      <c r="AC322" s="46"/>
    </row>
    <row r="323" spans="1:29" s="59" customFormat="1" ht="17.25" customHeight="1">
      <c r="A323" s="59" t="s">
        <v>257</v>
      </c>
      <c r="B323" s="58" t="s">
        <v>338</v>
      </c>
      <c r="C323" s="155" t="s">
        <v>337</v>
      </c>
      <c r="D323" s="58" t="str">
        <f>VLOOKUP(C323,코드!$E$3:$F$30,2,FALSE)</f>
        <v>8639</v>
      </c>
      <c r="E323" s="65" t="s">
        <v>402</v>
      </c>
      <c r="F323" s="65" t="s">
        <v>416</v>
      </c>
      <c r="G323" s="66" t="s">
        <v>438</v>
      </c>
      <c r="H323" s="65" t="s">
        <v>440</v>
      </c>
      <c r="I323" s="65" t="s">
        <v>439</v>
      </c>
      <c r="J323" s="72" t="s">
        <v>130</v>
      </c>
      <c r="K323" s="72" t="s">
        <v>17</v>
      </c>
      <c r="L323" s="58">
        <f>VLOOKUP(K323,코드!$B$3:$C$29,2,FALSE)</f>
        <v>4241130</v>
      </c>
      <c r="M323" s="72" t="s">
        <v>262</v>
      </c>
      <c r="N323" s="130" t="s">
        <v>397</v>
      </c>
      <c r="O323" s="75">
        <v>500000</v>
      </c>
      <c r="P323" s="75">
        <v>5</v>
      </c>
      <c r="Q323" s="75">
        <v>2</v>
      </c>
      <c r="R323" s="75">
        <v>5050000</v>
      </c>
      <c r="S323" s="75"/>
      <c r="T323" s="78">
        <v>2200000</v>
      </c>
      <c r="U323" s="71" t="s">
        <v>316</v>
      </c>
      <c r="V323" s="60">
        <f t="shared" si="23"/>
        <v>0.43564356435643564</v>
      </c>
      <c r="W323" s="46"/>
      <c r="X323" s="74"/>
      <c r="Y323" s="46"/>
      <c r="AC323" s="46"/>
    </row>
    <row r="324" spans="1:29" s="59" customFormat="1" ht="17.25" customHeight="1">
      <c r="A324" s="59" t="s">
        <v>257</v>
      </c>
      <c r="B324" s="58" t="s">
        <v>338</v>
      </c>
      <c r="C324" s="155" t="s">
        <v>337</v>
      </c>
      <c r="D324" s="58" t="str">
        <f>VLOOKUP(C324,코드!$E$3:$F$30,2,FALSE)</f>
        <v>8639</v>
      </c>
      <c r="E324" s="65" t="s">
        <v>402</v>
      </c>
      <c r="F324" s="65" t="s">
        <v>416</v>
      </c>
      <c r="G324" s="66" t="s">
        <v>438</v>
      </c>
      <c r="H324" s="65" t="s">
        <v>440</v>
      </c>
      <c r="I324" s="65" t="s">
        <v>439</v>
      </c>
      <c r="J324" s="72" t="s">
        <v>130</v>
      </c>
      <c r="K324" s="72" t="s">
        <v>17</v>
      </c>
      <c r="L324" s="58">
        <f>VLOOKUP(K324,코드!$B$3:$C$29,2,FALSE)</f>
        <v>4241130</v>
      </c>
      <c r="M324" s="72" t="s">
        <v>120</v>
      </c>
      <c r="N324" s="130" t="s">
        <v>397</v>
      </c>
      <c r="O324" s="75"/>
      <c r="P324" s="75"/>
      <c r="Q324" s="75"/>
      <c r="R324" s="75">
        <v>1100000</v>
      </c>
      <c r="S324" s="75"/>
      <c r="T324" s="78">
        <v>300000</v>
      </c>
      <c r="U324" s="71"/>
      <c r="V324" s="60">
        <f t="shared" si="23"/>
        <v>0.27272727272727271</v>
      </c>
      <c r="W324" s="46"/>
      <c r="X324" s="74"/>
      <c r="Y324" s="46"/>
      <c r="AC324" s="46"/>
    </row>
    <row r="325" spans="1:29" s="59" customFormat="1" ht="17.25" customHeight="1">
      <c r="A325" s="59" t="s">
        <v>257</v>
      </c>
      <c r="B325" s="58" t="s">
        <v>338</v>
      </c>
      <c r="C325" s="155" t="s">
        <v>337</v>
      </c>
      <c r="D325" s="58" t="str">
        <f>VLOOKUP(C325,코드!$E$3:$F$30,2,FALSE)</f>
        <v>8639</v>
      </c>
      <c r="E325" s="65" t="s">
        <v>402</v>
      </c>
      <c r="F325" s="65" t="s">
        <v>416</v>
      </c>
      <c r="G325" s="66" t="s">
        <v>438</v>
      </c>
      <c r="H325" s="65" t="s">
        <v>437</v>
      </c>
      <c r="I325" s="65" t="s">
        <v>436</v>
      </c>
      <c r="J325" s="72" t="s">
        <v>205</v>
      </c>
      <c r="K325" s="72" t="s">
        <v>435</v>
      </c>
      <c r="L325" s="58">
        <f>VLOOKUP(K325,코드!$B$3:$C$29,2,FALSE)</f>
        <v>4211402</v>
      </c>
      <c r="M325" s="72"/>
      <c r="N325" s="130"/>
      <c r="O325" s="75">
        <f>0</f>
        <v>0</v>
      </c>
      <c r="P325" s="75">
        <f>0</f>
        <v>0</v>
      </c>
      <c r="Q325" s="75">
        <f>0</f>
        <v>0</v>
      </c>
      <c r="R325" s="75">
        <v>0</v>
      </c>
      <c r="S325" s="75"/>
      <c r="T325" s="78">
        <v>0</v>
      </c>
      <c r="U325" s="71"/>
      <c r="V325" s="60" t="e">
        <f t="shared" si="23"/>
        <v>#DIV/0!</v>
      </c>
      <c r="W325" s="46"/>
      <c r="X325" s="74"/>
      <c r="Y325" s="46"/>
      <c r="AC325" s="46"/>
    </row>
    <row r="326" spans="1:29" s="59" customFormat="1" ht="17.25" customHeight="1">
      <c r="A326" s="59" t="s">
        <v>257</v>
      </c>
      <c r="B326" s="58" t="s">
        <v>338</v>
      </c>
      <c r="C326" s="155" t="s">
        <v>337</v>
      </c>
      <c r="D326" s="58" t="str">
        <f>VLOOKUP(C326,코드!$E$3:$F$30,2,FALSE)</f>
        <v>8639</v>
      </c>
      <c r="E326" s="65" t="s">
        <v>402</v>
      </c>
      <c r="F326" s="65" t="s">
        <v>416</v>
      </c>
      <c r="G326" s="66" t="s">
        <v>415</v>
      </c>
      <c r="H326" s="65" t="s">
        <v>433</v>
      </c>
      <c r="I326" s="65" t="s">
        <v>434</v>
      </c>
      <c r="J326" s="72" t="s">
        <v>130</v>
      </c>
      <c r="K326" s="72" t="s">
        <v>17</v>
      </c>
      <c r="L326" s="58">
        <f>VLOOKUP(K326,코드!$B$3:$C$29,2,FALSE)</f>
        <v>4241130</v>
      </c>
      <c r="M326" s="72" t="s">
        <v>352</v>
      </c>
      <c r="N326" s="130" t="s">
        <v>397</v>
      </c>
      <c r="O326" s="75">
        <v>600000</v>
      </c>
      <c r="P326" s="75">
        <v>10</v>
      </c>
      <c r="Q326" s="75">
        <v>2</v>
      </c>
      <c r="R326" s="75">
        <v>8700000</v>
      </c>
      <c r="S326" s="75"/>
      <c r="T326" s="78">
        <v>8700000</v>
      </c>
      <c r="U326" s="71" t="s">
        <v>316</v>
      </c>
      <c r="V326" s="60">
        <f t="shared" si="23"/>
        <v>1</v>
      </c>
      <c r="W326" s="46"/>
      <c r="X326" s="74"/>
      <c r="Y326" s="46"/>
      <c r="AC326" s="46"/>
    </row>
    <row r="327" spans="1:29" s="59" customFormat="1" ht="17.25" customHeight="1">
      <c r="A327" s="59" t="s">
        <v>257</v>
      </c>
      <c r="B327" s="58" t="s">
        <v>338</v>
      </c>
      <c r="C327" s="155" t="s">
        <v>337</v>
      </c>
      <c r="D327" s="58" t="str">
        <f>VLOOKUP(C327,코드!$E$3:$F$30,2,FALSE)</f>
        <v>8639</v>
      </c>
      <c r="E327" s="65" t="s">
        <v>402</v>
      </c>
      <c r="F327" s="65" t="s">
        <v>416</v>
      </c>
      <c r="G327" s="66" t="s">
        <v>415</v>
      </c>
      <c r="H327" s="65" t="s">
        <v>433</v>
      </c>
      <c r="I327" s="65" t="s">
        <v>432</v>
      </c>
      <c r="J327" s="72" t="s">
        <v>130</v>
      </c>
      <c r="K327" s="72" t="s">
        <v>17</v>
      </c>
      <c r="L327" s="58">
        <f>VLOOKUP(K327,코드!$B$3:$C$29,2,FALSE)</f>
        <v>4241130</v>
      </c>
      <c r="M327" s="72" t="s">
        <v>352</v>
      </c>
      <c r="N327" s="130" t="s">
        <v>397</v>
      </c>
      <c r="O327" s="75">
        <v>4000000</v>
      </c>
      <c r="P327" s="75">
        <v>1</v>
      </c>
      <c r="Q327" s="75">
        <v>2</v>
      </c>
      <c r="R327" s="75"/>
      <c r="S327" s="75"/>
      <c r="T327" s="78"/>
      <c r="U327" s="71" t="s">
        <v>316</v>
      </c>
      <c r="V327" s="60" t="e">
        <f t="shared" si="23"/>
        <v>#DIV/0!</v>
      </c>
      <c r="W327" s="46"/>
      <c r="X327" s="74"/>
      <c r="Y327" s="46"/>
      <c r="AC327" s="46"/>
    </row>
    <row r="328" spans="1:29" s="59" customFormat="1" ht="17.25" customHeight="1">
      <c r="A328" s="59" t="s">
        <v>257</v>
      </c>
      <c r="B328" s="58" t="s">
        <v>338</v>
      </c>
      <c r="C328" s="155" t="s">
        <v>337</v>
      </c>
      <c r="D328" s="58" t="str">
        <f>VLOOKUP(C328,코드!$E$3:$F$30,2,FALSE)</f>
        <v>8639</v>
      </c>
      <c r="E328" s="65" t="s">
        <v>402</v>
      </c>
      <c r="F328" s="65" t="s">
        <v>416</v>
      </c>
      <c r="G328" s="66" t="s">
        <v>430</v>
      </c>
      <c r="H328" s="65" t="s">
        <v>429</v>
      </c>
      <c r="I328" s="65" t="s">
        <v>428</v>
      </c>
      <c r="J328" s="72" t="s">
        <v>130</v>
      </c>
      <c r="K328" s="72" t="s">
        <v>29</v>
      </c>
      <c r="L328" s="58">
        <f>VLOOKUP(K328,코드!$B$3:$C$29,2,FALSE)</f>
        <v>4113401</v>
      </c>
      <c r="M328" s="72" t="s">
        <v>356</v>
      </c>
      <c r="N328" s="130" t="s">
        <v>397</v>
      </c>
      <c r="O328" s="75">
        <v>300000</v>
      </c>
      <c r="P328" s="75">
        <v>1</v>
      </c>
      <c r="Q328" s="75">
        <v>5</v>
      </c>
      <c r="R328" s="75">
        <v>200000</v>
      </c>
      <c r="S328" s="75"/>
      <c r="T328" s="165">
        <v>200000</v>
      </c>
      <c r="U328" s="71" t="s">
        <v>431</v>
      </c>
      <c r="V328" s="60">
        <f t="shared" si="23"/>
        <v>1</v>
      </c>
      <c r="W328" s="46"/>
      <c r="X328" s="74"/>
      <c r="Y328" s="46"/>
      <c r="AC328" s="46"/>
    </row>
    <row r="329" spans="1:29" s="59" customFormat="1" ht="17.25" customHeight="1">
      <c r="A329" s="59" t="s">
        <v>257</v>
      </c>
      <c r="B329" s="58" t="s">
        <v>338</v>
      </c>
      <c r="C329" s="155" t="s">
        <v>337</v>
      </c>
      <c r="D329" s="58" t="str">
        <f>VLOOKUP(C329,코드!$E$3:$F$30,2,FALSE)</f>
        <v>8639</v>
      </c>
      <c r="E329" s="65" t="s">
        <v>402</v>
      </c>
      <c r="F329" s="65" t="s">
        <v>416</v>
      </c>
      <c r="G329" s="66" t="s">
        <v>430</v>
      </c>
      <c r="H329" s="65" t="s">
        <v>429</v>
      </c>
      <c r="I329" s="65" t="s">
        <v>428</v>
      </c>
      <c r="J329" s="72" t="s">
        <v>130</v>
      </c>
      <c r="K329" s="72" t="s">
        <v>17</v>
      </c>
      <c r="L329" s="58">
        <f>VLOOKUP(K329,코드!$B$3:$C$29,2,FALSE)</f>
        <v>4241130</v>
      </c>
      <c r="M329" s="72" t="s">
        <v>356</v>
      </c>
      <c r="N329" s="130" t="s">
        <v>397</v>
      </c>
      <c r="O329" s="75">
        <v>300000</v>
      </c>
      <c r="P329" s="75">
        <v>1</v>
      </c>
      <c r="Q329" s="75">
        <v>5</v>
      </c>
      <c r="R329" s="157">
        <v>2400000</v>
      </c>
      <c r="S329" s="157"/>
      <c r="T329" s="165">
        <v>1800000</v>
      </c>
      <c r="U329" s="71" t="s">
        <v>431</v>
      </c>
      <c r="V329" s="60">
        <f t="shared" si="23"/>
        <v>0.75</v>
      </c>
      <c r="W329" s="46"/>
      <c r="X329" s="74"/>
      <c r="Y329" s="46"/>
      <c r="AC329" s="46"/>
    </row>
    <row r="330" spans="1:29" s="59" customFormat="1" ht="17.25" customHeight="1">
      <c r="A330" s="59" t="s">
        <v>257</v>
      </c>
      <c r="B330" s="58" t="s">
        <v>338</v>
      </c>
      <c r="C330" s="155" t="s">
        <v>337</v>
      </c>
      <c r="D330" s="58" t="str">
        <f>VLOOKUP(C330,코드!$E$3:$F$30,2,FALSE)</f>
        <v>8639</v>
      </c>
      <c r="E330" s="65" t="s">
        <v>402</v>
      </c>
      <c r="F330" s="65" t="s">
        <v>427</v>
      </c>
      <c r="G330" s="66" t="s">
        <v>415</v>
      </c>
      <c r="H330" s="65" t="s">
        <v>424</v>
      </c>
      <c r="I330" s="65" t="s">
        <v>426</v>
      </c>
      <c r="J330" s="72" t="s">
        <v>130</v>
      </c>
      <c r="K330" s="72" t="s">
        <v>15</v>
      </c>
      <c r="L330" s="58">
        <f>VLOOKUP(K330,코드!$B$3:$C$29,2,FALSE)</f>
        <v>4321701</v>
      </c>
      <c r="M330" s="72" t="s">
        <v>352</v>
      </c>
      <c r="N330" s="130" t="s">
        <v>397</v>
      </c>
      <c r="O330" s="75">
        <v>400000</v>
      </c>
      <c r="P330" s="75">
        <v>10</v>
      </c>
      <c r="Q330" s="75">
        <v>2</v>
      </c>
      <c r="R330" s="157">
        <v>6800000</v>
      </c>
      <c r="S330" s="157"/>
      <c r="T330" s="165">
        <v>4000000</v>
      </c>
      <c r="U330" s="71" t="s">
        <v>316</v>
      </c>
      <c r="V330" s="60">
        <f t="shared" si="23"/>
        <v>0.58823529411764708</v>
      </c>
      <c r="W330" s="46"/>
      <c r="X330" s="74"/>
      <c r="Y330" s="46"/>
      <c r="AC330" s="46"/>
    </row>
    <row r="331" spans="1:29" s="59" customFormat="1" ht="17.25" customHeight="1">
      <c r="A331" s="59" t="s">
        <v>257</v>
      </c>
      <c r="B331" s="58" t="s">
        <v>338</v>
      </c>
      <c r="C331" s="155" t="s">
        <v>337</v>
      </c>
      <c r="D331" s="58" t="str">
        <f>VLOOKUP(C331,코드!$E$3:$F$30,2,FALSE)</f>
        <v>8639</v>
      </c>
      <c r="E331" s="65" t="s">
        <v>402</v>
      </c>
      <c r="F331" s="65" t="s">
        <v>416</v>
      </c>
      <c r="G331" s="66" t="s">
        <v>415</v>
      </c>
      <c r="H331" s="65" t="s">
        <v>424</v>
      </c>
      <c r="I331" s="65" t="s">
        <v>425</v>
      </c>
      <c r="J331" s="72" t="s">
        <v>130</v>
      </c>
      <c r="K331" s="72" t="s">
        <v>15</v>
      </c>
      <c r="L331" s="58">
        <f>VLOOKUP(K331,코드!$B$3:$C$29,2,FALSE)</f>
        <v>4321701</v>
      </c>
      <c r="M331" s="72" t="s">
        <v>422</v>
      </c>
      <c r="N331" s="130" t="s">
        <v>397</v>
      </c>
      <c r="O331" s="75">
        <v>200000</v>
      </c>
      <c r="P331" s="75">
        <v>80</v>
      </c>
      <c r="Q331" s="75">
        <v>1</v>
      </c>
      <c r="R331" s="75">
        <v>16000000</v>
      </c>
      <c r="S331" s="75"/>
      <c r="T331" s="78">
        <v>16000000</v>
      </c>
      <c r="U331" s="71" t="s">
        <v>316</v>
      </c>
      <c r="V331" s="60">
        <f t="shared" si="23"/>
        <v>1</v>
      </c>
      <c r="W331" s="46"/>
      <c r="X331" s="74"/>
      <c r="Y331" s="46"/>
      <c r="AC331" s="46"/>
    </row>
    <row r="332" spans="1:29" s="59" customFormat="1" ht="17.25" customHeight="1">
      <c r="A332" s="59" t="s">
        <v>257</v>
      </c>
      <c r="B332" s="58" t="s">
        <v>338</v>
      </c>
      <c r="C332" s="155" t="s">
        <v>337</v>
      </c>
      <c r="D332" s="58" t="str">
        <f>VLOOKUP(C332,코드!$E$3:$F$30,2,FALSE)</f>
        <v>8639</v>
      </c>
      <c r="E332" s="65" t="s">
        <v>402</v>
      </c>
      <c r="F332" s="65" t="s">
        <v>416</v>
      </c>
      <c r="G332" s="66" t="s">
        <v>415</v>
      </c>
      <c r="H332" s="65" t="s">
        <v>424</v>
      </c>
      <c r="I332" s="65" t="s">
        <v>423</v>
      </c>
      <c r="J332" s="72" t="s">
        <v>130</v>
      </c>
      <c r="K332" s="72" t="s">
        <v>15</v>
      </c>
      <c r="L332" s="58">
        <f>VLOOKUP(K332,코드!$B$3:$C$29,2,FALSE)</f>
        <v>4321701</v>
      </c>
      <c r="M332" s="72" t="s">
        <v>422</v>
      </c>
      <c r="N332" s="130" t="s">
        <v>397</v>
      </c>
      <c r="O332" s="75">
        <v>200000</v>
      </c>
      <c r="P332" s="75">
        <v>50</v>
      </c>
      <c r="Q332" s="75">
        <v>1</v>
      </c>
      <c r="R332" s="75">
        <v>10000000</v>
      </c>
      <c r="S332" s="75"/>
      <c r="T332" s="78">
        <v>0</v>
      </c>
      <c r="U332" s="71"/>
      <c r="V332" s="60">
        <f t="shared" si="23"/>
        <v>0</v>
      </c>
      <c r="W332" s="46"/>
      <c r="X332" s="74"/>
      <c r="Y332" s="46"/>
      <c r="AC332" s="46"/>
    </row>
    <row r="333" spans="1:29" s="59" customFormat="1" ht="17.25" customHeight="1">
      <c r="A333" s="59" t="s">
        <v>257</v>
      </c>
      <c r="B333" s="58" t="s">
        <v>338</v>
      </c>
      <c r="C333" s="155" t="s">
        <v>337</v>
      </c>
      <c r="D333" s="58" t="str">
        <f>VLOOKUP(C333,코드!$E$3:$F$30,2,FALSE)</f>
        <v>8639</v>
      </c>
      <c r="E333" s="65" t="s">
        <v>402</v>
      </c>
      <c r="F333" s="65" t="s">
        <v>416</v>
      </c>
      <c r="G333" s="66" t="s">
        <v>415</v>
      </c>
      <c r="H333" s="65" t="s">
        <v>419</v>
      </c>
      <c r="I333" s="65" t="s">
        <v>421</v>
      </c>
      <c r="J333" s="72" t="s">
        <v>130</v>
      </c>
      <c r="K333" s="72" t="s">
        <v>29</v>
      </c>
      <c r="L333" s="58">
        <f>VLOOKUP(K333,코드!$B$3:$C$29,2,FALSE)</f>
        <v>4113401</v>
      </c>
      <c r="M333" s="72" t="s">
        <v>420</v>
      </c>
      <c r="N333" s="130" t="s">
        <v>397</v>
      </c>
      <c r="O333" s="75">
        <v>3000000</v>
      </c>
      <c r="P333" s="75">
        <v>1</v>
      </c>
      <c r="Q333" s="75">
        <v>2</v>
      </c>
      <c r="R333" s="75">
        <v>6000000</v>
      </c>
      <c r="S333" s="75"/>
      <c r="T333" s="78">
        <v>6000000</v>
      </c>
      <c r="U333" s="71" t="s">
        <v>316</v>
      </c>
      <c r="V333" s="60">
        <f t="shared" si="23"/>
        <v>1</v>
      </c>
      <c r="W333" s="46"/>
      <c r="X333" s="74"/>
      <c r="Y333" s="46"/>
      <c r="AC333" s="46"/>
    </row>
    <row r="334" spans="1:29" s="59" customFormat="1" ht="17.25" customHeight="1">
      <c r="A334" s="59" t="s">
        <v>257</v>
      </c>
      <c r="B334" s="58" t="s">
        <v>338</v>
      </c>
      <c r="C334" s="155" t="s">
        <v>337</v>
      </c>
      <c r="D334" s="58" t="str">
        <f>VLOOKUP(C334,코드!$E$3:$F$30,2,FALSE)</f>
        <v>8639</v>
      </c>
      <c r="E334" s="65" t="s">
        <v>402</v>
      </c>
      <c r="F334" s="65" t="s">
        <v>416</v>
      </c>
      <c r="G334" s="66" t="s">
        <v>415</v>
      </c>
      <c r="H334" s="65" t="s">
        <v>419</v>
      </c>
      <c r="I334" s="166" t="s">
        <v>418</v>
      </c>
      <c r="J334" s="72" t="s">
        <v>130</v>
      </c>
      <c r="K334" s="72" t="s">
        <v>17</v>
      </c>
      <c r="L334" s="58">
        <f>VLOOKUP(K334,코드!$B$3:$C$29,2,FALSE)</f>
        <v>4241130</v>
      </c>
      <c r="M334" s="72" t="s">
        <v>262</v>
      </c>
      <c r="N334" s="130" t="s">
        <v>397</v>
      </c>
      <c r="O334" s="159">
        <v>2000000</v>
      </c>
      <c r="P334" s="75">
        <v>2</v>
      </c>
      <c r="Q334" s="75">
        <v>1</v>
      </c>
      <c r="R334" s="75">
        <v>2690400</v>
      </c>
      <c r="S334" s="75"/>
      <c r="T334" s="78">
        <v>0</v>
      </c>
      <c r="U334" s="71"/>
      <c r="V334" s="60">
        <f t="shared" si="23"/>
        <v>0</v>
      </c>
      <c r="W334" s="46"/>
      <c r="X334" s="74"/>
      <c r="Y334" s="46"/>
      <c r="AC334" s="46"/>
    </row>
    <row r="335" spans="1:29" s="59" customFormat="1" ht="17.25" customHeight="1">
      <c r="A335" s="59" t="s">
        <v>257</v>
      </c>
      <c r="B335" s="58" t="s">
        <v>338</v>
      </c>
      <c r="C335" s="155" t="s">
        <v>337</v>
      </c>
      <c r="D335" s="58" t="str">
        <f>VLOOKUP(C335,코드!$E$3:$F$30,2,FALSE)</f>
        <v>8639</v>
      </c>
      <c r="E335" s="65" t="s">
        <v>402</v>
      </c>
      <c r="F335" s="65" t="s">
        <v>416</v>
      </c>
      <c r="G335" s="66" t="s">
        <v>415</v>
      </c>
      <c r="H335" s="65" t="s">
        <v>419</v>
      </c>
      <c r="I335" s="166" t="s">
        <v>418</v>
      </c>
      <c r="J335" s="72" t="s">
        <v>130</v>
      </c>
      <c r="K335" s="72" t="s">
        <v>17</v>
      </c>
      <c r="L335" s="58">
        <f>VLOOKUP(K335,코드!$B$3:$C$29,2,FALSE)</f>
        <v>4241130</v>
      </c>
      <c r="M335" s="72" t="s">
        <v>356</v>
      </c>
      <c r="N335" s="130" t="s">
        <v>397</v>
      </c>
      <c r="O335" s="159"/>
      <c r="P335" s="75"/>
      <c r="Q335" s="75"/>
      <c r="R335" s="75">
        <v>1000000</v>
      </c>
      <c r="S335" s="75"/>
      <c r="T335" s="78">
        <v>0</v>
      </c>
      <c r="U335" s="71"/>
      <c r="V335" s="60">
        <f>T335/R334</f>
        <v>0</v>
      </c>
      <c r="W335" s="46"/>
      <c r="X335" s="74"/>
      <c r="Y335" s="46"/>
      <c r="AC335" s="46"/>
    </row>
    <row r="336" spans="1:29" s="59" customFormat="1" ht="17.25" customHeight="1">
      <c r="A336" s="59" t="s">
        <v>257</v>
      </c>
      <c r="B336" s="58" t="s">
        <v>338</v>
      </c>
      <c r="C336" s="155" t="s">
        <v>337</v>
      </c>
      <c r="D336" s="58" t="str">
        <f>VLOOKUP(C336,코드!$E$3:$F$30,2,FALSE)</f>
        <v>8639</v>
      </c>
      <c r="E336" s="65" t="s">
        <v>402</v>
      </c>
      <c r="F336" s="65" t="s">
        <v>416</v>
      </c>
      <c r="G336" s="66" t="s">
        <v>415</v>
      </c>
      <c r="H336" s="65" t="s">
        <v>419</v>
      </c>
      <c r="I336" s="166" t="s">
        <v>418</v>
      </c>
      <c r="J336" s="72" t="s">
        <v>101</v>
      </c>
      <c r="K336" s="72" t="s">
        <v>15</v>
      </c>
      <c r="L336" s="58">
        <f>VLOOKUP(K336,코드!$B$3:$C$29,2,FALSE)</f>
        <v>4321701</v>
      </c>
      <c r="M336" s="72" t="s">
        <v>100</v>
      </c>
      <c r="N336" s="130" t="s">
        <v>417</v>
      </c>
      <c r="O336" s="159"/>
      <c r="P336" s="75"/>
      <c r="Q336" s="75"/>
      <c r="R336" s="75">
        <v>309600</v>
      </c>
      <c r="S336" s="75"/>
      <c r="T336" s="78">
        <v>0</v>
      </c>
      <c r="U336" s="71"/>
      <c r="V336" s="60">
        <f>T336/R335</f>
        <v>0</v>
      </c>
      <c r="W336" s="46"/>
      <c r="X336" s="74"/>
      <c r="Y336" s="46"/>
      <c r="AC336" s="46"/>
    </row>
    <row r="337" spans="1:29" s="59" customFormat="1" ht="17.25" customHeight="1">
      <c r="A337" s="59" t="s">
        <v>257</v>
      </c>
      <c r="B337" s="58" t="s">
        <v>338</v>
      </c>
      <c r="C337" s="155" t="s">
        <v>337</v>
      </c>
      <c r="D337" s="58" t="str">
        <f>VLOOKUP(C337,코드!$E$3:$F$30,2,FALSE)</f>
        <v>8639</v>
      </c>
      <c r="E337" s="65" t="s">
        <v>402</v>
      </c>
      <c r="F337" s="65" t="s">
        <v>416</v>
      </c>
      <c r="G337" s="66" t="s">
        <v>415</v>
      </c>
      <c r="H337" s="65" t="s">
        <v>419</v>
      </c>
      <c r="I337" s="192" t="s">
        <v>1066</v>
      </c>
      <c r="J337" s="255" t="s">
        <v>130</v>
      </c>
      <c r="K337" s="255" t="s">
        <v>17</v>
      </c>
      <c r="L337" s="147">
        <f>VLOOKUP(K337,코드!$B$3:$C$29,2,FALSE)</f>
        <v>4241130</v>
      </c>
      <c r="M337" s="255" t="s">
        <v>420</v>
      </c>
      <c r="N337" s="254" t="s">
        <v>397</v>
      </c>
      <c r="O337" s="159">
        <v>2000000</v>
      </c>
      <c r="P337" s="75">
        <v>2</v>
      </c>
      <c r="Q337" s="75">
        <v>1</v>
      </c>
      <c r="R337" s="178"/>
      <c r="S337" s="178"/>
      <c r="T337" s="194">
        <v>0</v>
      </c>
      <c r="U337" s="87"/>
      <c r="V337" s="253">
        <f>T337/R336</f>
        <v>0</v>
      </c>
      <c r="W337" s="46"/>
      <c r="X337" s="74"/>
      <c r="Y337" s="46"/>
      <c r="AC337" s="46"/>
    </row>
    <row r="338" spans="1:29" s="59" customFormat="1" ht="17.25" customHeight="1">
      <c r="A338" s="59" t="s">
        <v>257</v>
      </c>
      <c r="B338" s="58" t="s">
        <v>338</v>
      </c>
      <c r="C338" s="155" t="s">
        <v>337</v>
      </c>
      <c r="D338" s="58" t="str">
        <f>VLOOKUP(C338,코드!$E$3:$F$30,2,FALSE)</f>
        <v>8639</v>
      </c>
      <c r="E338" s="65" t="s">
        <v>402</v>
      </c>
      <c r="F338" s="65" t="s">
        <v>416</v>
      </c>
      <c r="G338" s="66" t="s">
        <v>415</v>
      </c>
      <c r="H338" s="65" t="s">
        <v>414</v>
      </c>
      <c r="I338" s="65" t="s">
        <v>413</v>
      </c>
      <c r="J338" s="72" t="s">
        <v>130</v>
      </c>
      <c r="K338" s="72" t="s">
        <v>17</v>
      </c>
      <c r="L338" s="58">
        <f>VLOOKUP(K338,코드!$B$3:$C$29,2,FALSE)</f>
        <v>4241130</v>
      </c>
      <c r="M338" s="72" t="s">
        <v>262</v>
      </c>
      <c r="N338" s="130" t="s">
        <v>397</v>
      </c>
      <c r="O338" s="159">
        <v>40000</v>
      </c>
      <c r="P338" s="75">
        <v>20</v>
      </c>
      <c r="Q338" s="75">
        <v>4</v>
      </c>
      <c r="R338" s="75">
        <v>3200000</v>
      </c>
      <c r="S338" s="75"/>
      <c r="T338" s="78">
        <v>1600000</v>
      </c>
      <c r="U338" s="71" t="s">
        <v>316</v>
      </c>
      <c r="V338" s="60">
        <f>T338/R338</f>
        <v>0.5</v>
      </c>
      <c r="W338" s="46"/>
      <c r="X338" s="74"/>
      <c r="Y338" s="46"/>
      <c r="AC338" s="46"/>
    </row>
    <row r="339" spans="1:29" s="59" customFormat="1" ht="17.25" customHeight="1">
      <c r="A339" s="59" t="s">
        <v>257</v>
      </c>
      <c r="B339" s="58" t="s">
        <v>338</v>
      </c>
      <c r="C339" s="155" t="s">
        <v>337</v>
      </c>
      <c r="D339" s="58" t="str">
        <f>VLOOKUP(C339,코드!$E$3:$F$30,2,FALSE)</f>
        <v>8639</v>
      </c>
      <c r="E339" s="65" t="s">
        <v>402</v>
      </c>
      <c r="F339" s="65" t="s">
        <v>401</v>
      </c>
      <c r="G339" s="66" t="s">
        <v>406</v>
      </c>
      <c r="H339" s="65" t="s">
        <v>411</v>
      </c>
      <c r="I339" s="65" t="s">
        <v>412</v>
      </c>
      <c r="J339" s="72" t="s">
        <v>130</v>
      </c>
      <c r="K339" s="72" t="s">
        <v>17</v>
      </c>
      <c r="L339" s="58">
        <f>VLOOKUP(K339,코드!$B$3:$C$29,2,FALSE)</f>
        <v>4241130</v>
      </c>
      <c r="M339" s="72" t="s">
        <v>259</v>
      </c>
      <c r="N339" s="130" t="s">
        <v>397</v>
      </c>
      <c r="O339" s="159">
        <v>40000</v>
      </c>
      <c r="P339" s="75">
        <v>50</v>
      </c>
      <c r="Q339" s="75">
        <v>1</v>
      </c>
      <c r="R339" s="75">
        <v>3000000</v>
      </c>
      <c r="S339" s="75"/>
      <c r="T339" s="78">
        <v>0</v>
      </c>
      <c r="U339" s="71"/>
      <c r="V339" s="60">
        <f>T339/R339</f>
        <v>0</v>
      </c>
      <c r="W339" s="46"/>
      <c r="X339" s="74"/>
      <c r="Y339" s="46"/>
      <c r="AC339" s="46"/>
    </row>
    <row r="340" spans="1:29" s="59" customFormat="1" ht="17.25" customHeight="1">
      <c r="A340" s="59" t="s">
        <v>257</v>
      </c>
      <c r="B340" s="58" t="s">
        <v>338</v>
      </c>
      <c r="C340" s="155" t="s">
        <v>337</v>
      </c>
      <c r="D340" s="58" t="str">
        <f>VLOOKUP(C340,코드!$E$3:$F$30,2,FALSE)</f>
        <v>8639</v>
      </c>
      <c r="E340" s="65" t="s">
        <v>402</v>
      </c>
      <c r="F340" s="65" t="s">
        <v>401</v>
      </c>
      <c r="G340" s="66" t="s">
        <v>406</v>
      </c>
      <c r="H340" s="65" t="s">
        <v>411</v>
      </c>
      <c r="I340" s="65" t="s">
        <v>410</v>
      </c>
      <c r="J340" s="72" t="s">
        <v>130</v>
      </c>
      <c r="K340" s="72" t="s">
        <v>17</v>
      </c>
      <c r="L340" s="58">
        <f>VLOOKUP(K340,코드!$B$3:$C$29,2,FALSE)</f>
        <v>4241130</v>
      </c>
      <c r="M340" s="72" t="s">
        <v>365</v>
      </c>
      <c r="N340" s="130" t="s">
        <v>397</v>
      </c>
      <c r="O340" s="159">
        <v>40000</v>
      </c>
      <c r="P340" s="75">
        <v>50</v>
      </c>
      <c r="Q340" s="75">
        <v>1</v>
      </c>
      <c r="R340" s="75">
        <v>2000000</v>
      </c>
      <c r="S340" s="75"/>
      <c r="T340" s="78">
        <v>0</v>
      </c>
      <c r="U340" s="71"/>
      <c r="V340" s="60">
        <f>T340/R340</f>
        <v>0</v>
      </c>
      <c r="W340" s="46"/>
      <c r="X340" s="74"/>
      <c r="Y340" s="46"/>
      <c r="AC340" s="46"/>
    </row>
    <row r="341" spans="1:29" s="59" customFormat="1" ht="17.25" customHeight="1">
      <c r="A341" s="59" t="s">
        <v>257</v>
      </c>
      <c r="B341" s="58" t="s">
        <v>338</v>
      </c>
      <c r="C341" s="155" t="s">
        <v>337</v>
      </c>
      <c r="D341" s="58" t="str">
        <f>VLOOKUP(C341,코드!$E$3:$F$30,2,FALSE)</f>
        <v>8639</v>
      </c>
      <c r="E341" s="65" t="s">
        <v>402</v>
      </c>
      <c r="F341" s="65" t="s">
        <v>401</v>
      </c>
      <c r="G341" s="66" t="s">
        <v>406</v>
      </c>
      <c r="H341" s="65" t="s">
        <v>409</v>
      </c>
      <c r="I341" s="65" t="s">
        <v>408</v>
      </c>
      <c r="J341" s="72" t="s">
        <v>130</v>
      </c>
      <c r="K341" s="72" t="s">
        <v>17</v>
      </c>
      <c r="L341" s="58">
        <f>VLOOKUP(K341,코드!$B$3:$C$29,2,FALSE)</f>
        <v>4241130</v>
      </c>
      <c r="M341" s="72" t="s">
        <v>262</v>
      </c>
      <c r="N341" s="130" t="s">
        <v>397</v>
      </c>
      <c r="O341" s="159">
        <v>20000</v>
      </c>
      <c r="P341" s="75">
        <v>100</v>
      </c>
      <c r="Q341" s="75">
        <v>1</v>
      </c>
      <c r="R341" s="160">
        <v>1000000</v>
      </c>
      <c r="S341" s="75"/>
      <c r="T341" s="78">
        <v>0</v>
      </c>
      <c r="U341" s="71"/>
      <c r="V341" s="60">
        <f>T341/R341</f>
        <v>0</v>
      </c>
      <c r="W341" s="46"/>
      <c r="X341" s="74"/>
      <c r="Y341" s="46"/>
      <c r="AC341" s="46"/>
    </row>
    <row r="342" spans="1:29" s="59" customFormat="1" ht="17.25" customHeight="1">
      <c r="A342" s="59" t="s">
        <v>257</v>
      </c>
      <c r="B342" s="58" t="s">
        <v>338</v>
      </c>
      <c r="C342" s="155" t="s">
        <v>337</v>
      </c>
      <c r="D342" s="58" t="str">
        <f>VLOOKUP(C342,코드!$E$3:$F$30,2,FALSE)</f>
        <v>8639</v>
      </c>
      <c r="E342" s="65" t="s">
        <v>402</v>
      </c>
      <c r="F342" s="65" t="s">
        <v>401</v>
      </c>
      <c r="G342" s="66" t="s">
        <v>406</v>
      </c>
      <c r="H342" s="65" t="s">
        <v>405</v>
      </c>
      <c r="I342" s="65" t="s">
        <v>407</v>
      </c>
      <c r="J342" s="72" t="s">
        <v>130</v>
      </c>
      <c r="K342" s="72" t="s">
        <v>17</v>
      </c>
      <c r="L342" s="58">
        <f>VLOOKUP(K342,코드!$B$3:$C$29,2,FALSE)</f>
        <v>4241130</v>
      </c>
      <c r="M342" s="72" t="s">
        <v>103</v>
      </c>
      <c r="N342" s="130" t="s">
        <v>397</v>
      </c>
      <c r="O342" s="159"/>
      <c r="P342" s="75"/>
      <c r="Q342" s="75"/>
      <c r="R342" s="75">
        <v>500000</v>
      </c>
      <c r="S342" s="75"/>
      <c r="T342" s="165"/>
      <c r="U342" s="71"/>
      <c r="V342" s="60">
        <f>T342/R342</f>
        <v>0</v>
      </c>
      <c r="W342" s="46"/>
      <c r="X342" s="74"/>
      <c r="Y342" s="46"/>
      <c r="AC342" s="46"/>
    </row>
    <row r="343" spans="1:29" s="59" customFormat="1" ht="17.25" customHeight="1">
      <c r="A343" s="59" t="s">
        <v>257</v>
      </c>
      <c r="B343" s="58" t="s">
        <v>338</v>
      </c>
      <c r="C343" s="155" t="s">
        <v>337</v>
      </c>
      <c r="D343" s="58" t="str">
        <f>VLOOKUP(C343,코드!$E$3:$F$30,2,FALSE)</f>
        <v>8639</v>
      </c>
      <c r="E343" s="65" t="s">
        <v>402</v>
      </c>
      <c r="F343" s="65" t="s">
        <v>401</v>
      </c>
      <c r="G343" s="66" t="s">
        <v>406</v>
      </c>
      <c r="H343" s="172" t="s">
        <v>405</v>
      </c>
      <c r="I343" s="172" t="s">
        <v>404</v>
      </c>
      <c r="J343" s="170" t="s">
        <v>80</v>
      </c>
      <c r="K343" s="170" t="s">
        <v>17</v>
      </c>
      <c r="L343" s="171">
        <v>4241130</v>
      </c>
      <c r="M343" s="170" t="s">
        <v>103</v>
      </c>
      <c r="N343" s="169" t="s">
        <v>403</v>
      </c>
      <c r="O343" s="159"/>
      <c r="P343" s="75"/>
      <c r="Q343" s="75"/>
      <c r="R343" s="167">
        <v>4000000</v>
      </c>
      <c r="S343" s="75"/>
      <c r="T343" s="252"/>
      <c r="U343" s="71"/>
      <c r="V343" s="60"/>
      <c r="W343" s="46"/>
      <c r="X343" s="74"/>
      <c r="Y343" s="46"/>
      <c r="AC343" s="46"/>
    </row>
    <row r="344" spans="1:29" s="59" customFormat="1" ht="17.25" customHeight="1">
      <c r="A344" s="59" t="s">
        <v>257</v>
      </c>
      <c r="B344" s="58" t="s">
        <v>338</v>
      </c>
      <c r="C344" s="155" t="s">
        <v>337</v>
      </c>
      <c r="D344" s="58" t="str">
        <f>VLOOKUP(C344,코드!$E$3:$F$30,2,FALSE)</f>
        <v>8639</v>
      </c>
      <c r="E344" s="65" t="s">
        <v>402</v>
      </c>
      <c r="F344" s="65" t="s">
        <v>401</v>
      </c>
      <c r="G344" s="66" t="s">
        <v>400</v>
      </c>
      <c r="H344" s="65" t="s">
        <v>399</v>
      </c>
      <c r="I344" s="166" t="s">
        <v>398</v>
      </c>
      <c r="J344" s="72" t="s">
        <v>130</v>
      </c>
      <c r="K344" s="72" t="s">
        <v>29</v>
      </c>
      <c r="L344" s="58">
        <f>VLOOKUP(K344,코드!$B$3:$C$29,2,FALSE)</f>
        <v>4113401</v>
      </c>
      <c r="M344" s="72" t="s">
        <v>375</v>
      </c>
      <c r="N344" s="130" t="s">
        <v>397</v>
      </c>
      <c r="O344" s="159">
        <v>3000000</v>
      </c>
      <c r="P344" s="75">
        <v>1</v>
      </c>
      <c r="Q344" s="75">
        <v>1</v>
      </c>
      <c r="R344" s="75">
        <v>3000000</v>
      </c>
      <c r="S344" s="75"/>
      <c r="T344" s="78">
        <v>1300000</v>
      </c>
      <c r="U344" s="71"/>
      <c r="V344" s="60">
        <f>T344/R344</f>
        <v>0.43333333333333335</v>
      </c>
      <c r="W344" s="46"/>
      <c r="X344" s="74"/>
      <c r="Y344" s="46"/>
      <c r="AC344" s="46"/>
    </row>
    <row r="345" spans="1:29" s="59" customFormat="1" ht="17.25" customHeight="1">
      <c r="A345" s="59" t="s">
        <v>257</v>
      </c>
      <c r="B345" s="58"/>
      <c r="C345" s="155"/>
      <c r="D345" s="79" t="e">
        <f>VLOOKUP(C345,[1]코드!$E$3:$F$29,2,FALSE)</f>
        <v>#N/A</v>
      </c>
      <c r="E345" s="65"/>
      <c r="F345" s="65"/>
      <c r="G345" s="66"/>
      <c r="H345" s="65"/>
      <c r="I345" s="65"/>
      <c r="J345" s="72"/>
      <c r="K345" s="72"/>
      <c r="L345" s="79" t="e">
        <f>VLOOKUP(K345,[1]코드!$B$3:$C$29,2,FALSE)</f>
        <v>#N/A</v>
      </c>
      <c r="M345" s="72"/>
      <c r="N345" s="58"/>
      <c r="O345" s="159"/>
      <c r="P345" s="75"/>
      <c r="Q345" s="75"/>
      <c r="R345" s="75"/>
      <c r="S345" s="75"/>
      <c r="T345" s="78">
        <v>0</v>
      </c>
      <c r="U345" s="71"/>
      <c r="V345" s="60" t="s">
        <v>126</v>
      </c>
      <c r="W345" s="46"/>
      <c r="X345" s="74"/>
      <c r="Y345" s="46"/>
      <c r="AC345" s="46"/>
    </row>
    <row r="346" spans="1:29" s="59" customFormat="1" ht="17.25" customHeight="1">
      <c r="A346" s="59" t="s">
        <v>257</v>
      </c>
      <c r="B346" s="58" t="s">
        <v>338</v>
      </c>
      <c r="C346" s="155" t="s">
        <v>337</v>
      </c>
      <c r="D346" s="58" t="str">
        <f>VLOOKUP(C346,코드!$E$3:$F$30,2,FALSE)</f>
        <v>8639</v>
      </c>
      <c r="E346" s="65" t="s">
        <v>336</v>
      </c>
      <c r="F346" s="65" t="s">
        <v>374</v>
      </c>
      <c r="G346" s="66" t="s">
        <v>381</v>
      </c>
      <c r="H346" s="70" t="s">
        <v>251</v>
      </c>
      <c r="I346" s="70" t="s">
        <v>396</v>
      </c>
      <c r="J346" s="69" t="s">
        <v>84</v>
      </c>
      <c r="K346" s="68" t="s">
        <v>22</v>
      </c>
      <c r="L346" s="68">
        <f>VLOOKUP(K346,코드!$B$3:$C$29,2,FALSE)</f>
        <v>4118701</v>
      </c>
      <c r="M346" s="69" t="s">
        <v>96</v>
      </c>
      <c r="N346" s="68" t="s">
        <v>68</v>
      </c>
      <c r="O346" s="75"/>
      <c r="P346" s="75"/>
      <c r="Q346" s="75"/>
      <c r="R346" s="82">
        <v>38018400</v>
      </c>
      <c r="S346" s="75"/>
      <c r="T346" s="82">
        <v>38018400</v>
      </c>
      <c r="U346" s="61" t="s">
        <v>67</v>
      </c>
      <c r="V346" s="60">
        <f t="shared" ref="V346:V376" si="24">T346/R346</f>
        <v>1</v>
      </c>
      <c r="W346" s="46"/>
      <c r="X346" s="74"/>
      <c r="Y346" s="46"/>
      <c r="AC346" s="46"/>
    </row>
    <row r="347" spans="1:29" s="59" customFormat="1" ht="17.25" customHeight="1">
      <c r="A347" s="59" t="s">
        <v>257</v>
      </c>
      <c r="B347" s="58" t="s">
        <v>338</v>
      </c>
      <c r="C347" s="155" t="s">
        <v>337</v>
      </c>
      <c r="D347" s="58" t="str">
        <f>VLOOKUP(C347,코드!$E$3:$F$30,2,FALSE)</f>
        <v>8639</v>
      </c>
      <c r="E347" s="65" t="s">
        <v>336</v>
      </c>
      <c r="F347" s="65" t="s">
        <v>374</v>
      </c>
      <c r="G347" s="66" t="s">
        <v>381</v>
      </c>
      <c r="H347" s="70" t="s">
        <v>251</v>
      </c>
      <c r="I347" s="70" t="s">
        <v>395</v>
      </c>
      <c r="J347" s="69" t="s">
        <v>84</v>
      </c>
      <c r="K347" s="68" t="s">
        <v>22</v>
      </c>
      <c r="L347" s="68">
        <f>VLOOKUP(K347,코드!$B$3:$C$29,2,FALSE)</f>
        <v>4118701</v>
      </c>
      <c r="M347" s="69" t="s">
        <v>96</v>
      </c>
      <c r="N347" s="68" t="s">
        <v>68</v>
      </c>
      <c r="O347" s="75"/>
      <c r="P347" s="75"/>
      <c r="Q347" s="75"/>
      <c r="R347" s="75">
        <v>34968600</v>
      </c>
      <c r="S347" s="75"/>
      <c r="T347" s="75">
        <v>34968600</v>
      </c>
      <c r="U347" s="61" t="s">
        <v>67</v>
      </c>
      <c r="V347" s="60">
        <f t="shared" si="24"/>
        <v>1</v>
      </c>
      <c r="W347" s="46"/>
      <c r="X347" s="74"/>
      <c r="Y347" s="46"/>
      <c r="AC347" s="46"/>
    </row>
    <row r="348" spans="1:29" s="59" customFormat="1" ht="17.25" customHeight="1">
      <c r="A348" s="59" t="s">
        <v>257</v>
      </c>
      <c r="B348" s="58" t="s">
        <v>338</v>
      </c>
      <c r="C348" s="155" t="s">
        <v>337</v>
      </c>
      <c r="D348" s="58" t="str">
        <f>VLOOKUP(C348,코드!$E$3:$F$30,2,FALSE)</f>
        <v>8639</v>
      </c>
      <c r="E348" s="65" t="s">
        <v>336</v>
      </c>
      <c r="F348" s="65" t="s">
        <v>374</v>
      </c>
      <c r="G348" s="66" t="s">
        <v>381</v>
      </c>
      <c r="H348" s="70" t="s">
        <v>251</v>
      </c>
      <c r="I348" s="70" t="s">
        <v>394</v>
      </c>
      <c r="J348" s="69" t="s">
        <v>84</v>
      </c>
      <c r="K348" s="68" t="s">
        <v>22</v>
      </c>
      <c r="L348" s="68">
        <f>VLOOKUP(K348,코드!$B$3:$C$29,2,FALSE)</f>
        <v>4118701</v>
      </c>
      <c r="M348" s="69" t="s">
        <v>96</v>
      </c>
      <c r="N348" s="68" t="s">
        <v>68</v>
      </c>
      <c r="O348" s="75"/>
      <c r="P348" s="75"/>
      <c r="Q348" s="75"/>
      <c r="R348" s="75">
        <v>34968600</v>
      </c>
      <c r="S348" s="75"/>
      <c r="T348" s="75">
        <v>34968600</v>
      </c>
      <c r="U348" s="61" t="s">
        <v>67</v>
      </c>
      <c r="V348" s="60">
        <f t="shared" si="24"/>
        <v>1</v>
      </c>
      <c r="W348" s="46"/>
      <c r="X348" s="74"/>
      <c r="Y348" s="46"/>
      <c r="AC348" s="46"/>
    </row>
    <row r="349" spans="1:29" s="59" customFormat="1" ht="17.25" customHeight="1">
      <c r="A349" s="59" t="s">
        <v>257</v>
      </c>
      <c r="B349" s="58" t="s">
        <v>338</v>
      </c>
      <c r="C349" s="155" t="s">
        <v>337</v>
      </c>
      <c r="D349" s="58" t="str">
        <f>VLOOKUP(C349,코드!$E$3:$F$30,2,FALSE)</f>
        <v>8639</v>
      </c>
      <c r="E349" s="65" t="s">
        <v>336</v>
      </c>
      <c r="F349" s="65" t="s">
        <v>374</v>
      </c>
      <c r="G349" s="66" t="s">
        <v>381</v>
      </c>
      <c r="H349" s="65" t="s">
        <v>390</v>
      </c>
      <c r="I349" s="65" t="s">
        <v>393</v>
      </c>
      <c r="J349" s="72" t="s">
        <v>130</v>
      </c>
      <c r="K349" s="72" t="s">
        <v>17</v>
      </c>
      <c r="L349" s="58">
        <f>VLOOKUP(K349,코드!$B$3:$C$29,2,FALSE)</f>
        <v>4241130</v>
      </c>
      <c r="M349" s="72" t="s">
        <v>259</v>
      </c>
      <c r="N349" s="130" t="s">
        <v>339</v>
      </c>
      <c r="O349" s="159">
        <v>30000</v>
      </c>
      <c r="P349" s="75">
        <v>50</v>
      </c>
      <c r="Q349" s="75">
        <v>3</v>
      </c>
      <c r="R349" s="75">
        <v>3000000</v>
      </c>
      <c r="S349" s="75"/>
      <c r="T349" s="78">
        <v>0</v>
      </c>
      <c r="U349" s="71"/>
      <c r="V349" s="60">
        <f t="shared" si="24"/>
        <v>0</v>
      </c>
      <c r="W349" s="46"/>
      <c r="X349" s="74"/>
      <c r="Y349" s="46"/>
      <c r="AC349" s="46"/>
    </row>
    <row r="350" spans="1:29" s="59" customFormat="1" ht="17.25" customHeight="1">
      <c r="A350" s="59" t="s">
        <v>257</v>
      </c>
      <c r="B350" s="58" t="s">
        <v>338</v>
      </c>
      <c r="C350" s="155" t="s">
        <v>337</v>
      </c>
      <c r="D350" s="58" t="str">
        <f>VLOOKUP(C350,코드!$E$3:$F$30,2,FALSE)</f>
        <v>8639</v>
      </c>
      <c r="E350" s="65" t="s">
        <v>336</v>
      </c>
      <c r="F350" s="65" t="s">
        <v>374</v>
      </c>
      <c r="G350" s="66" t="s">
        <v>381</v>
      </c>
      <c r="H350" s="65" t="s">
        <v>390</v>
      </c>
      <c r="I350" s="65" t="s">
        <v>391</v>
      </c>
      <c r="J350" s="72" t="s">
        <v>130</v>
      </c>
      <c r="K350" s="72" t="s">
        <v>17</v>
      </c>
      <c r="L350" s="58">
        <f>VLOOKUP(K350,코드!$B$3:$C$29,2,FALSE)</f>
        <v>4241130</v>
      </c>
      <c r="M350" s="72" t="s">
        <v>262</v>
      </c>
      <c r="N350" s="130" t="s">
        <v>339</v>
      </c>
      <c r="O350" s="159"/>
      <c r="P350" s="75"/>
      <c r="Q350" s="75"/>
      <c r="R350" s="75">
        <v>1500000</v>
      </c>
      <c r="S350" s="75"/>
      <c r="T350" s="78">
        <v>0</v>
      </c>
      <c r="U350" s="71"/>
      <c r="V350" s="60">
        <f t="shared" si="24"/>
        <v>0</v>
      </c>
      <c r="W350" s="46"/>
      <c r="X350" s="74"/>
      <c r="Y350" s="46"/>
      <c r="AC350" s="46"/>
    </row>
    <row r="351" spans="1:29" s="59" customFormat="1" ht="17.25" customHeight="1">
      <c r="A351" s="59" t="s">
        <v>257</v>
      </c>
      <c r="B351" s="58" t="s">
        <v>338</v>
      </c>
      <c r="C351" s="155" t="s">
        <v>337</v>
      </c>
      <c r="D351" s="58" t="str">
        <f>VLOOKUP(C351,코드!$E$3:$F$30,2,FALSE)</f>
        <v>8639</v>
      </c>
      <c r="E351" s="65" t="s">
        <v>336</v>
      </c>
      <c r="F351" s="65" t="s">
        <v>392</v>
      </c>
      <c r="G351" s="66" t="s">
        <v>381</v>
      </c>
      <c r="H351" s="65" t="s">
        <v>390</v>
      </c>
      <c r="I351" s="65" t="s">
        <v>391</v>
      </c>
      <c r="J351" s="72" t="s">
        <v>130</v>
      </c>
      <c r="K351" s="72" t="s">
        <v>33</v>
      </c>
      <c r="L351" s="58">
        <f>VLOOKUP(K351,코드!$B$3:$C$29,2,FALSE)</f>
        <v>1314903</v>
      </c>
      <c r="M351" s="72"/>
      <c r="N351" s="130"/>
      <c r="O351" s="159"/>
      <c r="P351" s="75"/>
      <c r="Q351" s="75"/>
      <c r="R351" s="75">
        <v>0</v>
      </c>
      <c r="S351" s="75"/>
      <c r="T351" s="78">
        <v>0</v>
      </c>
      <c r="U351" s="71"/>
      <c r="V351" s="60" t="e">
        <f t="shared" si="24"/>
        <v>#DIV/0!</v>
      </c>
      <c r="W351" s="46"/>
      <c r="X351" s="74"/>
      <c r="Y351" s="46"/>
      <c r="AC351" s="46"/>
    </row>
    <row r="352" spans="1:29" s="59" customFormat="1" ht="17.25" customHeight="1">
      <c r="A352" s="59" t="s">
        <v>257</v>
      </c>
      <c r="B352" s="58" t="s">
        <v>338</v>
      </c>
      <c r="C352" s="155" t="s">
        <v>337</v>
      </c>
      <c r="D352" s="58" t="str">
        <f>VLOOKUP(C352,코드!$E$3:$F$30,2,FALSE)</f>
        <v>8639</v>
      </c>
      <c r="E352" s="65" t="s">
        <v>336</v>
      </c>
      <c r="F352" s="65" t="s">
        <v>374</v>
      </c>
      <c r="G352" s="66" t="s">
        <v>381</v>
      </c>
      <c r="H352" s="65" t="s">
        <v>390</v>
      </c>
      <c r="I352" s="65" t="s">
        <v>389</v>
      </c>
      <c r="J352" s="72" t="s">
        <v>130</v>
      </c>
      <c r="K352" s="72" t="s">
        <v>29</v>
      </c>
      <c r="L352" s="58">
        <f>VLOOKUP(K352,코드!$B$3:$C$29,2,FALSE)</f>
        <v>4113401</v>
      </c>
      <c r="M352" s="72" t="s">
        <v>356</v>
      </c>
      <c r="N352" s="130" t="s">
        <v>339</v>
      </c>
      <c r="O352" s="159">
        <v>200000</v>
      </c>
      <c r="P352" s="75">
        <v>6</v>
      </c>
      <c r="Q352" s="75">
        <v>1</v>
      </c>
      <c r="R352" s="75">
        <v>1200000</v>
      </c>
      <c r="S352" s="75"/>
      <c r="T352" s="78">
        <v>0</v>
      </c>
      <c r="U352" s="71"/>
      <c r="V352" s="60">
        <f t="shared" si="24"/>
        <v>0</v>
      </c>
      <c r="W352" s="46"/>
      <c r="X352" s="74"/>
      <c r="Y352" s="46"/>
      <c r="AC352" s="46"/>
    </row>
    <row r="353" spans="1:29" s="59" customFormat="1" ht="17.25" customHeight="1">
      <c r="A353" s="59" t="s">
        <v>257</v>
      </c>
      <c r="B353" s="58" t="s">
        <v>338</v>
      </c>
      <c r="C353" s="155" t="s">
        <v>337</v>
      </c>
      <c r="D353" s="58" t="str">
        <f>VLOOKUP(C353,코드!$E$3:$F$30,2,FALSE)</f>
        <v>8639</v>
      </c>
      <c r="E353" s="65" t="s">
        <v>336</v>
      </c>
      <c r="F353" s="65" t="s">
        <v>374</v>
      </c>
      <c r="G353" s="66" t="s">
        <v>381</v>
      </c>
      <c r="H353" s="65" t="s">
        <v>386</v>
      </c>
      <c r="I353" s="65" t="s">
        <v>388</v>
      </c>
      <c r="J353" s="72" t="s">
        <v>101</v>
      </c>
      <c r="K353" s="72" t="s">
        <v>15</v>
      </c>
      <c r="L353" s="58">
        <f>VLOOKUP(K353,코드!$B$3:$C$29,2,FALSE)</f>
        <v>4321701</v>
      </c>
      <c r="M353" s="72" t="s">
        <v>349</v>
      </c>
      <c r="N353" s="130" t="s">
        <v>348</v>
      </c>
      <c r="O353" s="159">
        <v>100000</v>
      </c>
      <c r="P353" s="75">
        <v>70</v>
      </c>
      <c r="Q353" s="75">
        <v>1</v>
      </c>
      <c r="R353" s="75">
        <v>7000000</v>
      </c>
      <c r="S353" s="75"/>
      <c r="T353" s="165">
        <v>0</v>
      </c>
      <c r="U353" s="71"/>
      <c r="V353" s="60">
        <f t="shared" si="24"/>
        <v>0</v>
      </c>
      <c r="W353" s="46"/>
      <c r="X353" s="74"/>
      <c r="Y353" s="46"/>
      <c r="AC353" s="46"/>
    </row>
    <row r="354" spans="1:29" s="59" customFormat="1" ht="17.25" customHeight="1">
      <c r="A354" s="59" t="s">
        <v>257</v>
      </c>
      <c r="B354" s="58" t="s">
        <v>338</v>
      </c>
      <c r="C354" s="155" t="s">
        <v>337</v>
      </c>
      <c r="D354" s="58" t="str">
        <f>VLOOKUP(C354,코드!$E$3:$F$30,2,FALSE)</f>
        <v>8639</v>
      </c>
      <c r="E354" s="65" t="s">
        <v>387</v>
      </c>
      <c r="F354" s="65" t="s">
        <v>374</v>
      </c>
      <c r="G354" s="66" t="s">
        <v>381</v>
      </c>
      <c r="H354" s="65" t="s">
        <v>386</v>
      </c>
      <c r="I354" s="65" t="s">
        <v>385</v>
      </c>
      <c r="J354" s="72" t="s">
        <v>101</v>
      </c>
      <c r="K354" s="72" t="s">
        <v>15</v>
      </c>
      <c r="L354" s="58">
        <f>VLOOKUP(K354,코드!$B$3:$C$29,2,FALSE)</f>
        <v>4321701</v>
      </c>
      <c r="M354" s="72" t="s">
        <v>100</v>
      </c>
      <c r="N354" s="130" t="s">
        <v>348</v>
      </c>
      <c r="O354" s="159">
        <v>10320</v>
      </c>
      <c r="P354" s="75">
        <v>1</v>
      </c>
      <c r="Q354" s="75">
        <v>700</v>
      </c>
      <c r="R354" s="75">
        <v>8824000</v>
      </c>
      <c r="S354" s="75"/>
      <c r="T354" s="78">
        <v>1600000</v>
      </c>
      <c r="U354" s="71"/>
      <c r="V354" s="60">
        <f t="shared" si="24"/>
        <v>0.18132366273798731</v>
      </c>
      <c r="W354" s="46"/>
      <c r="X354" s="74"/>
      <c r="Y354" s="46"/>
      <c r="AC354" s="46"/>
    </row>
    <row r="355" spans="1:29" s="59" customFormat="1" ht="17.25" customHeight="1">
      <c r="A355" s="59" t="s">
        <v>257</v>
      </c>
      <c r="B355" s="58" t="s">
        <v>338</v>
      </c>
      <c r="C355" s="155" t="s">
        <v>337</v>
      </c>
      <c r="D355" s="58" t="str">
        <f>VLOOKUP(C355,코드!$E$3:$F$30,2,FALSE)</f>
        <v>8639</v>
      </c>
      <c r="E355" s="65" t="s">
        <v>336</v>
      </c>
      <c r="F355" s="65" t="s">
        <v>374</v>
      </c>
      <c r="G355" s="66" t="s">
        <v>381</v>
      </c>
      <c r="H355" s="65" t="s">
        <v>384</v>
      </c>
      <c r="I355" s="65" t="s">
        <v>383</v>
      </c>
      <c r="J355" s="72" t="s">
        <v>130</v>
      </c>
      <c r="K355" s="72" t="s">
        <v>17</v>
      </c>
      <c r="L355" s="58">
        <f>VLOOKUP(K355,코드!$B$3:$C$29,2,FALSE)</f>
        <v>4241130</v>
      </c>
      <c r="M355" s="72" t="s">
        <v>288</v>
      </c>
      <c r="N355" s="130" t="s">
        <v>339</v>
      </c>
      <c r="O355" s="159"/>
      <c r="P355" s="75"/>
      <c r="Q355" s="75"/>
      <c r="R355" s="75"/>
      <c r="S355" s="75"/>
      <c r="T355" s="165"/>
      <c r="U355" s="71" t="s">
        <v>378</v>
      </c>
      <c r="V355" s="60" t="e">
        <f t="shared" si="24"/>
        <v>#DIV/0!</v>
      </c>
      <c r="W355" s="46"/>
      <c r="X355" s="74"/>
      <c r="Y355" s="46"/>
      <c r="AC355" s="46"/>
    </row>
    <row r="356" spans="1:29" s="59" customFormat="1" ht="17.25" customHeight="1">
      <c r="A356" s="59" t="s">
        <v>257</v>
      </c>
      <c r="B356" s="58" t="s">
        <v>338</v>
      </c>
      <c r="C356" s="155" t="s">
        <v>337</v>
      </c>
      <c r="D356" s="58" t="str">
        <f>VLOOKUP(C356,코드!$E$3:$F$30,2,FALSE)</f>
        <v>8639</v>
      </c>
      <c r="E356" s="65" t="s">
        <v>336</v>
      </c>
      <c r="F356" s="65" t="s">
        <v>374</v>
      </c>
      <c r="G356" s="66" t="s">
        <v>381</v>
      </c>
      <c r="H356" s="65" t="s">
        <v>380</v>
      </c>
      <c r="I356" s="65" t="s">
        <v>382</v>
      </c>
      <c r="J356" s="72" t="s">
        <v>130</v>
      </c>
      <c r="K356" s="72" t="s">
        <v>17</v>
      </c>
      <c r="L356" s="58">
        <f>VLOOKUP(K356,코드!$B$3:$C$29,2,FALSE)</f>
        <v>4241130</v>
      </c>
      <c r="M356" s="72" t="s">
        <v>262</v>
      </c>
      <c r="N356" s="130" t="s">
        <v>339</v>
      </c>
      <c r="O356" s="159">
        <v>30000</v>
      </c>
      <c r="P356" s="75">
        <v>20</v>
      </c>
      <c r="Q356" s="75">
        <v>3</v>
      </c>
      <c r="R356" s="75">
        <v>1200000</v>
      </c>
      <c r="S356" s="75"/>
      <c r="T356" s="78">
        <v>1200000</v>
      </c>
      <c r="U356" s="71" t="s">
        <v>316</v>
      </c>
      <c r="V356" s="60">
        <f t="shared" si="24"/>
        <v>1</v>
      </c>
      <c r="W356" s="46"/>
      <c r="X356" s="74"/>
      <c r="Y356" s="46"/>
      <c r="AC356" s="46"/>
    </row>
    <row r="357" spans="1:29" s="59" customFormat="1" ht="17.25" customHeight="1">
      <c r="A357" s="59" t="s">
        <v>257</v>
      </c>
      <c r="B357" s="58" t="s">
        <v>338</v>
      </c>
      <c r="C357" s="155" t="s">
        <v>337</v>
      </c>
      <c r="D357" s="58" t="str">
        <f>VLOOKUP(C357,코드!$E$3:$F$30,2,FALSE)</f>
        <v>8639</v>
      </c>
      <c r="E357" s="65" t="s">
        <v>336</v>
      </c>
      <c r="F357" s="65" t="s">
        <v>374</v>
      </c>
      <c r="G357" s="66" t="s">
        <v>381</v>
      </c>
      <c r="H357" s="65" t="s">
        <v>380</v>
      </c>
      <c r="I357" s="65" t="s">
        <v>379</v>
      </c>
      <c r="J357" s="72" t="s">
        <v>130</v>
      </c>
      <c r="K357" s="72" t="s">
        <v>17</v>
      </c>
      <c r="L357" s="58">
        <f>VLOOKUP(K357,코드!$B$3:$C$29,2,FALSE)</f>
        <v>4241130</v>
      </c>
      <c r="M357" s="72" t="s">
        <v>262</v>
      </c>
      <c r="N357" s="130" t="s">
        <v>339</v>
      </c>
      <c r="O357" s="159"/>
      <c r="P357" s="75"/>
      <c r="Q357" s="75"/>
      <c r="R357" s="75">
        <v>1000000</v>
      </c>
      <c r="S357" s="75"/>
      <c r="T357" s="78">
        <v>1000000</v>
      </c>
      <c r="U357" s="71" t="s">
        <v>316</v>
      </c>
      <c r="V357" s="60">
        <f t="shared" si="24"/>
        <v>1</v>
      </c>
      <c r="W357" s="46"/>
      <c r="X357" s="74"/>
      <c r="Y357" s="46"/>
      <c r="AC357" s="46"/>
    </row>
    <row r="358" spans="1:29" s="59" customFormat="1" ht="17.25" customHeight="1">
      <c r="A358" s="59" t="s">
        <v>257</v>
      </c>
      <c r="B358" s="58" t="s">
        <v>338</v>
      </c>
      <c r="C358" s="155" t="s">
        <v>337</v>
      </c>
      <c r="D358" s="58" t="str">
        <f>VLOOKUP(C358,코드!$E$3:$F$30,2,FALSE)</f>
        <v>8639</v>
      </c>
      <c r="E358" s="65" t="s">
        <v>336</v>
      </c>
      <c r="F358" s="65" t="s">
        <v>374</v>
      </c>
      <c r="G358" s="66" t="s">
        <v>381</v>
      </c>
      <c r="H358" s="65" t="s">
        <v>380</v>
      </c>
      <c r="I358" s="65" t="s">
        <v>379</v>
      </c>
      <c r="J358" s="72" t="s">
        <v>130</v>
      </c>
      <c r="K358" s="72" t="s">
        <v>17</v>
      </c>
      <c r="L358" s="58">
        <f>VLOOKUP(K358,코드!$B$3:$C$29,2,FALSE)</f>
        <v>4241130</v>
      </c>
      <c r="M358" s="72" t="s">
        <v>107</v>
      </c>
      <c r="N358" s="130" t="s">
        <v>339</v>
      </c>
      <c r="O358" s="159"/>
      <c r="P358" s="75"/>
      <c r="Q358" s="75"/>
      <c r="R358" s="160">
        <v>200000</v>
      </c>
      <c r="S358" s="75"/>
      <c r="T358" s="162">
        <v>200000</v>
      </c>
      <c r="U358" s="71" t="s">
        <v>378</v>
      </c>
      <c r="V358" s="60">
        <f t="shared" si="24"/>
        <v>1</v>
      </c>
      <c r="W358" s="46"/>
      <c r="X358" s="74"/>
      <c r="Y358" s="46"/>
      <c r="AC358" s="46"/>
    </row>
    <row r="359" spans="1:29" s="59" customFormat="1" ht="17.25" customHeight="1">
      <c r="A359" s="59" t="s">
        <v>257</v>
      </c>
      <c r="B359" s="58" t="s">
        <v>338</v>
      </c>
      <c r="C359" s="155" t="s">
        <v>337</v>
      </c>
      <c r="D359" s="58" t="str">
        <f>VLOOKUP(C359,코드!$E$3:$F$30,2,FALSE)</f>
        <v>8639</v>
      </c>
      <c r="E359" s="65" t="s">
        <v>336</v>
      </c>
      <c r="F359" s="65" t="s">
        <v>374</v>
      </c>
      <c r="G359" s="66" t="s">
        <v>373</v>
      </c>
      <c r="H359" s="65" t="s">
        <v>377</v>
      </c>
      <c r="I359" s="65" t="s">
        <v>376</v>
      </c>
      <c r="J359" s="72" t="s">
        <v>130</v>
      </c>
      <c r="K359" s="72" t="s">
        <v>29</v>
      </c>
      <c r="L359" s="58">
        <f>VLOOKUP(K359,코드!$B$3:$C$29,2,FALSE)</f>
        <v>4113401</v>
      </c>
      <c r="M359" s="72" t="s">
        <v>375</v>
      </c>
      <c r="N359" s="130" t="s">
        <v>339</v>
      </c>
      <c r="O359" s="159"/>
      <c r="P359" s="75"/>
      <c r="Q359" s="75"/>
      <c r="R359" s="75">
        <v>0</v>
      </c>
      <c r="S359" s="75"/>
      <c r="T359" s="78">
        <v>0</v>
      </c>
      <c r="U359" s="71"/>
      <c r="V359" s="60" t="e">
        <f t="shared" si="24"/>
        <v>#DIV/0!</v>
      </c>
      <c r="W359" s="46"/>
      <c r="X359" s="74"/>
      <c r="Y359" s="46"/>
      <c r="AC359" s="46"/>
    </row>
    <row r="360" spans="1:29" s="59" customFormat="1" ht="17.25" customHeight="1">
      <c r="A360" s="59" t="s">
        <v>257</v>
      </c>
      <c r="B360" s="58" t="s">
        <v>338</v>
      </c>
      <c r="C360" s="155" t="s">
        <v>337</v>
      </c>
      <c r="D360" s="58" t="str">
        <f>VLOOKUP(C360,코드!$E$3:$F$30,2,FALSE)</f>
        <v>8639</v>
      </c>
      <c r="E360" s="65" t="s">
        <v>336</v>
      </c>
      <c r="F360" s="65" t="s">
        <v>374</v>
      </c>
      <c r="G360" s="66" t="s">
        <v>373</v>
      </c>
      <c r="H360" s="65" t="s">
        <v>372</v>
      </c>
      <c r="I360" s="65" t="s">
        <v>371</v>
      </c>
      <c r="J360" s="72" t="s">
        <v>130</v>
      </c>
      <c r="K360" s="72" t="s">
        <v>17</v>
      </c>
      <c r="L360" s="58">
        <f>VLOOKUP(K360,코드!$B$3:$C$29,2,FALSE)</f>
        <v>4241130</v>
      </c>
      <c r="M360" s="72" t="s">
        <v>259</v>
      </c>
      <c r="N360" s="130" t="s">
        <v>339</v>
      </c>
      <c r="O360" s="159">
        <v>1500000</v>
      </c>
      <c r="P360" s="75">
        <v>1</v>
      </c>
      <c r="Q360" s="75">
        <v>3</v>
      </c>
      <c r="R360" s="75">
        <v>3000000</v>
      </c>
      <c r="S360" s="75"/>
      <c r="T360" s="78">
        <v>3000000</v>
      </c>
      <c r="U360" s="71" t="s">
        <v>316</v>
      </c>
      <c r="V360" s="60">
        <f t="shared" si="24"/>
        <v>1</v>
      </c>
      <c r="W360" s="46"/>
      <c r="X360" s="74"/>
      <c r="Y360" s="46"/>
      <c r="AC360" s="46"/>
    </row>
    <row r="361" spans="1:29" s="59" customFormat="1" ht="17.25" customHeight="1">
      <c r="A361" s="59" t="s">
        <v>257</v>
      </c>
      <c r="B361" s="58" t="s">
        <v>338</v>
      </c>
      <c r="C361" s="155" t="s">
        <v>370</v>
      </c>
      <c r="D361" s="58" t="str">
        <f>VLOOKUP(C361,코드!$E$3:$F$30,2,FALSE)</f>
        <v>8639</v>
      </c>
      <c r="E361" s="65" t="s">
        <v>336</v>
      </c>
      <c r="F361" s="65" t="s">
        <v>347</v>
      </c>
      <c r="G361" s="66" t="s">
        <v>360</v>
      </c>
      <c r="H361" s="65" t="s">
        <v>359</v>
      </c>
      <c r="I361" s="65" t="s">
        <v>369</v>
      </c>
      <c r="J361" s="72" t="s">
        <v>130</v>
      </c>
      <c r="K361" s="72" t="s">
        <v>17</v>
      </c>
      <c r="L361" s="58">
        <f>VLOOKUP(K361,코드!$B$3:$C$29,2,FALSE)</f>
        <v>4241130</v>
      </c>
      <c r="M361" s="72" t="s">
        <v>262</v>
      </c>
      <c r="N361" s="130" t="s">
        <v>339</v>
      </c>
      <c r="O361" s="159"/>
      <c r="P361" s="75"/>
      <c r="Q361" s="75"/>
      <c r="R361" s="75">
        <v>17538000</v>
      </c>
      <c r="S361" s="75"/>
      <c r="T361" s="78">
        <v>17538000</v>
      </c>
      <c r="U361" s="71" t="s">
        <v>316</v>
      </c>
      <c r="V361" s="60">
        <f t="shared" si="24"/>
        <v>1</v>
      </c>
      <c r="W361" s="46"/>
      <c r="X361" s="74"/>
      <c r="Y361" s="46"/>
      <c r="AC361" s="46"/>
    </row>
    <row r="362" spans="1:29" s="59" customFormat="1" ht="17.25" customHeight="1">
      <c r="A362" s="59" t="s">
        <v>257</v>
      </c>
      <c r="B362" s="58" t="s">
        <v>338</v>
      </c>
      <c r="C362" s="155" t="s">
        <v>337</v>
      </c>
      <c r="D362" s="58" t="str">
        <f>VLOOKUP(C362,코드!$E$3:$F$30,2,FALSE)</f>
        <v>8639</v>
      </c>
      <c r="E362" s="65" t="s">
        <v>336</v>
      </c>
      <c r="F362" s="65" t="s">
        <v>347</v>
      </c>
      <c r="G362" s="66" t="s">
        <v>360</v>
      </c>
      <c r="H362" s="65" t="s">
        <v>359</v>
      </c>
      <c r="I362" s="65" t="s">
        <v>368</v>
      </c>
      <c r="J362" s="72" t="s">
        <v>130</v>
      </c>
      <c r="K362" s="72" t="s">
        <v>17</v>
      </c>
      <c r="L362" s="58">
        <f>VLOOKUP(K362,코드!$B$3:$C$29,2,FALSE)</f>
        <v>4241130</v>
      </c>
      <c r="M362" s="72" t="s">
        <v>259</v>
      </c>
      <c r="N362" s="130" t="s">
        <v>339</v>
      </c>
      <c r="O362" s="159">
        <v>5000000</v>
      </c>
      <c r="P362" s="75">
        <v>2</v>
      </c>
      <c r="Q362" s="75">
        <v>2</v>
      </c>
      <c r="R362" s="75">
        <v>20000000</v>
      </c>
      <c r="S362" s="75"/>
      <c r="T362" s="78">
        <v>20000000</v>
      </c>
      <c r="U362" s="71" t="s">
        <v>316</v>
      </c>
      <c r="V362" s="60">
        <f t="shared" si="24"/>
        <v>1</v>
      </c>
      <c r="W362" s="46"/>
      <c r="X362" s="74"/>
      <c r="Y362" s="46"/>
      <c r="AC362" s="46"/>
    </row>
    <row r="363" spans="1:29" s="59" customFormat="1" ht="17.25" customHeight="1">
      <c r="A363" s="59" t="s">
        <v>257</v>
      </c>
      <c r="B363" s="58" t="s">
        <v>338</v>
      </c>
      <c r="C363" s="155" t="s">
        <v>337</v>
      </c>
      <c r="D363" s="58" t="str">
        <f>VLOOKUP(C363,코드!$E$3:$F$30,2,FALSE)</f>
        <v>8639</v>
      </c>
      <c r="E363" s="65" t="s">
        <v>336</v>
      </c>
      <c r="F363" s="65" t="s">
        <v>347</v>
      </c>
      <c r="G363" s="66" t="s">
        <v>360</v>
      </c>
      <c r="H363" s="65" t="s">
        <v>359</v>
      </c>
      <c r="I363" s="65" t="s">
        <v>367</v>
      </c>
      <c r="J363" s="72" t="s">
        <v>130</v>
      </c>
      <c r="K363" s="72" t="s">
        <v>17</v>
      </c>
      <c r="L363" s="58">
        <f>VLOOKUP(K363,코드!$B$3:$C$29,2,FALSE)</f>
        <v>4241130</v>
      </c>
      <c r="M363" s="72" t="s">
        <v>178</v>
      </c>
      <c r="N363" s="130" t="s">
        <v>339</v>
      </c>
      <c r="O363" s="159"/>
      <c r="P363" s="75"/>
      <c r="Q363" s="75"/>
      <c r="R363" s="160">
        <v>18432000</v>
      </c>
      <c r="S363" s="75"/>
      <c r="T363" s="162">
        <v>18432000</v>
      </c>
      <c r="U363" s="71" t="s">
        <v>316</v>
      </c>
      <c r="V363" s="60">
        <f t="shared" si="24"/>
        <v>1</v>
      </c>
      <c r="W363" s="46"/>
      <c r="X363" s="74"/>
      <c r="Y363" s="46"/>
      <c r="AC363" s="46"/>
    </row>
    <row r="364" spans="1:29" s="59" customFormat="1" ht="17.25" customHeight="1">
      <c r="A364" s="59" t="s">
        <v>257</v>
      </c>
      <c r="B364" s="58" t="s">
        <v>338</v>
      </c>
      <c r="C364" s="155" t="s">
        <v>337</v>
      </c>
      <c r="D364" s="58" t="str">
        <f>VLOOKUP(C364,코드!$E$3:$F$30,2,FALSE)</f>
        <v>8639</v>
      </c>
      <c r="E364" s="65" t="s">
        <v>336</v>
      </c>
      <c r="F364" s="65" t="s">
        <v>347</v>
      </c>
      <c r="G364" s="66" t="s">
        <v>360</v>
      </c>
      <c r="H364" s="65" t="s">
        <v>359</v>
      </c>
      <c r="I364" s="65" t="s">
        <v>366</v>
      </c>
      <c r="J364" s="72" t="s">
        <v>130</v>
      </c>
      <c r="K364" s="72" t="s">
        <v>17</v>
      </c>
      <c r="L364" s="58">
        <f>VLOOKUP(K364,코드!$B$3:$C$29,2,FALSE)</f>
        <v>4241130</v>
      </c>
      <c r="M364" s="72" t="s">
        <v>365</v>
      </c>
      <c r="N364" s="130" t="s">
        <v>339</v>
      </c>
      <c r="O364" s="159">
        <v>40000</v>
      </c>
      <c r="P364" s="75">
        <v>5</v>
      </c>
      <c r="Q364" s="75">
        <v>35</v>
      </c>
      <c r="R364" s="160">
        <v>19000000</v>
      </c>
      <c r="S364" s="75"/>
      <c r="T364" s="162">
        <v>19000000</v>
      </c>
      <c r="U364" s="71" t="s">
        <v>316</v>
      </c>
      <c r="V364" s="60">
        <f t="shared" si="24"/>
        <v>1</v>
      </c>
      <c r="W364" s="46"/>
      <c r="X364" s="74"/>
      <c r="Y364" s="46"/>
      <c r="AC364" s="46"/>
    </row>
    <row r="365" spans="1:29" s="59" customFormat="1" ht="17.25" customHeight="1">
      <c r="A365" s="59" t="s">
        <v>257</v>
      </c>
      <c r="B365" s="58" t="s">
        <v>338</v>
      </c>
      <c r="C365" s="155" t="s">
        <v>337</v>
      </c>
      <c r="D365" s="58" t="str">
        <f>VLOOKUP(C365,코드!$E$3:$F$30,2,FALSE)</f>
        <v>8639</v>
      </c>
      <c r="E365" s="65" t="s">
        <v>336</v>
      </c>
      <c r="F365" s="65" t="s">
        <v>347</v>
      </c>
      <c r="G365" s="66" t="s">
        <v>360</v>
      </c>
      <c r="H365" s="65" t="s">
        <v>364</v>
      </c>
      <c r="I365" s="155" t="s">
        <v>363</v>
      </c>
      <c r="J365" s="72" t="s">
        <v>60</v>
      </c>
      <c r="K365" s="72" t="s">
        <v>17</v>
      </c>
      <c r="L365" s="58">
        <f>VLOOKUP(K365,코드!$B$3:$C$29,2,FALSE)</f>
        <v>4241130</v>
      </c>
      <c r="M365" s="72" t="s">
        <v>356</v>
      </c>
      <c r="N365" s="130" t="s">
        <v>339</v>
      </c>
      <c r="O365" s="159">
        <v>300000</v>
      </c>
      <c r="P365" s="75">
        <v>35</v>
      </c>
      <c r="Q365" s="75">
        <v>1</v>
      </c>
      <c r="R365" s="160">
        <v>6300000</v>
      </c>
      <c r="S365" s="75"/>
      <c r="T365" s="160">
        <v>6300000</v>
      </c>
      <c r="U365" s="71" t="s">
        <v>316</v>
      </c>
      <c r="V365" s="60">
        <f t="shared" si="24"/>
        <v>1</v>
      </c>
      <c r="W365" s="46"/>
      <c r="X365" s="74"/>
      <c r="Y365" s="46"/>
      <c r="AC365" s="46"/>
    </row>
    <row r="366" spans="1:29" s="59" customFormat="1" ht="17.25" customHeight="1">
      <c r="A366" s="59" t="s">
        <v>257</v>
      </c>
      <c r="B366" s="58" t="s">
        <v>338</v>
      </c>
      <c r="C366" s="155" t="s">
        <v>337</v>
      </c>
      <c r="D366" s="58" t="str">
        <f>VLOOKUP(C366,코드!$E$3:$F$30,2,FALSE)</f>
        <v>8639</v>
      </c>
      <c r="E366" s="65" t="s">
        <v>336</v>
      </c>
      <c r="F366" s="65" t="s">
        <v>355</v>
      </c>
      <c r="G366" s="66" t="s">
        <v>360</v>
      </c>
      <c r="H366" s="65" t="s">
        <v>359</v>
      </c>
      <c r="I366" s="65" t="s">
        <v>362</v>
      </c>
      <c r="J366" s="72" t="s">
        <v>130</v>
      </c>
      <c r="K366" s="72" t="s">
        <v>29</v>
      </c>
      <c r="L366" s="58">
        <f>VLOOKUP(K366,코드!$B$3:$C$29,2,FALSE)</f>
        <v>4113401</v>
      </c>
      <c r="M366" s="72" t="s">
        <v>356</v>
      </c>
      <c r="N366" s="130" t="s">
        <v>339</v>
      </c>
      <c r="O366" s="159">
        <v>100000</v>
      </c>
      <c r="P366" s="75">
        <v>129</v>
      </c>
      <c r="Q366" s="75">
        <v>1</v>
      </c>
      <c r="R366" s="75">
        <v>12900000</v>
      </c>
      <c r="S366" s="75"/>
      <c r="T366" s="78">
        <v>12900000</v>
      </c>
      <c r="U366" s="71" t="s">
        <v>316</v>
      </c>
      <c r="V366" s="60">
        <f t="shared" si="24"/>
        <v>1</v>
      </c>
      <c r="W366" s="46"/>
      <c r="X366" s="74"/>
      <c r="Y366" s="46"/>
      <c r="AC366" s="46"/>
    </row>
    <row r="367" spans="1:29" s="59" customFormat="1" ht="17.25" customHeight="1">
      <c r="A367" s="59" t="s">
        <v>257</v>
      </c>
      <c r="B367" s="58" t="s">
        <v>338</v>
      </c>
      <c r="C367" s="155" t="s">
        <v>337</v>
      </c>
      <c r="D367" s="58" t="str">
        <f>VLOOKUP(C367,코드!$E$3:$F$30,2,FALSE)</f>
        <v>8639</v>
      </c>
      <c r="E367" s="65" t="s">
        <v>336</v>
      </c>
      <c r="F367" s="65" t="s">
        <v>347</v>
      </c>
      <c r="G367" s="66" t="s">
        <v>360</v>
      </c>
      <c r="H367" s="65" t="s">
        <v>359</v>
      </c>
      <c r="I367" s="65" t="s">
        <v>361</v>
      </c>
      <c r="J367" s="72" t="s">
        <v>101</v>
      </c>
      <c r="K367" s="72" t="s">
        <v>15</v>
      </c>
      <c r="L367" s="58">
        <f>VLOOKUP(K367,코드!$B$3:$C$29,2,FALSE)</f>
        <v>4321701</v>
      </c>
      <c r="M367" s="72" t="s">
        <v>100</v>
      </c>
      <c r="N367" s="130" t="s">
        <v>348</v>
      </c>
      <c r="O367" s="159"/>
      <c r="P367" s="75"/>
      <c r="Q367" s="75"/>
      <c r="R367" s="75">
        <v>29282000</v>
      </c>
      <c r="S367" s="75"/>
      <c r="T367" s="75">
        <v>29282000</v>
      </c>
      <c r="U367" s="71" t="s">
        <v>316</v>
      </c>
      <c r="V367" s="60">
        <f t="shared" si="24"/>
        <v>1</v>
      </c>
      <c r="W367" s="46"/>
      <c r="X367" s="74"/>
      <c r="Y367" s="46"/>
      <c r="AC367" s="46"/>
    </row>
    <row r="368" spans="1:29" s="59" customFormat="1" ht="17.25" customHeight="1">
      <c r="A368" s="59" t="s">
        <v>257</v>
      </c>
      <c r="B368" s="58" t="s">
        <v>338</v>
      </c>
      <c r="C368" s="155" t="s">
        <v>337</v>
      </c>
      <c r="D368" s="58" t="str">
        <f>VLOOKUP(C368,코드!$E$3:$F$30,2,FALSE)</f>
        <v>8639</v>
      </c>
      <c r="E368" s="65" t="s">
        <v>336</v>
      </c>
      <c r="F368" s="65" t="s">
        <v>347</v>
      </c>
      <c r="G368" s="66" t="s">
        <v>360</v>
      </c>
      <c r="H368" s="65" t="s">
        <v>359</v>
      </c>
      <c r="I368" s="155" t="s">
        <v>358</v>
      </c>
      <c r="J368" s="72" t="s">
        <v>101</v>
      </c>
      <c r="K368" s="72" t="s">
        <v>15</v>
      </c>
      <c r="L368" s="58">
        <f>VLOOKUP(K368,코드!$B$3:$C$29,2,FALSE)</f>
        <v>4321701</v>
      </c>
      <c r="M368" s="72" t="s">
        <v>349</v>
      </c>
      <c r="N368" s="130" t="s">
        <v>348</v>
      </c>
      <c r="O368" s="159">
        <v>100000</v>
      </c>
      <c r="P368" s="75">
        <v>30</v>
      </c>
      <c r="Q368" s="75">
        <v>1</v>
      </c>
      <c r="R368" s="164">
        <v>2150000</v>
      </c>
      <c r="S368" s="157"/>
      <c r="T368" s="164">
        <v>2150000</v>
      </c>
      <c r="U368" s="71" t="s">
        <v>316</v>
      </c>
      <c r="V368" s="60">
        <f t="shared" si="24"/>
        <v>1</v>
      </c>
      <c r="W368" s="46"/>
      <c r="X368" s="74"/>
      <c r="Y368" s="46"/>
      <c r="AC368" s="46"/>
    </row>
    <row r="369" spans="1:29" s="59" customFormat="1" ht="17.25" customHeight="1">
      <c r="A369" s="59" t="s">
        <v>257</v>
      </c>
      <c r="B369" s="58" t="s">
        <v>338</v>
      </c>
      <c r="C369" s="155" t="s">
        <v>337</v>
      </c>
      <c r="D369" s="58" t="str">
        <f>VLOOKUP(C369,코드!$E$3:$F$30,2,FALSE)</f>
        <v>8639</v>
      </c>
      <c r="E369" s="65" t="s">
        <v>336</v>
      </c>
      <c r="F369" s="65" t="s">
        <v>347</v>
      </c>
      <c r="G369" s="66" t="s">
        <v>346</v>
      </c>
      <c r="H369" s="65" t="s">
        <v>351</v>
      </c>
      <c r="I369" s="163" t="s">
        <v>357</v>
      </c>
      <c r="J369" s="72" t="s">
        <v>130</v>
      </c>
      <c r="K369" s="72" t="s">
        <v>17</v>
      </c>
      <c r="L369" s="58">
        <f>VLOOKUP(K369,코드!$B$3:$C$29,2,FALSE)</f>
        <v>4241130</v>
      </c>
      <c r="M369" s="72" t="s">
        <v>356</v>
      </c>
      <c r="N369" s="130" t="s">
        <v>339</v>
      </c>
      <c r="O369" s="159">
        <v>200000</v>
      </c>
      <c r="P369" s="75">
        <v>68</v>
      </c>
      <c r="Q369" s="75">
        <v>1</v>
      </c>
      <c r="R369" s="160">
        <v>6100000</v>
      </c>
      <c r="S369" s="75"/>
      <c r="T369" s="162">
        <v>6100000</v>
      </c>
      <c r="U369" s="71" t="s">
        <v>316</v>
      </c>
      <c r="V369" s="60">
        <f t="shared" si="24"/>
        <v>1</v>
      </c>
      <c r="W369" s="46"/>
      <c r="X369" s="74"/>
      <c r="Y369" s="46"/>
      <c r="AC369" s="46"/>
    </row>
    <row r="370" spans="1:29" s="59" customFormat="1" ht="17.25" customHeight="1">
      <c r="A370" s="59" t="s">
        <v>257</v>
      </c>
      <c r="B370" s="58" t="s">
        <v>338</v>
      </c>
      <c r="C370" s="155" t="s">
        <v>337</v>
      </c>
      <c r="D370" s="58" t="str">
        <f>VLOOKUP(C370,코드!$E$3:$F$30,2,FALSE)</f>
        <v>8639</v>
      </c>
      <c r="E370" s="65" t="s">
        <v>336</v>
      </c>
      <c r="F370" s="65" t="s">
        <v>355</v>
      </c>
      <c r="G370" s="66" t="s">
        <v>346</v>
      </c>
      <c r="H370" s="65" t="s">
        <v>351</v>
      </c>
      <c r="I370" s="65" t="s">
        <v>354</v>
      </c>
      <c r="J370" s="72" t="s">
        <v>130</v>
      </c>
      <c r="K370" s="72" t="s">
        <v>17</v>
      </c>
      <c r="L370" s="58">
        <f>VLOOKUP(K370,코드!$B$3:$C$29,2,FALSE)</f>
        <v>4241130</v>
      </c>
      <c r="M370" s="72" t="s">
        <v>262</v>
      </c>
      <c r="N370" s="130" t="s">
        <v>339</v>
      </c>
      <c r="O370" s="159"/>
      <c r="P370" s="75"/>
      <c r="Q370" s="75"/>
      <c r="R370" s="75">
        <v>500000</v>
      </c>
      <c r="S370" s="75"/>
      <c r="T370" s="78">
        <v>500000</v>
      </c>
      <c r="U370" s="71" t="s">
        <v>316</v>
      </c>
      <c r="V370" s="60">
        <f t="shared" si="24"/>
        <v>1</v>
      </c>
      <c r="W370" s="46"/>
      <c r="X370" s="74"/>
      <c r="Y370" s="46"/>
      <c r="AC370" s="46"/>
    </row>
    <row r="371" spans="1:29" s="59" customFormat="1" ht="17.25" customHeight="1">
      <c r="A371" s="59" t="s">
        <v>257</v>
      </c>
      <c r="B371" s="58" t="s">
        <v>338</v>
      </c>
      <c r="C371" s="155" t="s">
        <v>337</v>
      </c>
      <c r="D371" s="58" t="str">
        <f>VLOOKUP(C371,코드!$E$3:$F$30,2,FALSE)</f>
        <v>8639</v>
      </c>
      <c r="E371" s="65" t="s">
        <v>336</v>
      </c>
      <c r="F371" s="65" t="s">
        <v>347</v>
      </c>
      <c r="G371" s="66" t="s">
        <v>346</v>
      </c>
      <c r="H371" s="65" t="s">
        <v>351</v>
      </c>
      <c r="I371" s="65" t="s">
        <v>353</v>
      </c>
      <c r="J371" s="72" t="s">
        <v>130</v>
      </c>
      <c r="K371" s="72" t="s">
        <v>15</v>
      </c>
      <c r="L371" s="58">
        <f>VLOOKUP(K371,코드!$B$3:$C$29,2,FALSE)</f>
        <v>4321701</v>
      </c>
      <c r="M371" s="72" t="s">
        <v>352</v>
      </c>
      <c r="N371" s="130" t="s">
        <v>339</v>
      </c>
      <c r="O371" s="159">
        <v>400000</v>
      </c>
      <c r="P371" s="75">
        <v>68</v>
      </c>
      <c r="Q371" s="75">
        <v>1</v>
      </c>
      <c r="R371" s="75">
        <v>27200000</v>
      </c>
      <c r="S371" s="75"/>
      <c r="T371" s="75">
        <v>27200000</v>
      </c>
      <c r="U371" s="71" t="s">
        <v>316</v>
      </c>
      <c r="V371" s="60">
        <f t="shared" si="24"/>
        <v>1</v>
      </c>
      <c r="W371" s="46"/>
      <c r="X371" s="74"/>
      <c r="Y371" s="46"/>
      <c r="AC371" s="46"/>
    </row>
    <row r="372" spans="1:29" s="59" customFormat="1" ht="17.25" customHeight="1">
      <c r="A372" s="59" t="s">
        <v>257</v>
      </c>
      <c r="B372" s="58" t="s">
        <v>338</v>
      </c>
      <c r="C372" s="155" t="s">
        <v>337</v>
      </c>
      <c r="D372" s="58" t="str">
        <f>VLOOKUP(C372,코드!$E$3:$F$30,2,FALSE)</f>
        <v>8639</v>
      </c>
      <c r="E372" s="65" t="s">
        <v>336</v>
      </c>
      <c r="F372" s="65" t="s">
        <v>347</v>
      </c>
      <c r="G372" s="66" t="s">
        <v>346</v>
      </c>
      <c r="H372" s="65" t="s">
        <v>351</v>
      </c>
      <c r="I372" s="65" t="s">
        <v>350</v>
      </c>
      <c r="J372" s="72" t="s">
        <v>101</v>
      </c>
      <c r="K372" s="72" t="s">
        <v>15</v>
      </c>
      <c r="L372" s="58">
        <f>VLOOKUP(K372,코드!$B$3:$C$29,2,FALSE)</f>
        <v>4321701</v>
      </c>
      <c r="M372" s="72" t="s">
        <v>349</v>
      </c>
      <c r="N372" s="130" t="s">
        <v>348</v>
      </c>
      <c r="O372" s="159">
        <v>100000</v>
      </c>
      <c r="P372" s="75">
        <v>68</v>
      </c>
      <c r="Q372" s="75">
        <v>1</v>
      </c>
      <c r="R372" s="160">
        <v>3600000</v>
      </c>
      <c r="S372" s="75"/>
      <c r="T372" s="160">
        <v>3600000</v>
      </c>
      <c r="U372" s="71" t="s">
        <v>316</v>
      </c>
      <c r="V372" s="60">
        <f t="shared" si="24"/>
        <v>1</v>
      </c>
      <c r="W372" s="46"/>
      <c r="X372" s="74"/>
      <c r="Y372" s="46"/>
      <c r="AC372" s="46"/>
    </row>
    <row r="373" spans="1:29" s="59" customFormat="1" ht="17.25" customHeight="1">
      <c r="A373" s="59" t="s">
        <v>257</v>
      </c>
      <c r="B373" s="58" t="s">
        <v>338</v>
      </c>
      <c r="C373" s="155" t="s">
        <v>337</v>
      </c>
      <c r="D373" s="58" t="str">
        <f>VLOOKUP(C373,코드!$E$3:$F$30,2,FALSE)</f>
        <v>8639</v>
      </c>
      <c r="E373" s="65" t="s">
        <v>336</v>
      </c>
      <c r="F373" s="65" t="s">
        <v>347</v>
      </c>
      <c r="G373" s="66" t="s">
        <v>346</v>
      </c>
      <c r="H373" s="65" t="s">
        <v>345</v>
      </c>
      <c r="I373" s="65" t="s">
        <v>344</v>
      </c>
      <c r="J373" s="72" t="s">
        <v>130</v>
      </c>
      <c r="K373" s="72" t="s">
        <v>17</v>
      </c>
      <c r="L373" s="58">
        <f>VLOOKUP(K373,코드!$B$3:$C$29,2,FALSE)</f>
        <v>4241130</v>
      </c>
      <c r="M373" s="72"/>
      <c r="N373" s="130"/>
      <c r="O373" s="159">
        <v>0</v>
      </c>
      <c r="P373" s="75">
        <v>1</v>
      </c>
      <c r="Q373" s="75">
        <v>1</v>
      </c>
      <c r="R373" s="75">
        <v>0</v>
      </c>
      <c r="S373" s="75"/>
      <c r="T373" s="78">
        <v>0</v>
      </c>
      <c r="U373" s="71"/>
      <c r="V373" s="60" t="e">
        <f t="shared" si="24"/>
        <v>#DIV/0!</v>
      </c>
      <c r="W373" s="46"/>
      <c r="X373" s="74"/>
      <c r="Y373" s="46"/>
      <c r="AC373" s="46"/>
    </row>
    <row r="374" spans="1:29" s="59" customFormat="1" ht="17.25" customHeight="1">
      <c r="A374" s="59" t="s">
        <v>257</v>
      </c>
      <c r="B374" s="58" t="s">
        <v>338</v>
      </c>
      <c r="C374" s="155" t="s">
        <v>337</v>
      </c>
      <c r="D374" s="58" t="str">
        <f>VLOOKUP(C374,코드!$E$3:$F$30,2,FALSE)</f>
        <v>8639</v>
      </c>
      <c r="E374" s="65" t="s">
        <v>336</v>
      </c>
      <c r="F374" s="65" t="s">
        <v>335</v>
      </c>
      <c r="G374" s="66" t="s">
        <v>342</v>
      </c>
      <c r="H374" s="65" t="s">
        <v>341</v>
      </c>
      <c r="I374" s="65" t="s">
        <v>343</v>
      </c>
      <c r="J374" s="72" t="s">
        <v>130</v>
      </c>
      <c r="K374" s="72" t="s">
        <v>17</v>
      </c>
      <c r="L374" s="58">
        <f>VLOOKUP(K374,코드!$B$3:$C$29,2,FALSE)</f>
        <v>4241130</v>
      </c>
      <c r="M374" s="72" t="s">
        <v>262</v>
      </c>
      <c r="N374" s="130" t="s">
        <v>339</v>
      </c>
      <c r="O374" s="75">
        <v>10000</v>
      </c>
      <c r="P374" s="75">
        <v>900</v>
      </c>
      <c r="Q374" s="75">
        <v>1</v>
      </c>
      <c r="R374" s="75">
        <v>7000000</v>
      </c>
      <c r="S374" s="75"/>
      <c r="T374" s="78">
        <v>7000000</v>
      </c>
      <c r="U374" s="71" t="s">
        <v>316</v>
      </c>
      <c r="V374" s="60">
        <f t="shared" si="24"/>
        <v>1</v>
      </c>
      <c r="W374" s="46"/>
      <c r="X374" s="74"/>
      <c r="Y374" s="46"/>
      <c r="AC374" s="46"/>
    </row>
    <row r="375" spans="1:29" s="59" customFormat="1" ht="17.25" customHeight="1">
      <c r="A375" s="59" t="s">
        <v>257</v>
      </c>
      <c r="B375" s="58" t="s">
        <v>338</v>
      </c>
      <c r="C375" s="155" t="s">
        <v>337</v>
      </c>
      <c r="D375" s="58" t="str">
        <f>VLOOKUP(C375,코드!$E$3:$F$30,2,FALSE)</f>
        <v>8639</v>
      </c>
      <c r="E375" s="65" t="s">
        <v>336</v>
      </c>
      <c r="F375" s="65" t="s">
        <v>335</v>
      </c>
      <c r="G375" s="66" t="s">
        <v>342</v>
      </c>
      <c r="H375" s="65" t="s">
        <v>341</v>
      </c>
      <c r="I375" s="65" t="s">
        <v>340</v>
      </c>
      <c r="J375" s="72" t="s">
        <v>130</v>
      </c>
      <c r="K375" s="72" t="s">
        <v>17</v>
      </c>
      <c r="L375" s="58">
        <f>VLOOKUP(K375,코드!$B$3:$C$29,2,FALSE)</f>
        <v>4241130</v>
      </c>
      <c r="M375" s="72" t="s">
        <v>288</v>
      </c>
      <c r="N375" s="130" t="s">
        <v>339</v>
      </c>
      <c r="O375" s="75">
        <v>500000</v>
      </c>
      <c r="P375" s="75">
        <v>4</v>
      </c>
      <c r="Q375" s="75">
        <v>1</v>
      </c>
      <c r="R375" s="164">
        <v>2230000</v>
      </c>
      <c r="S375" s="157"/>
      <c r="T375" s="156">
        <v>2230000</v>
      </c>
      <c r="U375" s="71" t="s">
        <v>316</v>
      </c>
      <c r="V375" s="60">
        <f t="shared" si="24"/>
        <v>1</v>
      </c>
      <c r="W375" s="46"/>
      <c r="X375" s="74"/>
      <c r="Y375" s="46"/>
      <c r="AC375" s="46"/>
    </row>
    <row r="376" spans="1:29" s="59" customFormat="1" ht="17.25" customHeight="1">
      <c r="A376" s="59" t="s">
        <v>257</v>
      </c>
      <c r="B376" s="58" t="s">
        <v>338</v>
      </c>
      <c r="C376" s="155" t="s">
        <v>337</v>
      </c>
      <c r="D376" s="58" t="str">
        <f>VLOOKUP(C376,코드!$E$3:$F$30,2,FALSE)</f>
        <v>8639</v>
      </c>
      <c r="E376" s="65" t="s">
        <v>336</v>
      </c>
      <c r="F376" s="65" t="s">
        <v>335</v>
      </c>
      <c r="G376" s="66" t="s">
        <v>334</v>
      </c>
      <c r="H376" s="65" t="s">
        <v>333</v>
      </c>
      <c r="I376" s="65" t="s">
        <v>332</v>
      </c>
      <c r="J376" s="72"/>
      <c r="K376" s="72"/>
      <c r="L376" s="58" t="e">
        <f>VLOOKUP(K376,코드!$B$3:$C$29,2,FALSE)</f>
        <v>#N/A</v>
      </c>
      <c r="M376" s="72"/>
      <c r="N376" s="130"/>
      <c r="O376" s="75"/>
      <c r="P376" s="75"/>
      <c r="Q376" s="75"/>
      <c r="R376" s="75"/>
      <c r="S376" s="75"/>
      <c r="T376" s="78">
        <v>0</v>
      </c>
      <c r="U376" s="71"/>
      <c r="V376" s="60" t="e">
        <f t="shared" si="24"/>
        <v>#DIV/0!</v>
      </c>
      <c r="W376" s="46"/>
      <c r="X376" s="74"/>
      <c r="Y376" s="46"/>
      <c r="AC376" s="46"/>
    </row>
    <row r="377" spans="1:29" ht="17.25" customHeight="1">
      <c r="A377" s="59" t="s">
        <v>257</v>
      </c>
      <c r="B377" s="58"/>
      <c r="C377" s="65"/>
      <c r="D377" s="79" t="e">
        <f>VLOOKUP(C377,[1]코드!$E$3:$F$29,2,FALSE)</f>
        <v>#N/A</v>
      </c>
      <c r="E377" s="65"/>
      <c r="F377" s="65"/>
      <c r="G377" s="66"/>
      <c r="H377" s="65"/>
      <c r="I377" s="65"/>
      <c r="J377" s="58"/>
      <c r="K377" s="58"/>
      <c r="L377" s="79" t="e">
        <f>VLOOKUP(K377,[1]코드!$B$3:$C$29,2,FALSE)</f>
        <v>#N/A</v>
      </c>
      <c r="M377" s="58"/>
      <c r="N377" s="58"/>
      <c r="O377" s="63"/>
      <c r="P377" s="63"/>
      <c r="Q377" s="63"/>
      <c r="R377" s="63"/>
      <c r="S377" s="63"/>
      <c r="T377" s="62">
        <v>0</v>
      </c>
      <c r="U377" s="61"/>
      <c r="V377" s="60" t="s">
        <v>126</v>
      </c>
    </row>
    <row r="378" spans="1:29" ht="17.25" customHeight="1">
      <c r="A378" s="59" t="s">
        <v>257</v>
      </c>
      <c r="B378" s="58" t="s">
        <v>256</v>
      </c>
      <c r="C378" s="65" t="s">
        <v>331</v>
      </c>
      <c r="D378" s="58" t="str">
        <f>VLOOKUP(C378,코드!$E$3:$F$30,2,FALSE)</f>
        <v>8631</v>
      </c>
      <c r="E378" s="65" t="s">
        <v>330</v>
      </c>
      <c r="F378" s="65" t="s">
        <v>329</v>
      </c>
      <c r="G378" s="66" t="s">
        <v>328</v>
      </c>
      <c r="H378" s="65" t="s">
        <v>327</v>
      </c>
      <c r="I378" s="65" t="s">
        <v>326</v>
      </c>
      <c r="J378" s="58" t="s">
        <v>60</v>
      </c>
      <c r="K378" s="58" t="s">
        <v>17</v>
      </c>
      <c r="L378" s="58">
        <f>VLOOKUP(K378,코드!$B$3:$C$29,2,FALSE)</f>
        <v>4241130</v>
      </c>
      <c r="M378" s="58" t="s">
        <v>129</v>
      </c>
      <c r="N378" s="130" t="s">
        <v>323</v>
      </c>
      <c r="O378" s="63">
        <v>30000</v>
      </c>
      <c r="P378" s="63">
        <v>20</v>
      </c>
      <c r="Q378" s="63">
        <v>5</v>
      </c>
      <c r="R378" s="63">
        <v>2970000</v>
      </c>
      <c r="S378" s="63"/>
      <c r="T378" s="111">
        <v>1500000</v>
      </c>
      <c r="U378" s="61" t="s">
        <v>127</v>
      </c>
      <c r="V378" s="60">
        <f>T378/R378</f>
        <v>0.50505050505050508</v>
      </c>
    </row>
    <row r="379" spans="1:29" ht="17.25" customHeight="1">
      <c r="A379" s="59" t="s">
        <v>257</v>
      </c>
      <c r="B379" s="58" t="s">
        <v>256</v>
      </c>
      <c r="C379" s="65" t="s">
        <v>133</v>
      </c>
      <c r="D379" s="58" t="str">
        <f>VLOOKUP(C379,코드!$E$3:$F$30,2,FALSE)</f>
        <v>8621</v>
      </c>
      <c r="E379" s="66" t="s">
        <v>325</v>
      </c>
      <c r="F379" s="65" t="s">
        <v>324</v>
      </c>
      <c r="G379" s="81"/>
      <c r="H379" s="80"/>
      <c r="I379" s="80"/>
      <c r="J379" s="58" t="s">
        <v>130</v>
      </c>
      <c r="K379" s="58" t="s">
        <v>17</v>
      </c>
      <c r="L379" s="58">
        <f>VLOOKUP(K379,코드!$B$3:$C$29,2,FALSE)</f>
        <v>4241130</v>
      </c>
      <c r="M379" s="58" t="s">
        <v>262</v>
      </c>
      <c r="N379" s="130" t="s">
        <v>323</v>
      </c>
      <c r="O379" s="63">
        <v>1000000</v>
      </c>
      <c r="P379" s="63">
        <v>1</v>
      </c>
      <c r="Q379" s="63">
        <v>1</v>
      </c>
      <c r="R379" s="63">
        <v>1500000</v>
      </c>
      <c r="S379" s="63"/>
      <c r="T379" s="62">
        <v>1500000</v>
      </c>
      <c r="U379" s="61" t="s">
        <v>127</v>
      </c>
      <c r="V379" s="60">
        <f>T379/R379</f>
        <v>1</v>
      </c>
    </row>
    <row r="380" spans="1:29" ht="17.25" customHeight="1">
      <c r="A380" s="59" t="s">
        <v>257</v>
      </c>
      <c r="B380" s="58"/>
      <c r="C380" s="65"/>
      <c r="D380" s="79" t="e">
        <f>VLOOKUP(C380,[1]코드!$E$3:$F$29,2,FALSE)</f>
        <v>#N/A</v>
      </c>
      <c r="E380" s="65"/>
      <c r="F380" s="65"/>
      <c r="G380" s="66"/>
      <c r="H380" s="65"/>
      <c r="I380" s="65"/>
      <c r="J380" s="58"/>
      <c r="K380" s="58"/>
      <c r="L380" s="79" t="e">
        <f>VLOOKUP(K380,[1]코드!$B$3:$C$29,2,FALSE)</f>
        <v>#N/A</v>
      </c>
      <c r="M380" s="58"/>
      <c r="N380" s="58"/>
      <c r="O380" s="63"/>
      <c r="P380" s="63"/>
      <c r="Q380" s="63"/>
      <c r="R380" s="63"/>
      <c r="S380" s="63"/>
      <c r="T380" s="62">
        <v>0</v>
      </c>
      <c r="U380" s="61"/>
      <c r="V380" s="60" t="s">
        <v>126</v>
      </c>
    </row>
    <row r="381" spans="1:29" ht="17.25" customHeight="1">
      <c r="A381" s="59" t="s">
        <v>257</v>
      </c>
      <c r="B381" s="67" t="s">
        <v>256</v>
      </c>
      <c r="C381" s="153" t="s">
        <v>133</v>
      </c>
      <c r="D381" s="152" t="str">
        <f>VLOOKUP(C381,[1]코드!$E$3:$F$29,2,FALSE)</f>
        <v>8621</v>
      </c>
      <c r="E381" s="154" t="s">
        <v>301</v>
      </c>
      <c r="F381" s="153" t="s">
        <v>322</v>
      </c>
      <c r="G381" s="154"/>
      <c r="H381" s="153"/>
      <c r="I381" s="153"/>
      <c r="J381" s="67"/>
      <c r="K381" s="67"/>
      <c r="L381" s="152"/>
      <c r="M381" s="67"/>
      <c r="N381" s="67"/>
      <c r="O381" s="151"/>
      <c r="P381" s="151"/>
      <c r="Q381" s="151"/>
      <c r="R381" s="151"/>
      <c r="S381" s="63"/>
      <c r="T381" s="149">
        <v>0</v>
      </c>
      <c r="U381" s="148"/>
      <c r="V381" s="60" t="e">
        <f t="shared" ref="V381:V390" si="25">T381/R381</f>
        <v>#DIV/0!</v>
      </c>
    </row>
    <row r="382" spans="1:29" ht="17.25" customHeight="1">
      <c r="A382" s="59" t="s">
        <v>257</v>
      </c>
      <c r="B382" s="58" t="s">
        <v>256</v>
      </c>
      <c r="C382" s="65" t="s">
        <v>188</v>
      </c>
      <c r="D382" s="58" t="str">
        <f>VLOOKUP(C382,코드!$E$3:$F$30,2,FALSE)</f>
        <v>8725</v>
      </c>
      <c r="E382" s="66" t="s">
        <v>301</v>
      </c>
      <c r="F382" s="65" t="s">
        <v>318</v>
      </c>
      <c r="G382" s="66" t="s">
        <v>321</v>
      </c>
      <c r="H382" s="65" t="s">
        <v>320</v>
      </c>
      <c r="I382" s="65" t="s">
        <v>319</v>
      </c>
      <c r="J382" s="58" t="s">
        <v>205</v>
      </c>
      <c r="K382" s="58" t="s">
        <v>20</v>
      </c>
      <c r="L382" s="58">
        <f>VLOOKUP(K382,코드!$B$3:$C$29,2,FALSE)</f>
        <v>4211402</v>
      </c>
      <c r="M382" s="58" t="s">
        <v>204</v>
      </c>
      <c r="N382" s="130" t="s">
        <v>298</v>
      </c>
      <c r="O382" s="63">
        <v>30000000</v>
      </c>
      <c r="P382" s="63">
        <v>1</v>
      </c>
      <c r="Q382" s="63">
        <v>1</v>
      </c>
      <c r="R382" s="63">
        <f t="shared" ref="R382:R387" si="26">O382*P382*Q382</f>
        <v>30000000</v>
      </c>
      <c r="S382" s="63"/>
      <c r="T382" s="62"/>
      <c r="U382" s="61"/>
      <c r="V382" s="60">
        <f t="shared" si="25"/>
        <v>0</v>
      </c>
      <c r="W382" s="146">
        <v>46185</v>
      </c>
    </row>
    <row r="383" spans="1:29" ht="17.25" customHeight="1">
      <c r="A383" s="59" t="s">
        <v>257</v>
      </c>
      <c r="B383" s="58" t="s">
        <v>256</v>
      </c>
      <c r="C383" s="65" t="s">
        <v>88</v>
      </c>
      <c r="D383" s="58">
        <f>VLOOKUP(C383,코드!$E$3:$F$30,2,FALSE)</f>
        <v>8719</v>
      </c>
      <c r="E383" s="66" t="s">
        <v>301</v>
      </c>
      <c r="F383" s="65" t="s">
        <v>318</v>
      </c>
      <c r="G383" s="66" t="s">
        <v>317</v>
      </c>
      <c r="H383" s="65" t="s">
        <v>317</v>
      </c>
      <c r="I383" s="65" t="s">
        <v>317</v>
      </c>
      <c r="J383" s="58" t="s">
        <v>205</v>
      </c>
      <c r="K383" s="58" t="s">
        <v>148</v>
      </c>
      <c r="L383" s="58">
        <f>VLOOKUP(K383,코드!$B$3:$C$29,2,FALSE)</f>
        <v>1314901</v>
      </c>
      <c r="M383" s="58" t="s">
        <v>204</v>
      </c>
      <c r="N383" s="130" t="s">
        <v>298</v>
      </c>
      <c r="O383" s="63">
        <v>76000000</v>
      </c>
      <c r="P383" s="63">
        <v>1</v>
      </c>
      <c r="Q383" s="63">
        <v>1</v>
      </c>
      <c r="R383" s="63">
        <f t="shared" si="26"/>
        <v>76000000</v>
      </c>
      <c r="S383" s="63"/>
      <c r="T383" s="62">
        <v>76000000</v>
      </c>
      <c r="U383" s="61" t="s">
        <v>316</v>
      </c>
      <c r="V383" s="60">
        <f t="shared" si="25"/>
        <v>1</v>
      </c>
      <c r="W383" s="5">
        <v>73500000</v>
      </c>
      <c r="X383" s="6" t="s">
        <v>315</v>
      </c>
    </row>
    <row r="384" spans="1:29" ht="17.25" customHeight="1">
      <c r="A384" s="59" t="s">
        <v>257</v>
      </c>
      <c r="B384" s="58" t="s">
        <v>256</v>
      </c>
      <c r="C384" s="65" t="s">
        <v>314</v>
      </c>
      <c r="D384" s="58">
        <f>VLOOKUP(C384,코드!$E$3:$F$30,2,FALSE)</f>
        <v>8693</v>
      </c>
      <c r="E384" s="66" t="s">
        <v>301</v>
      </c>
      <c r="F384" s="65" t="s">
        <v>300</v>
      </c>
      <c r="G384" s="66" t="s">
        <v>313</v>
      </c>
      <c r="H384" s="65" t="s">
        <v>312</v>
      </c>
      <c r="I384" s="65" t="s">
        <v>311</v>
      </c>
      <c r="J384" s="58" t="s">
        <v>205</v>
      </c>
      <c r="K384" s="147" t="s">
        <v>114</v>
      </c>
      <c r="L384" s="58">
        <f>VLOOKUP(K384,코드!$B$3:$C$29,2,FALSE)</f>
        <v>1314903</v>
      </c>
      <c r="M384" s="58" t="s">
        <v>204</v>
      </c>
      <c r="N384" s="130" t="s">
        <v>298</v>
      </c>
      <c r="O384" s="63">
        <v>500000000</v>
      </c>
      <c r="P384" s="63">
        <v>1</v>
      </c>
      <c r="Q384" s="63">
        <v>1</v>
      </c>
      <c r="R384" s="63">
        <f t="shared" si="26"/>
        <v>500000000</v>
      </c>
      <c r="S384" s="63"/>
      <c r="T384" s="62">
        <v>500000000</v>
      </c>
      <c r="U384" s="61" t="s">
        <v>127</v>
      </c>
      <c r="V384" s="60">
        <f t="shared" si="25"/>
        <v>1</v>
      </c>
    </row>
    <row r="385" spans="1:29" ht="17.25" customHeight="1">
      <c r="A385" s="59" t="s">
        <v>257</v>
      </c>
      <c r="B385" s="58" t="s">
        <v>256</v>
      </c>
      <c r="C385" s="65" t="s">
        <v>210</v>
      </c>
      <c r="D385" s="58" t="str">
        <f>VLOOKUP(C385,코드!$E$3:$F$30,2,FALSE)</f>
        <v>8673</v>
      </c>
      <c r="E385" s="66" t="s">
        <v>301</v>
      </c>
      <c r="F385" s="65" t="s">
        <v>300</v>
      </c>
      <c r="G385" s="66" t="s">
        <v>309</v>
      </c>
      <c r="H385" s="66" t="s">
        <v>309</v>
      </c>
      <c r="I385" s="65" t="s">
        <v>308</v>
      </c>
      <c r="J385" s="58" t="s">
        <v>205</v>
      </c>
      <c r="K385" s="58" t="s">
        <v>20</v>
      </c>
      <c r="L385" s="58">
        <v>4211402</v>
      </c>
      <c r="M385" s="58" t="s">
        <v>204</v>
      </c>
      <c r="N385" s="130" t="s">
        <v>298</v>
      </c>
      <c r="O385" s="63">
        <v>5500000</v>
      </c>
      <c r="P385" s="63">
        <v>1</v>
      </c>
      <c r="Q385" s="63">
        <v>1</v>
      </c>
      <c r="R385" s="63">
        <f t="shared" si="26"/>
        <v>5500000</v>
      </c>
      <c r="S385" s="63"/>
      <c r="T385" s="62">
        <f>P385*Q385*R385</f>
        <v>5500000</v>
      </c>
      <c r="U385" s="61" t="s">
        <v>306</v>
      </c>
      <c r="V385" s="60">
        <f t="shared" si="25"/>
        <v>1</v>
      </c>
      <c r="W385" s="146">
        <v>46218</v>
      </c>
    </row>
    <row r="386" spans="1:29" ht="17.25" customHeight="1">
      <c r="A386" s="59" t="s">
        <v>257</v>
      </c>
      <c r="B386" s="58" t="s">
        <v>256</v>
      </c>
      <c r="C386" s="65" t="s">
        <v>210</v>
      </c>
      <c r="D386" s="58" t="str">
        <f>VLOOKUP(C386,코드!$E$3:$F$30,2,FALSE)</f>
        <v>8673</v>
      </c>
      <c r="E386" s="66" t="s">
        <v>301</v>
      </c>
      <c r="F386" s="65" t="s">
        <v>300</v>
      </c>
      <c r="G386" s="66" t="s">
        <v>309</v>
      </c>
      <c r="H386" s="66" t="s">
        <v>309</v>
      </c>
      <c r="I386" s="65" t="s">
        <v>308</v>
      </c>
      <c r="J386" s="58" t="s">
        <v>205</v>
      </c>
      <c r="K386" s="58" t="s">
        <v>310</v>
      </c>
      <c r="L386" s="58">
        <v>4223401</v>
      </c>
      <c r="M386" s="58" t="s">
        <v>204</v>
      </c>
      <c r="N386" s="130" t="s">
        <v>298</v>
      </c>
      <c r="O386" s="63">
        <v>7160000</v>
      </c>
      <c r="P386" s="63">
        <v>1</v>
      </c>
      <c r="Q386" s="63">
        <v>1</v>
      </c>
      <c r="R386" s="63">
        <f t="shared" si="26"/>
        <v>7160000</v>
      </c>
      <c r="S386" s="63"/>
      <c r="T386" s="62">
        <f>P386*Q386*R386</f>
        <v>7160000</v>
      </c>
      <c r="U386" s="61" t="s">
        <v>306</v>
      </c>
      <c r="V386" s="60">
        <f t="shared" si="25"/>
        <v>1</v>
      </c>
      <c r="W386" s="146">
        <v>46218</v>
      </c>
    </row>
    <row r="387" spans="1:29" ht="17.25" customHeight="1">
      <c r="A387" s="59" t="s">
        <v>257</v>
      </c>
      <c r="B387" s="58" t="s">
        <v>256</v>
      </c>
      <c r="C387" s="65" t="s">
        <v>210</v>
      </c>
      <c r="D387" s="58" t="str">
        <f>VLOOKUP(C387,코드!$E$3:$F$30,2,FALSE)</f>
        <v>8673</v>
      </c>
      <c r="E387" s="66" t="s">
        <v>301</v>
      </c>
      <c r="F387" s="65" t="s">
        <v>300</v>
      </c>
      <c r="G387" s="66" t="s">
        <v>309</v>
      </c>
      <c r="H387" s="66" t="s">
        <v>309</v>
      </c>
      <c r="I387" s="65" t="s">
        <v>308</v>
      </c>
      <c r="J387" s="58" t="s">
        <v>205</v>
      </c>
      <c r="K387" s="58" t="s">
        <v>307</v>
      </c>
      <c r="L387" s="58">
        <v>1315901</v>
      </c>
      <c r="M387" s="58" t="s">
        <v>204</v>
      </c>
      <c r="N387" s="130" t="s">
        <v>298</v>
      </c>
      <c r="O387" s="63">
        <v>14520000</v>
      </c>
      <c r="P387" s="63">
        <v>1</v>
      </c>
      <c r="Q387" s="63">
        <v>1</v>
      </c>
      <c r="R387" s="63">
        <f t="shared" si="26"/>
        <v>14520000</v>
      </c>
      <c r="S387" s="63"/>
      <c r="T387" s="62">
        <f>P387*Q387*R387</f>
        <v>14520000</v>
      </c>
      <c r="U387" s="61" t="s">
        <v>306</v>
      </c>
      <c r="V387" s="60">
        <f t="shared" si="25"/>
        <v>1</v>
      </c>
      <c r="W387" s="146">
        <v>46218</v>
      </c>
    </row>
    <row r="388" spans="1:29" ht="17.25" customHeight="1">
      <c r="A388" s="59" t="s">
        <v>257</v>
      </c>
      <c r="B388" s="58" t="s">
        <v>256</v>
      </c>
      <c r="C388" s="65" t="s">
        <v>305</v>
      </c>
      <c r="D388" s="58">
        <v>8692</v>
      </c>
      <c r="E388" s="66" t="s">
        <v>301</v>
      </c>
      <c r="F388" s="65" t="s">
        <v>300</v>
      </c>
      <c r="G388" s="66"/>
      <c r="H388" s="65"/>
      <c r="I388" s="65"/>
      <c r="J388" s="58" t="s">
        <v>205</v>
      </c>
      <c r="K388" s="58" t="s">
        <v>114</v>
      </c>
      <c r="L388" s="58">
        <v>1315901</v>
      </c>
      <c r="M388" s="58" t="s">
        <v>147</v>
      </c>
      <c r="N388" s="130" t="s">
        <v>298</v>
      </c>
      <c r="O388" s="63"/>
      <c r="P388" s="63"/>
      <c r="Q388" s="63"/>
      <c r="R388" s="63">
        <v>100000000</v>
      </c>
      <c r="S388" s="63"/>
      <c r="T388" s="97"/>
      <c r="U388" s="61"/>
      <c r="V388" s="145">
        <f t="shared" si="25"/>
        <v>0</v>
      </c>
      <c r="W388" s="144"/>
      <c r="Y388" s="44"/>
      <c r="AC388" s="44"/>
    </row>
    <row r="389" spans="1:29" s="5" customFormat="1" ht="17.25" customHeight="1">
      <c r="A389" s="59" t="s">
        <v>257</v>
      </c>
      <c r="B389" s="58" t="s">
        <v>134</v>
      </c>
      <c r="C389" s="65" t="s">
        <v>303</v>
      </c>
      <c r="D389" s="58" t="str">
        <f>VLOOKUP(C389,코드!$E$3:$F$30,2,FALSE)</f>
        <v>8671</v>
      </c>
      <c r="E389" s="66" t="s">
        <v>301</v>
      </c>
      <c r="F389" s="65" t="s">
        <v>300</v>
      </c>
      <c r="G389" s="81"/>
      <c r="H389" s="80"/>
      <c r="I389" s="65" t="s">
        <v>304</v>
      </c>
      <c r="J389" s="58" t="s">
        <v>58</v>
      </c>
      <c r="K389" s="58" t="s">
        <v>20</v>
      </c>
      <c r="L389" s="58">
        <f>VLOOKUP(K389,코드!$B$3:$C$29,2,FALSE)</f>
        <v>4211402</v>
      </c>
      <c r="M389" s="58" t="s">
        <v>204</v>
      </c>
      <c r="N389" s="130" t="s">
        <v>298</v>
      </c>
      <c r="O389" s="63">
        <v>400000000</v>
      </c>
      <c r="P389" s="63">
        <v>1</v>
      </c>
      <c r="Q389" s="63">
        <v>1</v>
      </c>
      <c r="R389" s="63">
        <f>O389*P389*Q389</f>
        <v>400000000</v>
      </c>
      <c r="S389" s="63"/>
      <c r="T389" s="62"/>
      <c r="U389" s="61"/>
      <c r="V389" s="60">
        <f t="shared" si="25"/>
        <v>0</v>
      </c>
      <c r="X389" s="6"/>
    </row>
    <row r="390" spans="1:29" s="5" customFormat="1" ht="17.25" customHeight="1">
      <c r="A390" s="59" t="s">
        <v>257</v>
      </c>
      <c r="B390" s="58" t="s">
        <v>134</v>
      </c>
      <c r="C390" s="65" t="s">
        <v>303</v>
      </c>
      <c r="D390" s="58" t="str">
        <f>VLOOKUP(C390,코드!$E$3:$F$30,2,FALSE)</f>
        <v>8671</v>
      </c>
      <c r="E390" s="66" t="s">
        <v>301</v>
      </c>
      <c r="F390" s="65" t="s">
        <v>300</v>
      </c>
      <c r="G390" s="81"/>
      <c r="H390" s="80"/>
      <c r="I390" s="65" t="s">
        <v>302</v>
      </c>
      <c r="J390" s="58" t="s">
        <v>58</v>
      </c>
      <c r="K390" s="58" t="s">
        <v>20</v>
      </c>
      <c r="L390" s="58">
        <f>VLOOKUP(K390,코드!$B$3:$C$29,2,FALSE)</f>
        <v>4211402</v>
      </c>
      <c r="M390" s="58" t="s">
        <v>204</v>
      </c>
      <c r="N390" s="130" t="s">
        <v>298</v>
      </c>
      <c r="O390" s="63">
        <v>400000000</v>
      </c>
      <c r="P390" s="63">
        <v>1</v>
      </c>
      <c r="Q390" s="63">
        <v>1</v>
      </c>
      <c r="R390" s="63">
        <v>72000000</v>
      </c>
      <c r="S390" s="63"/>
      <c r="T390" s="62"/>
      <c r="U390" s="61"/>
      <c r="V390" s="60">
        <f t="shared" si="25"/>
        <v>0</v>
      </c>
      <c r="X390" s="6"/>
    </row>
    <row r="391" spans="1:29" ht="17.25" customHeight="1">
      <c r="A391" s="59" t="s">
        <v>257</v>
      </c>
      <c r="B391" s="58"/>
      <c r="C391" s="65"/>
      <c r="D391" s="79" t="e">
        <f>VLOOKUP(C391,[1]코드!$E$3:$F$29,2,FALSE)</f>
        <v>#N/A</v>
      </c>
      <c r="E391" s="65"/>
      <c r="F391" s="65"/>
      <c r="G391" s="65"/>
      <c r="H391" s="65"/>
      <c r="I391" s="65"/>
      <c r="J391" s="58"/>
      <c r="K391" s="58"/>
      <c r="L391" s="79" t="e">
        <f>VLOOKUP(K391,[1]코드!$B$3:$C$29,2,FALSE)</f>
        <v>#N/A</v>
      </c>
      <c r="M391" s="58"/>
      <c r="N391" s="58"/>
      <c r="O391" s="63"/>
      <c r="P391" s="63"/>
      <c r="Q391" s="63"/>
      <c r="R391" s="63"/>
      <c r="S391" s="63"/>
      <c r="T391" s="62">
        <v>0</v>
      </c>
      <c r="U391" s="61"/>
      <c r="V391" s="60" t="s">
        <v>126</v>
      </c>
    </row>
    <row r="392" spans="1:29" s="59" customFormat="1" ht="17.25" customHeight="1">
      <c r="A392" s="59" t="s">
        <v>257</v>
      </c>
      <c r="B392" s="79" t="s">
        <v>256</v>
      </c>
      <c r="C392" s="71" t="s">
        <v>255</v>
      </c>
      <c r="D392" s="79" t="str">
        <f>VLOOKUP(C392,[1]코드!$E$3:$F$29,2,FALSE)</f>
        <v>8623</v>
      </c>
      <c r="E392" s="61" t="s">
        <v>254</v>
      </c>
      <c r="F392" s="61" t="s">
        <v>296</v>
      </c>
      <c r="G392" s="61" t="s">
        <v>295</v>
      </c>
      <c r="H392" s="61" t="s">
        <v>294</v>
      </c>
      <c r="I392" s="61" t="s">
        <v>293</v>
      </c>
      <c r="J392" s="79" t="s">
        <v>130</v>
      </c>
      <c r="K392" s="79" t="s">
        <v>17</v>
      </c>
      <c r="L392" s="79">
        <f>VLOOKUP(K392,[1]코드!$B$3:$C$29,2,FALSE)</f>
        <v>4241130</v>
      </c>
      <c r="M392" s="79" t="s">
        <v>262</v>
      </c>
      <c r="N392" s="130" t="s">
        <v>258</v>
      </c>
      <c r="O392" s="82">
        <v>300000</v>
      </c>
      <c r="P392" s="82">
        <v>1</v>
      </c>
      <c r="Q392" s="82">
        <v>1</v>
      </c>
      <c r="R392" s="82">
        <v>1500000</v>
      </c>
      <c r="S392" s="82"/>
      <c r="T392" s="129">
        <v>1500000</v>
      </c>
      <c r="U392" s="71" t="s">
        <v>127</v>
      </c>
      <c r="V392" s="60">
        <f t="shared" ref="V392:V402" si="27">T392/R392</f>
        <v>1</v>
      </c>
      <c r="W392" s="46"/>
      <c r="X392" s="74"/>
      <c r="Y392" s="46"/>
      <c r="AC392" s="46"/>
    </row>
    <row r="393" spans="1:29" s="59" customFormat="1" ht="17.25" customHeight="1">
      <c r="A393" s="59" t="s">
        <v>257</v>
      </c>
      <c r="B393" s="79" t="s">
        <v>256</v>
      </c>
      <c r="C393" s="71" t="s">
        <v>255</v>
      </c>
      <c r="D393" s="79" t="str">
        <f>VLOOKUP(C393,[1]코드!$E$3:$F$29,2,FALSE)</f>
        <v>8623</v>
      </c>
      <c r="E393" s="61" t="s">
        <v>254</v>
      </c>
      <c r="F393" s="61" t="s">
        <v>292</v>
      </c>
      <c r="G393" s="61" t="s">
        <v>291</v>
      </c>
      <c r="H393" s="61" t="s">
        <v>290</v>
      </c>
      <c r="I393" s="61" t="s">
        <v>289</v>
      </c>
      <c r="J393" s="79" t="s">
        <v>130</v>
      </c>
      <c r="K393" s="79" t="s">
        <v>17</v>
      </c>
      <c r="L393" s="79">
        <f>VLOOKUP(K393,[1]코드!$B$3:$C$29,2,FALSE)</f>
        <v>4241130</v>
      </c>
      <c r="M393" s="79" t="s">
        <v>288</v>
      </c>
      <c r="N393" s="130" t="s">
        <v>258</v>
      </c>
      <c r="O393" s="82">
        <v>1200000</v>
      </c>
      <c r="P393" s="82">
        <v>1</v>
      </c>
      <c r="Q393" s="82">
        <v>1</v>
      </c>
      <c r="R393" s="82">
        <v>3900000</v>
      </c>
      <c r="S393" s="82"/>
      <c r="T393" s="129">
        <v>0</v>
      </c>
      <c r="U393" s="71" t="s">
        <v>127</v>
      </c>
      <c r="V393" s="60">
        <f t="shared" si="27"/>
        <v>0</v>
      </c>
      <c r="W393" s="46"/>
      <c r="X393" s="74"/>
      <c r="Y393" s="46"/>
      <c r="AC393" s="46"/>
    </row>
    <row r="394" spans="1:29" s="59" customFormat="1" ht="17.25" customHeight="1">
      <c r="A394" s="59" t="s">
        <v>257</v>
      </c>
      <c r="B394" s="79" t="s">
        <v>256</v>
      </c>
      <c r="C394" s="71" t="s">
        <v>255</v>
      </c>
      <c r="D394" s="79" t="str">
        <f>VLOOKUP(C394,[1]코드!$E$3:$F$29,2,FALSE)</f>
        <v>8623</v>
      </c>
      <c r="E394" s="61" t="s">
        <v>254</v>
      </c>
      <c r="F394" s="61" t="s">
        <v>274</v>
      </c>
      <c r="G394" s="61" t="s">
        <v>279</v>
      </c>
      <c r="H394" s="61" t="s">
        <v>286</v>
      </c>
      <c r="I394" s="61" t="s">
        <v>287</v>
      </c>
      <c r="J394" s="79" t="s">
        <v>130</v>
      </c>
      <c r="K394" s="79" t="s">
        <v>17</v>
      </c>
      <c r="L394" s="79">
        <f>VLOOKUP(K394,[1]코드!$B$3:$C$29,2,FALSE)</f>
        <v>4241130</v>
      </c>
      <c r="M394" s="79" t="s">
        <v>262</v>
      </c>
      <c r="N394" s="130" t="s">
        <v>258</v>
      </c>
      <c r="O394" s="82">
        <v>3000000</v>
      </c>
      <c r="P394" s="82">
        <v>1</v>
      </c>
      <c r="Q394" s="82">
        <v>1</v>
      </c>
      <c r="R394" s="82">
        <v>7700000</v>
      </c>
      <c r="S394" s="82"/>
      <c r="T394" s="197">
        <v>3000000</v>
      </c>
      <c r="U394" s="87" t="s">
        <v>127</v>
      </c>
      <c r="V394" s="60">
        <f t="shared" si="27"/>
        <v>0.38961038961038963</v>
      </c>
      <c r="W394" s="46"/>
      <c r="X394" s="74"/>
      <c r="Y394" s="46"/>
      <c r="AC394" s="46"/>
    </row>
    <row r="395" spans="1:29" s="59" customFormat="1" ht="17.25" customHeight="1">
      <c r="A395" s="59" t="s">
        <v>257</v>
      </c>
      <c r="B395" s="79" t="s">
        <v>256</v>
      </c>
      <c r="C395" s="71" t="s">
        <v>255</v>
      </c>
      <c r="D395" s="79" t="str">
        <f>VLOOKUP(C395,[1]코드!$E$3:$F$29,2,FALSE)</f>
        <v>8623</v>
      </c>
      <c r="E395" s="61" t="s">
        <v>254</v>
      </c>
      <c r="F395" s="61" t="s">
        <v>274</v>
      </c>
      <c r="G395" s="61" t="s">
        <v>279</v>
      </c>
      <c r="H395" s="61" t="s">
        <v>286</v>
      </c>
      <c r="I395" s="61" t="s">
        <v>285</v>
      </c>
      <c r="J395" s="79" t="s">
        <v>130</v>
      </c>
      <c r="K395" s="79" t="s">
        <v>18</v>
      </c>
      <c r="L395" s="79">
        <f>VLOOKUP(K395,[1]코드!$B$3:$C$29,2,FALSE)</f>
        <v>4233201</v>
      </c>
      <c r="M395" s="79" t="s">
        <v>266</v>
      </c>
      <c r="N395" s="130" t="s">
        <v>258</v>
      </c>
      <c r="O395" s="82">
        <v>85000</v>
      </c>
      <c r="P395" s="82">
        <v>1</v>
      </c>
      <c r="Q395" s="82">
        <v>2</v>
      </c>
      <c r="R395" s="82">
        <v>5500000</v>
      </c>
      <c r="S395" s="82"/>
      <c r="T395" s="197"/>
      <c r="U395" s="87" t="s">
        <v>127</v>
      </c>
      <c r="V395" s="60">
        <f t="shared" si="27"/>
        <v>0</v>
      </c>
      <c r="W395" s="46"/>
      <c r="X395" s="74"/>
      <c r="Y395" s="46"/>
      <c r="AC395" s="46"/>
    </row>
    <row r="396" spans="1:29" s="59" customFormat="1" ht="17.25" customHeight="1">
      <c r="A396" s="59" t="s">
        <v>257</v>
      </c>
      <c r="B396" s="79" t="s">
        <v>256</v>
      </c>
      <c r="C396" s="71" t="s">
        <v>255</v>
      </c>
      <c r="D396" s="79" t="str">
        <f>VLOOKUP(C396,[1]코드!$E$3:$F$29,2,FALSE)</f>
        <v>8623</v>
      </c>
      <c r="E396" s="61" t="s">
        <v>254</v>
      </c>
      <c r="F396" s="61" t="s">
        <v>284</v>
      </c>
      <c r="G396" s="61" t="s">
        <v>283</v>
      </c>
      <c r="H396" s="61" t="s">
        <v>282</v>
      </c>
      <c r="I396" s="61" t="s">
        <v>281</v>
      </c>
      <c r="J396" s="72" t="s">
        <v>130</v>
      </c>
      <c r="K396" s="79" t="s">
        <v>17</v>
      </c>
      <c r="L396" s="79">
        <f>VLOOKUP(K396,[1]코드!$B$3:$C$29,2,FALSE)</f>
        <v>4241130</v>
      </c>
      <c r="M396" s="79" t="s">
        <v>280</v>
      </c>
      <c r="N396" s="130" t="s">
        <v>258</v>
      </c>
      <c r="O396" s="131">
        <v>0</v>
      </c>
      <c r="P396" s="82">
        <v>1</v>
      </c>
      <c r="Q396" s="82">
        <v>1</v>
      </c>
      <c r="R396" s="130">
        <v>1180000</v>
      </c>
      <c r="S396" s="131"/>
      <c r="T396" s="165">
        <v>170000</v>
      </c>
      <c r="U396" s="87" t="s">
        <v>127</v>
      </c>
      <c r="V396" s="60">
        <f t="shared" si="27"/>
        <v>0.1440677966101695</v>
      </c>
      <c r="W396" s="46"/>
      <c r="X396" s="74"/>
      <c r="Y396" s="46"/>
      <c r="AC396" s="46"/>
    </row>
    <row r="397" spans="1:29" s="59" customFormat="1" ht="17.25" customHeight="1">
      <c r="A397" s="59" t="s">
        <v>257</v>
      </c>
      <c r="B397" s="79" t="s">
        <v>256</v>
      </c>
      <c r="C397" s="71" t="s">
        <v>255</v>
      </c>
      <c r="D397" s="79" t="str">
        <f>VLOOKUP(C397,[1]코드!$E$3:$F$29,2,FALSE)</f>
        <v>8623</v>
      </c>
      <c r="E397" s="61" t="s">
        <v>254</v>
      </c>
      <c r="F397" s="61" t="s">
        <v>274</v>
      </c>
      <c r="G397" s="61" t="s">
        <v>279</v>
      </c>
      <c r="H397" s="61" t="s">
        <v>278</v>
      </c>
      <c r="I397" s="61" t="s">
        <v>277</v>
      </c>
      <c r="J397" s="79" t="s">
        <v>205</v>
      </c>
      <c r="K397" s="79" t="s">
        <v>32</v>
      </c>
      <c r="L397" s="79">
        <f>VLOOKUP(K397,[1]코드!$B$3:$C$29,2,FALSE)</f>
        <v>1315903</v>
      </c>
      <c r="M397" s="79" t="s">
        <v>276</v>
      </c>
      <c r="N397" s="130" t="s">
        <v>270</v>
      </c>
      <c r="O397" s="131">
        <v>0</v>
      </c>
      <c r="P397" s="82">
        <v>1</v>
      </c>
      <c r="Q397" s="82">
        <v>1</v>
      </c>
      <c r="R397" s="131">
        <v>4000000</v>
      </c>
      <c r="S397" s="131"/>
      <c r="T397" s="165">
        <v>0</v>
      </c>
      <c r="U397" s="71"/>
      <c r="V397" s="60">
        <f t="shared" si="27"/>
        <v>0</v>
      </c>
      <c r="W397" s="46"/>
      <c r="X397" s="74"/>
      <c r="Y397" s="46"/>
      <c r="AC397" s="46"/>
    </row>
    <row r="398" spans="1:29" s="59" customFormat="1" ht="17.25" customHeight="1">
      <c r="A398" s="59" t="s">
        <v>257</v>
      </c>
      <c r="B398" s="79" t="s">
        <v>256</v>
      </c>
      <c r="C398" s="71" t="s">
        <v>255</v>
      </c>
      <c r="D398" s="79" t="str">
        <f>VLOOKUP(C398,[1]코드!$E$3:$F$29,2,FALSE)</f>
        <v>8623</v>
      </c>
      <c r="E398" s="61" t="s">
        <v>275</v>
      </c>
      <c r="F398" s="61" t="s">
        <v>274</v>
      </c>
      <c r="G398" s="61" t="s">
        <v>273</v>
      </c>
      <c r="H398" s="61" t="s">
        <v>272</v>
      </c>
      <c r="I398" s="61" t="s">
        <v>271</v>
      </c>
      <c r="J398" s="133" t="s">
        <v>205</v>
      </c>
      <c r="K398" s="79" t="s">
        <v>33</v>
      </c>
      <c r="L398" s="79">
        <f>VLOOKUP(K398,[1]코드!$B$3:$C$29,2,FALSE)</f>
        <v>1314903</v>
      </c>
      <c r="M398" s="79" t="s">
        <v>147</v>
      </c>
      <c r="N398" s="130" t="s">
        <v>270</v>
      </c>
      <c r="O398" s="131">
        <v>20000000</v>
      </c>
      <c r="P398" s="82">
        <v>1</v>
      </c>
      <c r="Q398" s="82">
        <v>1</v>
      </c>
      <c r="R398" s="131">
        <v>9000000</v>
      </c>
      <c r="S398" s="131"/>
      <c r="T398" s="129">
        <v>0</v>
      </c>
      <c r="U398" s="71"/>
      <c r="V398" s="60">
        <f t="shared" si="27"/>
        <v>0</v>
      </c>
      <c r="W398" s="46"/>
      <c r="X398" s="74"/>
      <c r="Y398" s="46"/>
      <c r="AC398" s="46"/>
    </row>
    <row r="399" spans="1:29" s="59" customFormat="1" ht="17.25" customHeight="1">
      <c r="A399" s="59" t="s">
        <v>257</v>
      </c>
      <c r="B399" s="79" t="s">
        <v>256</v>
      </c>
      <c r="C399" s="71" t="s">
        <v>255</v>
      </c>
      <c r="D399" s="79" t="str">
        <f>VLOOKUP(C399,[1]코드!$E$3:$F$29,2,FALSE)</f>
        <v>8623</v>
      </c>
      <c r="E399" s="61" t="s">
        <v>254</v>
      </c>
      <c r="F399" s="61" t="s">
        <v>253</v>
      </c>
      <c r="G399" s="61" t="s">
        <v>269</v>
      </c>
      <c r="H399" s="61" t="s">
        <v>268</v>
      </c>
      <c r="I399" s="61" t="s">
        <v>267</v>
      </c>
      <c r="J399" s="79" t="s">
        <v>130</v>
      </c>
      <c r="K399" s="79" t="s">
        <v>18</v>
      </c>
      <c r="L399" s="79">
        <f>VLOOKUP(K399,[1]코드!$B$3:$C$29,2,FALSE)</f>
        <v>4233201</v>
      </c>
      <c r="M399" s="79" t="s">
        <v>266</v>
      </c>
      <c r="N399" s="130" t="s">
        <v>258</v>
      </c>
      <c r="O399" s="82">
        <v>3000000</v>
      </c>
      <c r="P399" s="82">
        <v>1</v>
      </c>
      <c r="Q399" s="82">
        <v>1</v>
      </c>
      <c r="R399" s="82">
        <v>75000000</v>
      </c>
      <c r="S399" s="82"/>
      <c r="T399" s="129">
        <v>20000000</v>
      </c>
      <c r="U399" s="71" t="s">
        <v>127</v>
      </c>
      <c r="V399" s="60">
        <f t="shared" si="27"/>
        <v>0.26666666666666666</v>
      </c>
      <c r="W399" s="46"/>
      <c r="X399" s="74"/>
      <c r="Y399" s="46"/>
      <c r="AC399" s="46"/>
    </row>
    <row r="400" spans="1:29" s="59" customFormat="1" ht="17.25" customHeight="1">
      <c r="A400" s="59" t="s">
        <v>257</v>
      </c>
      <c r="B400" s="79" t="s">
        <v>256</v>
      </c>
      <c r="C400" s="71" t="s">
        <v>255</v>
      </c>
      <c r="D400" s="79" t="str">
        <f>VLOOKUP(C400,[1]코드!$E$3:$F$29,2,FALSE)</f>
        <v>8623</v>
      </c>
      <c r="E400" s="61" t="s">
        <v>254</v>
      </c>
      <c r="F400" s="61" t="s">
        <v>253</v>
      </c>
      <c r="G400" s="61" t="s">
        <v>265</v>
      </c>
      <c r="H400" s="61" t="s">
        <v>264</v>
      </c>
      <c r="I400" s="61" t="s">
        <v>263</v>
      </c>
      <c r="J400" s="79" t="s">
        <v>130</v>
      </c>
      <c r="K400" s="79" t="s">
        <v>17</v>
      </c>
      <c r="L400" s="79">
        <f>VLOOKUP(K400,[1]코드!$B$3:$C$29,2,FALSE)</f>
        <v>4241130</v>
      </c>
      <c r="M400" s="79" t="s">
        <v>262</v>
      </c>
      <c r="N400" s="130" t="s">
        <v>258</v>
      </c>
      <c r="O400" s="82">
        <v>2000000</v>
      </c>
      <c r="P400" s="82">
        <v>1</v>
      </c>
      <c r="Q400" s="82">
        <v>1</v>
      </c>
      <c r="R400" s="82">
        <v>4380000</v>
      </c>
      <c r="S400" s="82"/>
      <c r="T400" s="129">
        <v>3000000</v>
      </c>
      <c r="U400" s="71" t="s">
        <v>127</v>
      </c>
      <c r="V400" s="60">
        <f t="shared" si="27"/>
        <v>0.68493150684931503</v>
      </c>
      <c r="W400" s="46"/>
      <c r="X400" s="74"/>
      <c r="Y400" s="46"/>
      <c r="AC400" s="46"/>
    </row>
    <row r="401" spans="1:29" s="59" customFormat="1" ht="17.25" customHeight="1">
      <c r="A401" s="59" t="s">
        <v>257</v>
      </c>
      <c r="B401" s="79" t="s">
        <v>256</v>
      </c>
      <c r="C401" s="71" t="s">
        <v>255</v>
      </c>
      <c r="D401" s="79" t="str">
        <f>VLOOKUP(C401,[1]코드!$E$3:$F$29,2,FALSE)</f>
        <v>8623</v>
      </c>
      <c r="E401" s="61" t="s">
        <v>254</v>
      </c>
      <c r="F401" s="61" t="s">
        <v>253</v>
      </c>
      <c r="G401" s="61" t="s">
        <v>252</v>
      </c>
      <c r="H401" s="61" t="s">
        <v>261</v>
      </c>
      <c r="I401" s="61" t="s">
        <v>260</v>
      </c>
      <c r="J401" s="79" t="s">
        <v>130</v>
      </c>
      <c r="K401" s="79" t="s">
        <v>17</v>
      </c>
      <c r="L401" s="79"/>
      <c r="M401" s="79" t="s">
        <v>259</v>
      </c>
      <c r="N401" s="130" t="s">
        <v>258</v>
      </c>
      <c r="O401" s="82"/>
      <c r="P401" s="82"/>
      <c r="Q401" s="82"/>
      <c r="R401" s="82">
        <v>2000000</v>
      </c>
      <c r="S401" s="82"/>
      <c r="T401" s="129">
        <v>2000000</v>
      </c>
      <c r="U401" s="87" t="s">
        <v>127</v>
      </c>
      <c r="V401" s="60">
        <f t="shared" si="27"/>
        <v>1</v>
      </c>
      <c r="W401" s="46"/>
      <c r="X401" s="74"/>
      <c r="Y401" s="46"/>
      <c r="AC401" s="46"/>
    </row>
    <row r="402" spans="1:29" s="59" customFormat="1" ht="17.25" customHeight="1">
      <c r="A402" s="59" t="s">
        <v>257</v>
      </c>
      <c r="B402" s="79" t="s">
        <v>256</v>
      </c>
      <c r="C402" s="71" t="s">
        <v>255</v>
      </c>
      <c r="D402" s="79" t="str">
        <f>VLOOKUP(C402,[1]코드!$E$3:$F$29,2,FALSE)</f>
        <v>8623</v>
      </c>
      <c r="E402" s="61" t="s">
        <v>254</v>
      </c>
      <c r="F402" s="61" t="s">
        <v>253</v>
      </c>
      <c r="G402" s="61" t="s">
        <v>252</v>
      </c>
      <c r="H402" s="70" t="s">
        <v>251</v>
      </c>
      <c r="I402" s="70" t="s">
        <v>250</v>
      </c>
      <c r="J402" s="128" t="s">
        <v>84</v>
      </c>
      <c r="K402" s="68" t="s">
        <v>22</v>
      </c>
      <c r="L402" s="68">
        <f>VLOOKUP(K402,코드!$B$3:$C$29,2,FALSE)</f>
        <v>4118701</v>
      </c>
      <c r="M402" s="69" t="s">
        <v>96</v>
      </c>
      <c r="N402" s="68" t="s">
        <v>68</v>
      </c>
      <c r="O402" s="82"/>
      <c r="P402" s="82"/>
      <c r="Q402" s="82"/>
      <c r="R402" s="82">
        <v>38018400</v>
      </c>
      <c r="S402" s="82"/>
      <c r="T402" s="82">
        <v>38018400</v>
      </c>
      <c r="U402" s="61" t="s">
        <v>67</v>
      </c>
      <c r="V402" s="60">
        <f t="shared" si="27"/>
        <v>1</v>
      </c>
      <c r="W402" s="46"/>
      <c r="X402" s="74"/>
      <c r="Y402" s="46"/>
      <c r="AC402" s="46"/>
    </row>
    <row r="403" spans="1:29" ht="17.25" customHeight="1">
      <c r="B403" s="58"/>
      <c r="C403" s="65"/>
      <c r="D403" s="58" t="e">
        <f>VLOOKUP(C403,코드!$E$3:$F$30,2,FALSE)</f>
        <v>#N/A</v>
      </c>
      <c r="E403" s="65"/>
      <c r="F403" s="65"/>
      <c r="G403" s="66"/>
      <c r="H403" s="65"/>
      <c r="I403" s="65"/>
      <c r="J403" s="58"/>
      <c r="K403" s="58"/>
      <c r="L403" s="58" t="e">
        <f>VLOOKUP(K403,코드!$B$3:$C$29,2,FALSE)</f>
        <v>#N/A</v>
      </c>
      <c r="M403" s="58"/>
      <c r="N403" s="58"/>
      <c r="O403" s="63"/>
      <c r="P403" s="63"/>
      <c r="Q403" s="63"/>
      <c r="R403" s="63"/>
      <c r="S403" s="63"/>
      <c r="T403" s="62">
        <v>0</v>
      </c>
      <c r="U403" s="61"/>
      <c r="V403" s="60" t="s">
        <v>126</v>
      </c>
    </row>
    <row r="404" spans="1:29" ht="17.25" customHeight="1">
      <c r="A404" s="4" t="s">
        <v>135</v>
      </c>
      <c r="B404" s="120" t="s">
        <v>134</v>
      </c>
      <c r="C404" s="123" t="s">
        <v>88</v>
      </c>
      <c r="D404" s="120">
        <f>VLOOKUP(C404,코드!$E$3:$F$30,2,FALSE)</f>
        <v>8719</v>
      </c>
      <c r="E404" s="124" t="s">
        <v>230</v>
      </c>
      <c r="F404" s="123" t="s">
        <v>249</v>
      </c>
      <c r="G404" s="124"/>
      <c r="H404" s="123"/>
      <c r="I404" s="122"/>
      <c r="J404" s="121" t="s">
        <v>130</v>
      </c>
      <c r="K404" s="121" t="s">
        <v>17</v>
      </c>
      <c r="L404" s="121">
        <f>VLOOKUP(K404,[1]코드!$B$3:$C$29,2,FALSE)</f>
        <v>4241130</v>
      </c>
      <c r="M404" s="120"/>
      <c r="N404" s="120"/>
      <c r="O404" s="119">
        <v>0</v>
      </c>
      <c r="P404" s="119">
        <v>0</v>
      </c>
      <c r="Q404" s="119">
        <v>0</v>
      </c>
      <c r="R404" s="119">
        <v>0</v>
      </c>
      <c r="S404" s="63"/>
      <c r="T404" s="126"/>
      <c r="U404" s="125"/>
      <c r="V404" s="117" t="e">
        <f>T404/R404</f>
        <v>#DIV/0!</v>
      </c>
    </row>
    <row r="405" spans="1:29" ht="17.25" customHeight="1">
      <c r="A405" s="4" t="s">
        <v>135</v>
      </c>
      <c r="B405" s="120" t="s">
        <v>134</v>
      </c>
      <c r="C405" s="123" t="s">
        <v>88</v>
      </c>
      <c r="D405" s="120">
        <f>VLOOKUP(C405,코드!$E$3:$F$30,2,FALSE)</f>
        <v>8719</v>
      </c>
      <c r="E405" s="124" t="s">
        <v>230</v>
      </c>
      <c r="F405" s="123" t="s">
        <v>248</v>
      </c>
      <c r="G405" s="124"/>
      <c r="H405" s="123"/>
      <c r="I405" s="122"/>
      <c r="J405" s="121" t="s">
        <v>130</v>
      </c>
      <c r="K405" s="121" t="s">
        <v>17</v>
      </c>
      <c r="L405" s="121">
        <f>VLOOKUP(K405,[1]코드!$B$3:$C$29,2,FALSE)</f>
        <v>4241130</v>
      </c>
      <c r="M405" s="120"/>
      <c r="N405" s="120"/>
      <c r="O405" s="119">
        <v>0</v>
      </c>
      <c r="P405" s="119">
        <v>0</v>
      </c>
      <c r="Q405" s="119">
        <v>0</v>
      </c>
      <c r="R405" s="119">
        <v>0</v>
      </c>
      <c r="S405" s="63"/>
      <c r="T405" s="126">
        <v>0</v>
      </c>
      <c r="U405" s="125"/>
      <c r="V405" s="117" t="e">
        <f>T405/R405</f>
        <v>#DIV/0!</v>
      </c>
    </row>
    <row r="406" spans="1:29" ht="17.25" customHeight="1">
      <c r="A406" s="4" t="s">
        <v>135</v>
      </c>
      <c r="B406" s="120" t="s">
        <v>134</v>
      </c>
      <c r="C406" s="123" t="s">
        <v>247</v>
      </c>
      <c r="D406" s="120" t="str">
        <f>VLOOKUP(C406,코드!$E$3:$F$30,2,FALSE)</f>
        <v>8711</v>
      </c>
      <c r="E406" s="124" t="s">
        <v>246</v>
      </c>
      <c r="F406" s="123" t="s">
        <v>234</v>
      </c>
      <c r="G406" s="124"/>
      <c r="H406" s="123"/>
      <c r="I406" s="122"/>
      <c r="J406" s="121" t="s">
        <v>130</v>
      </c>
      <c r="K406" s="121" t="s">
        <v>17</v>
      </c>
      <c r="L406" s="121">
        <f>VLOOKUP(K406,[1]코드!$B$3:$C$29,2,FALSE)</f>
        <v>4241130</v>
      </c>
      <c r="M406" s="120"/>
      <c r="N406" s="120" t="s">
        <v>245</v>
      </c>
      <c r="O406" s="119">
        <v>3000000</v>
      </c>
      <c r="P406" s="119">
        <v>1</v>
      </c>
      <c r="Q406" s="119">
        <v>1</v>
      </c>
      <c r="R406" s="119">
        <f>O406*P406*Q406</f>
        <v>3000000</v>
      </c>
      <c r="S406" s="63"/>
      <c r="T406" s="126">
        <v>0</v>
      </c>
      <c r="U406" s="125"/>
      <c r="V406" s="117">
        <f>T406/R406</f>
        <v>0</v>
      </c>
    </row>
    <row r="407" spans="1:29" ht="17.25" customHeight="1">
      <c r="A407" s="4" t="s">
        <v>135</v>
      </c>
      <c r="B407" s="58"/>
      <c r="C407" s="65"/>
      <c r="D407" s="58" t="e">
        <f>VLOOKUP(C407,코드!$E$3:$F$30,2,FALSE)</f>
        <v>#N/A</v>
      </c>
      <c r="E407" s="65"/>
      <c r="F407" s="65"/>
      <c r="G407" s="66"/>
      <c r="H407" s="65"/>
      <c r="I407" s="65"/>
      <c r="J407" s="58"/>
      <c r="K407" s="58"/>
      <c r="L407" s="58" t="e">
        <f>VLOOKUP(K407,코드!$B$3:$C$29,2,FALSE)</f>
        <v>#N/A</v>
      </c>
      <c r="M407" s="58"/>
      <c r="N407" s="58"/>
      <c r="O407" s="63"/>
      <c r="P407" s="63"/>
      <c r="Q407" s="63"/>
      <c r="R407" s="63"/>
      <c r="S407" s="63"/>
      <c r="T407" s="62">
        <v>0</v>
      </c>
      <c r="U407" s="61"/>
      <c r="V407" s="60" t="s">
        <v>126</v>
      </c>
    </row>
    <row r="408" spans="1:29" ht="17.25" customHeight="1">
      <c r="A408" s="4" t="s">
        <v>135</v>
      </c>
      <c r="B408" s="58" t="s">
        <v>134</v>
      </c>
      <c r="C408" s="65" t="s">
        <v>88</v>
      </c>
      <c r="D408" s="58">
        <f>VLOOKUP(C408,코드!$E$3:$F$30,2,FALSE)</f>
        <v>8719</v>
      </c>
      <c r="E408" s="66" t="s">
        <v>230</v>
      </c>
      <c r="F408" s="65" t="s">
        <v>229</v>
      </c>
      <c r="G408" s="66" t="s">
        <v>243</v>
      </c>
      <c r="H408" s="65" t="s">
        <v>242</v>
      </c>
      <c r="I408" s="65" t="s">
        <v>244</v>
      </c>
      <c r="J408" s="58" t="s">
        <v>130</v>
      </c>
      <c r="K408" s="58" t="s">
        <v>179</v>
      </c>
      <c r="L408" s="58">
        <f>VLOOKUP(K408,코드!$B$3:$C$29,2,FALSE)</f>
        <v>4233201</v>
      </c>
      <c r="M408" s="58" t="s">
        <v>120</v>
      </c>
      <c r="N408" s="58" t="s">
        <v>231</v>
      </c>
      <c r="O408" s="63">
        <v>10000000</v>
      </c>
      <c r="P408" s="63">
        <v>1</v>
      </c>
      <c r="Q408" s="63">
        <v>6</v>
      </c>
      <c r="R408" s="63">
        <v>55000000</v>
      </c>
      <c r="S408" s="63"/>
      <c r="T408" s="62"/>
      <c r="U408" s="61"/>
      <c r="V408" s="60">
        <f t="shared" ref="V408:V416" si="28">T408/R408</f>
        <v>0</v>
      </c>
    </row>
    <row r="409" spans="1:29" ht="17.25" customHeight="1">
      <c r="A409" s="4" t="s">
        <v>135</v>
      </c>
      <c r="B409" s="58" t="s">
        <v>134</v>
      </c>
      <c r="C409" s="65" t="s">
        <v>88</v>
      </c>
      <c r="D409" s="58">
        <f>VLOOKUP(C409,코드!$E$3:$F$30,2,FALSE)</f>
        <v>8719</v>
      </c>
      <c r="E409" s="66" t="s">
        <v>230</v>
      </c>
      <c r="F409" s="65" t="s">
        <v>229</v>
      </c>
      <c r="G409" s="66" t="s">
        <v>243</v>
      </c>
      <c r="H409" s="65" t="s">
        <v>242</v>
      </c>
      <c r="I409" s="65" t="s">
        <v>241</v>
      </c>
      <c r="J409" s="58" t="s">
        <v>130</v>
      </c>
      <c r="K409" s="58" t="s">
        <v>17</v>
      </c>
      <c r="L409" s="58">
        <f>VLOOKUP(K409,코드!$B$3:$C$29,2,FALSE)</f>
        <v>4241130</v>
      </c>
      <c r="M409" s="58" t="s">
        <v>129</v>
      </c>
      <c r="N409" s="58" t="s">
        <v>231</v>
      </c>
      <c r="O409" s="63"/>
      <c r="P409" s="63"/>
      <c r="Q409" s="63"/>
      <c r="R409" s="63">
        <v>10000000</v>
      </c>
      <c r="S409" s="63"/>
      <c r="T409" s="62"/>
      <c r="U409" s="61"/>
      <c r="V409" s="60">
        <f t="shared" si="28"/>
        <v>0</v>
      </c>
    </row>
    <row r="410" spans="1:29" ht="17.25" customHeight="1">
      <c r="A410" s="4" t="s">
        <v>135</v>
      </c>
      <c r="B410" s="58" t="s">
        <v>134</v>
      </c>
      <c r="C410" s="65" t="s">
        <v>88</v>
      </c>
      <c r="D410" s="58">
        <f>VLOOKUP(C410,코드!$E$3:$F$30,2,FALSE)</f>
        <v>8719</v>
      </c>
      <c r="E410" s="66" t="s">
        <v>230</v>
      </c>
      <c r="F410" s="65" t="s">
        <v>229</v>
      </c>
      <c r="G410" s="66" t="s">
        <v>228</v>
      </c>
      <c r="H410" s="65" t="s">
        <v>237</v>
      </c>
      <c r="I410" s="65" t="s">
        <v>240</v>
      </c>
      <c r="J410" s="58" t="s">
        <v>130</v>
      </c>
      <c r="K410" s="58" t="s">
        <v>17</v>
      </c>
      <c r="L410" s="58">
        <f>VLOOKUP(K410,코드!$B$3:$C$29,2,FALSE)</f>
        <v>4241130</v>
      </c>
      <c r="M410" s="58" t="s">
        <v>129</v>
      </c>
      <c r="N410" s="58" t="s">
        <v>231</v>
      </c>
      <c r="O410" s="63">
        <v>3200000</v>
      </c>
      <c r="P410" s="63">
        <v>1</v>
      </c>
      <c r="Q410" s="63">
        <v>1</v>
      </c>
      <c r="R410" s="63">
        <v>5000000</v>
      </c>
      <c r="S410" s="63"/>
      <c r="T410" s="62"/>
      <c r="U410" s="61"/>
      <c r="V410" s="60">
        <f t="shared" si="28"/>
        <v>0</v>
      </c>
    </row>
    <row r="411" spans="1:29" ht="17.25" customHeight="1">
      <c r="A411" s="4" t="s">
        <v>135</v>
      </c>
      <c r="B411" s="58" t="s">
        <v>134</v>
      </c>
      <c r="C411" s="65" t="s">
        <v>88</v>
      </c>
      <c r="D411" s="58">
        <f>VLOOKUP(C411,코드!$E$3:$F$30,2,FALSE)</f>
        <v>8719</v>
      </c>
      <c r="E411" s="66" t="s">
        <v>230</v>
      </c>
      <c r="F411" s="65" t="s">
        <v>229</v>
      </c>
      <c r="G411" s="66" t="s">
        <v>228</v>
      </c>
      <c r="H411" s="65" t="s">
        <v>237</v>
      </c>
      <c r="I411" s="65" t="s">
        <v>239</v>
      </c>
      <c r="J411" s="58" t="s">
        <v>130</v>
      </c>
      <c r="K411" s="58" t="s">
        <v>17</v>
      </c>
      <c r="L411" s="58">
        <f>VLOOKUP(K411,코드!$B$3:$C$29,2,FALSE)</f>
        <v>4241130</v>
      </c>
      <c r="M411" s="58" t="s">
        <v>129</v>
      </c>
      <c r="N411" s="58" t="s">
        <v>231</v>
      </c>
      <c r="O411" s="63"/>
      <c r="P411" s="63"/>
      <c r="Q411" s="63"/>
      <c r="R411" s="63">
        <v>1400000</v>
      </c>
      <c r="S411" s="63"/>
      <c r="T411" s="62"/>
      <c r="U411" s="61"/>
      <c r="V411" s="60">
        <f t="shared" si="28"/>
        <v>0</v>
      </c>
    </row>
    <row r="412" spans="1:29" ht="17.25" customHeight="1">
      <c r="A412" s="4" t="s">
        <v>135</v>
      </c>
      <c r="B412" s="58" t="s">
        <v>134</v>
      </c>
      <c r="C412" s="65" t="s">
        <v>88</v>
      </c>
      <c r="D412" s="58">
        <f>VLOOKUP(C412,코드!$E$3:$F$30,2,FALSE)</f>
        <v>8719</v>
      </c>
      <c r="E412" s="66" t="s">
        <v>230</v>
      </c>
      <c r="F412" s="65" t="s">
        <v>234</v>
      </c>
      <c r="G412" s="66" t="s">
        <v>228</v>
      </c>
      <c r="H412" s="65" t="s">
        <v>237</v>
      </c>
      <c r="I412" s="65" t="s">
        <v>238</v>
      </c>
      <c r="J412" s="58" t="s">
        <v>130</v>
      </c>
      <c r="K412" s="58" t="s">
        <v>11</v>
      </c>
      <c r="L412" s="58">
        <f>VLOOKUP(K412,코드!$B$3:$C$29,2,FALSE)</f>
        <v>4113401</v>
      </c>
      <c r="M412" s="58" t="s">
        <v>107</v>
      </c>
      <c r="N412" s="58" t="s">
        <v>231</v>
      </c>
      <c r="O412" s="63"/>
      <c r="P412" s="63"/>
      <c r="Q412" s="63"/>
      <c r="R412" s="63">
        <v>600000</v>
      </c>
      <c r="S412" s="63"/>
      <c r="T412" s="62"/>
      <c r="U412" s="61"/>
      <c r="V412" s="60">
        <f t="shared" si="28"/>
        <v>0</v>
      </c>
    </row>
    <row r="413" spans="1:29" ht="17.25" customHeight="1">
      <c r="A413" s="4" t="s">
        <v>135</v>
      </c>
      <c r="B413" s="58" t="s">
        <v>134</v>
      </c>
      <c r="C413" s="65" t="s">
        <v>88</v>
      </c>
      <c r="D413" s="58">
        <f>VLOOKUP(C413,코드!$E$3:$F$30,2,FALSE)</f>
        <v>8719</v>
      </c>
      <c r="E413" s="66" t="s">
        <v>230</v>
      </c>
      <c r="F413" s="65" t="s">
        <v>229</v>
      </c>
      <c r="G413" s="66" t="s">
        <v>228</v>
      </c>
      <c r="H413" s="65" t="s">
        <v>237</v>
      </c>
      <c r="I413" s="65" t="s">
        <v>236</v>
      </c>
      <c r="J413" s="58" t="s">
        <v>101</v>
      </c>
      <c r="K413" s="58" t="s">
        <v>9</v>
      </c>
      <c r="L413" s="58">
        <f>VLOOKUP(K413,코드!$B$3:$C$29,2,FALSE)</f>
        <v>4321701</v>
      </c>
      <c r="M413" s="58" t="s">
        <v>235</v>
      </c>
      <c r="N413" s="58" t="s">
        <v>224</v>
      </c>
      <c r="O413" s="63"/>
      <c r="P413" s="63"/>
      <c r="Q413" s="63"/>
      <c r="R413" s="63">
        <v>3000000</v>
      </c>
      <c r="S413" s="63"/>
      <c r="T413" s="62"/>
      <c r="U413" s="61"/>
      <c r="V413" s="60">
        <f t="shared" si="28"/>
        <v>0</v>
      </c>
    </row>
    <row r="414" spans="1:29" ht="17.25" customHeight="1">
      <c r="A414" s="4" t="s">
        <v>135</v>
      </c>
      <c r="B414" s="58" t="s">
        <v>134</v>
      </c>
      <c r="C414" s="65" t="s">
        <v>88</v>
      </c>
      <c r="D414" s="58">
        <f>VLOOKUP(C414,코드!$E$3:$F$30,2,FALSE)</f>
        <v>8719</v>
      </c>
      <c r="E414" s="66" t="s">
        <v>230</v>
      </c>
      <c r="F414" s="65" t="s">
        <v>229</v>
      </c>
      <c r="G414" s="66" t="s">
        <v>228</v>
      </c>
      <c r="H414" s="65" t="s">
        <v>227</v>
      </c>
      <c r="I414" s="65" t="s">
        <v>233</v>
      </c>
      <c r="J414" s="58" t="s">
        <v>130</v>
      </c>
      <c r="K414" s="58" t="s">
        <v>17</v>
      </c>
      <c r="L414" s="58">
        <f>VLOOKUP(K414,코드!$B$3:$C$29,2,FALSE)</f>
        <v>4241130</v>
      </c>
      <c r="M414" s="58" t="s">
        <v>217</v>
      </c>
      <c r="N414" s="58" t="s">
        <v>231</v>
      </c>
      <c r="O414" s="63">
        <v>3000</v>
      </c>
      <c r="P414" s="63">
        <v>1</v>
      </c>
      <c r="Q414" s="63">
        <v>1000</v>
      </c>
      <c r="R414" s="63">
        <f>O414*P414*Q414</f>
        <v>3000000</v>
      </c>
      <c r="S414" s="63"/>
      <c r="T414" s="62">
        <v>3000000</v>
      </c>
      <c r="U414" s="61"/>
      <c r="V414" s="60">
        <f t="shared" si="28"/>
        <v>1</v>
      </c>
    </row>
    <row r="415" spans="1:29" ht="17.25" customHeight="1">
      <c r="A415" s="4" t="s">
        <v>135</v>
      </c>
      <c r="B415" s="58" t="s">
        <v>134</v>
      </c>
      <c r="C415" s="65" t="s">
        <v>88</v>
      </c>
      <c r="D415" s="58">
        <f>VLOOKUP(C415,코드!$E$3:$F$30,2,FALSE)</f>
        <v>8719</v>
      </c>
      <c r="E415" s="66" t="s">
        <v>230</v>
      </c>
      <c r="F415" s="65" t="s">
        <v>234</v>
      </c>
      <c r="G415" s="66" t="s">
        <v>228</v>
      </c>
      <c r="H415" s="65" t="s">
        <v>227</v>
      </c>
      <c r="I415" s="65" t="s">
        <v>233</v>
      </c>
      <c r="J415" s="58" t="s">
        <v>130</v>
      </c>
      <c r="K415" s="58" t="s">
        <v>17</v>
      </c>
      <c r="L415" s="58">
        <f>VLOOKUP(K415,코드!$B$3:$C$29,2,FALSE)</f>
        <v>4241130</v>
      </c>
      <c r="M415" s="58" t="s">
        <v>232</v>
      </c>
      <c r="N415" s="58" t="s">
        <v>231</v>
      </c>
      <c r="O415" s="63">
        <v>150000</v>
      </c>
      <c r="P415" s="63">
        <v>2</v>
      </c>
      <c r="Q415" s="63">
        <v>5</v>
      </c>
      <c r="R415" s="63">
        <f>O415*P415*Q415</f>
        <v>1500000</v>
      </c>
      <c r="S415" s="63"/>
      <c r="T415" s="62">
        <v>1500000</v>
      </c>
      <c r="U415" s="61"/>
      <c r="V415" s="60">
        <f t="shared" si="28"/>
        <v>1</v>
      </c>
    </row>
    <row r="416" spans="1:29" ht="17.25" customHeight="1">
      <c r="A416" s="4" t="s">
        <v>135</v>
      </c>
      <c r="B416" s="58" t="s">
        <v>134</v>
      </c>
      <c r="C416" s="65" t="s">
        <v>88</v>
      </c>
      <c r="D416" s="58">
        <f>VLOOKUP(C416,코드!$E$3:$F$30,2,FALSE)</f>
        <v>8719</v>
      </c>
      <c r="E416" s="66" t="s">
        <v>230</v>
      </c>
      <c r="F416" s="65" t="s">
        <v>229</v>
      </c>
      <c r="G416" s="66" t="s">
        <v>228</v>
      </c>
      <c r="H416" s="65" t="s">
        <v>227</v>
      </c>
      <c r="I416" s="65" t="s">
        <v>226</v>
      </c>
      <c r="J416" s="58" t="s">
        <v>101</v>
      </c>
      <c r="K416" s="58" t="s">
        <v>15</v>
      </c>
      <c r="L416" s="58">
        <f>VLOOKUP(K416,코드!$B$3:$C$29,2,FALSE)</f>
        <v>4321701</v>
      </c>
      <c r="M416" s="58" t="s">
        <v>225</v>
      </c>
      <c r="N416" s="58" t="s">
        <v>224</v>
      </c>
      <c r="O416" s="63">
        <v>440000</v>
      </c>
      <c r="P416" s="63">
        <v>5</v>
      </c>
      <c r="Q416" s="63">
        <v>2</v>
      </c>
      <c r="R416" s="63">
        <f>O416*P416*Q416</f>
        <v>4400000</v>
      </c>
      <c r="S416" s="63"/>
      <c r="T416" s="62">
        <v>4400000</v>
      </c>
      <c r="U416" s="61"/>
      <c r="V416" s="60">
        <f t="shared" si="28"/>
        <v>1</v>
      </c>
    </row>
    <row r="417" spans="1:29" ht="17.25" customHeight="1">
      <c r="A417" s="4" t="s">
        <v>135</v>
      </c>
      <c r="B417" s="58"/>
      <c r="C417" s="65"/>
      <c r="D417" s="58" t="e">
        <f>VLOOKUP(C417,코드!$E$3:$F$30,2,FALSE)</f>
        <v>#N/A</v>
      </c>
      <c r="E417" s="65"/>
      <c r="F417" s="65"/>
      <c r="G417" s="66"/>
      <c r="H417" s="65"/>
      <c r="I417" s="65"/>
      <c r="J417" s="58"/>
      <c r="K417" s="58"/>
      <c r="L417" s="58" t="e">
        <f>VLOOKUP(K417,코드!$B$3:$C$29,2,FALSE)</f>
        <v>#N/A</v>
      </c>
      <c r="M417" s="58"/>
      <c r="N417" s="58"/>
      <c r="O417" s="63"/>
      <c r="P417" s="63"/>
      <c r="Q417" s="63"/>
      <c r="R417" s="63"/>
      <c r="S417" s="63"/>
      <c r="T417" s="62">
        <v>0</v>
      </c>
      <c r="U417" s="61"/>
      <c r="V417" s="60" t="s">
        <v>126</v>
      </c>
    </row>
    <row r="418" spans="1:29" s="113" customFormat="1" ht="17.25" customHeight="1">
      <c r="A418" s="4" t="s">
        <v>135</v>
      </c>
      <c r="B418" s="58" t="s">
        <v>134</v>
      </c>
      <c r="C418" s="65" t="s">
        <v>214</v>
      </c>
      <c r="D418" s="58" t="str">
        <f>VLOOKUP(C418,코드!$E$3:$F$30,2,FALSE)</f>
        <v>8655</v>
      </c>
      <c r="E418" s="65" t="s">
        <v>166</v>
      </c>
      <c r="F418" s="65" t="s">
        <v>208</v>
      </c>
      <c r="G418" s="66" t="s">
        <v>213</v>
      </c>
      <c r="H418" s="65" t="s">
        <v>212</v>
      </c>
      <c r="I418" s="65" t="s">
        <v>223</v>
      </c>
      <c r="J418" s="58" t="s">
        <v>130</v>
      </c>
      <c r="K418" s="58" t="s">
        <v>17</v>
      </c>
      <c r="L418" s="58">
        <f>VLOOKUP(K418,코드!$B$3:$C$29,2,FALSE)</f>
        <v>4241130</v>
      </c>
      <c r="M418" s="58" t="s">
        <v>129</v>
      </c>
      <c r="N418" s="58" t="s">
        <v>161</v>
      </c>
      <c r="O418" s="63">
        <v>30000</v>
      </c>
      <c r="P418" s="63">
        <v>8</v>
      </c>
      <c r="Q418" s="63">
        <v>10</v>
      </c>
      <c r="R418" s="63">
        <f t="shared" ref="R418:R430" si="29">O418*P418*Q418</f>
        <v>2400000</v>
      </c>
      <c r="S418" s="63"/>
      <c r="T418" s="116">
        <v>2400000</v>
      </c>
      <c r="U418" s="112" t="s">
        <v>194</v>
      </c>
      <c r="V418" s="60">
        <f t="shared" ref="V418:V440" si="30">T418/R418</f>
        <v>1</v>
      </c>
      <c r="W418" s="114"/>
      <c r="X418" s="115"/>
      <c r="Y418" s="114"/>
      <c r="AC418" s="114"/>
    </row>
    <row r="419" spans="1:29" s="113" customFormat="1" ht="17.25" customHeight="1">
      <c r="A419" s="4" t="s">
        <v>135</v>
      </c>
      <c r="B419" s="58" t="s">
        <v>134</v>
      </c>
      <c r="C419" s="65" t="s">
        <v>214</v>
      </c>
      <c r="D419" s="58" t="str">
        <f>VLOOKUP(C419,코드!$E$3:$F$30,2,FALSE)</f>
        <v>8655</v>
      </c>
      <c r="E419" s="65" t="s">
        <v>166</v>
      </c>
      <c r="F419" s="65" t="s">
        <v>208</v>
      </c>
      <c r="G419" s="66" t="s">
        <v>213</v>
      </c>
      <c r="H419" s="65" t="s">
        <v>212</v>
      </c>
      <c r="I419" s="65" t="s">
        <v>222</v>
      </c>
      <c r="J419" s="58" t="s">
        <v>130</v>
      </c>
      <c r="K419" s="58" t="s">
        <v>17</v>
      </c>
      <c r="L419" s="58">
        <f>VLOOKUP(K419,코드!$B$3:$C$29,2,FALSE)</f>
        <v>4241130</v>
      </c>
      <c r="M419" s="58" t="s">
        <v>107</v>
      </c>
      <c r="N419" s="58" t="s">
        <v>161</v>
      </c>
      <c r="O419" s="63">
        <v>300000</v>
      </c>
      <c r="P419" s="63">
        <v>2</v>
      </c>
      <c r="Q419" s="63">
        <v>2</v>
      </c>
      <c r="R419" s="63">
        <f t="shared" si="29"/>
        <v>1200000</v>
      </c>
      <c r="S419" s="63"/>
      <c r="T419" s="116">
        <v>1200000</v>
      </c>
      <c r="U419" s="112" t="s">
        <v>194</v>
      </c>
      <c r="V419" s="60">
        <f t="shared" si="30"/>
        <v>1</v>
      </c>
      <c r="W419" s="114"/>
      <c r="X419" s="115"/>
      <c r="Y419" s="114"/>
      <c r="AC419" s="114"/>
    </row>
    <row r="420" spans="1:29" s="113" customFormat="1" ht="17.25" customHeight="1">
      <c r="A420" s="4" t="s">
        <v>135</v>
      </c>
      <c r="B420" s="58" t="s">
        <v>134</v>
      </c>
      <c r="C420" s="65" t="s">
        <v>214</v>
      </c>
      <c r="D420" s="58" t="str">
        <f>VLOOKUP(C420,코드!$E$3:$F$30,2,FALSE)</f>
        <v>8655</v>
      </c>
      <c r="E420" s="65" t="s">
        <v>166</v>
      </c>
      <c r="F420" s="65" t="s">
        <v>208</v>
      </c>
      <c r="G420" s="66" t="s">
        <v>213</v>
      </c>
      <c r="H420" s="65" t="s">
        <v>212</v>
      </c>
      <c r="I420" s="65" t="s">
        <v>221</v>
      </c>
      <c r="J420" s="58" t="s">
        <v>130</v>
      </c>
      <c r="K420" s="58" t="s">
        <v>17</v>
      </c>
      <c r="L420" s="58">
        <f>VLOOKUP(K420,코드!$B$3:$C$29,2,FALSE)</f>
        <v>4241130</v>
      </c>
      <c r="M420" s="58" t="s">
        <v>129</v>
      </c>
      <c r="N420" s="58" t="s">
        <v>161</v>
      </c>
      <c r="O420" s="63">
        <v>30000</v>
      </c>
      <c r="P420" s="63">
        <v>3</v>
      </c>
      <c r="Q420" s="63">
        <v>10</v>
      </c>
      <c r="R420" s="63">
        <f t="shared" si="29"/>
        <v>900000</v>
      </c>
      <c r="S420" s="63"/>
      <c r="T420" s="116">
        <v>900000</v>
      </c>
      <c r="U420" s="112" t="s">
        <v>194</v>
      </c>
      <c r="V420" s="60">
        <f t="shared" si="30"/>
        <v>1</v>
      </c>
      <c r="W420" s="114"/>
      <c r="X420" s="115"/>
      <c r="Y420" s="114"/>
      <c r="AC420" s="114"/>
    </row>
    <row r="421" spans="1:29" s="113" customFormat="1" ht="17.25" customHeight="1">
      <c r="A421" s="4" t="s">
        <v>135</v>
      </c>
      <c r="B421" s="58" t="s">
        <v>134</v>
      </c>
      <c r="C421" s="65" t="s">
        <v>214</v>
      </c>
      <c r="D421" s="58" t="str">
        <f>VLOOKUP(C421,코드!$E$3:$F$30,2,FALSE)</f>
        <v>8655</v>
      </c>
      <c r="E421" s="65" t="s">
        <v>166</v>
      </c>
      <c r="F421" s="65" t="s">
        <v>208</v>
      </c>
      <c r="G421" s="66" t="s">
        <v>213</v>
      </c>
      <c r="H421" s="65" t="s">
        <v>212</v>
      </c>
      <c r="I421" s="65" t="s">
        <v>220</v>
      </c>
      <c r="J421" s="58" t="s">
        <v>130</v>
      </c>
      <c r="K421" s="58" t="s">
        <v>17</v>
      </c>
      <c r="L421" s="58">
        <f>VLOOKUP(K421,코드!$B$3:$C$29,2,FALSE)</f>
        <v>4241130</v>
      </c>
      <c r="M421" s="58" t="s">
        <v>107</v>
      </c>
      <c r="N421" s="58" t="s">
        <v>161</v>
      </c>
      <c r="O421" s="63">
        <v>300000</v>
      </c>
      <c r="P421" s="63">
        <v>1</v>
      </c>
      <c r="Q421" s="63">
        <v>7</v>
      </c>
      <c r="R421" s="63">
        <f t="shared" si="29"/>
        <v>2100000</v>
      </c>
      <c r="S421" s="63"/>
      <c r="T421" s="116">
        <v>2100000</v>
      </c>
      <c r="U421" s="112" t="s">
        <v>194</v>
      </c>
      <c r="V421" s="60">
        <f t="shared" si="30"/>
        <v>1</v>
      </c>
      <c r="W421" s="114"/>
      <c r="X421" s="115"/>
      <c r="Y421" s="114"/>
      <c r="AC421" s="114"/>
    </row>
    <row r="422" spans="1:29" s="113" customFormat="1" ht="17.25" customHeight="1">
      <c r="A422" s="4" t="s">
        <v>135</v>
      </c>
      <c r="B422" s="58" t="s">
        <v>134</v>
      </c>
      <c r="C422" s="65" t="s">
        <v>214</v>
      </c>
      <c r="D422" s="58" t="str">
        <f>VLOOKUP(C422,코드!$E$3:$F$30,2,FALSE)</f>
        <v>8655</v>
      </c>
      <c r="E422" s="65" t="s">
        <v>166</v>
      </c>
      <c r="F422" s="65" t="s">
        <v>208</v>
      </c>
      <c r="G422" s="66" t="s">
        <v>213</v>
      </c>
      <c r="H422" s="65" t="s">
        <v>216</v>
      </c>
      <c r="I422" s="65" t="s">
        <v>219</v>
      </c>
      <c r="J422" s="58" t="s">
        <v>130</v>
      </c>
      <c r="K422" s="58" t="s">
        <v>17</v>
      </c>
      <c r="L422" s="58">
        <f>VLOOKUP(K422,코드!$B$3:$C$29,2,FALSE)</f>
        <v>4241130</v>
      </c>
      <c r="M422" s="58" t="s">
        <v>129</v>
      </c>
      <c r="N422" s="58" t="s">
        <v>161</v>
      </c>
      <c r="O422" s="63">
        <v>30000</v>
      </c>
      <c r="P422" s="63">
        <v>3</v>
      </c>
      <c r="Q422" s="63">
        <v>2</v>
      </c>
      <c r="R422" s="63">
        <f t="shared" si="29"/>
        <v>180000</v>
      </c>
      <c r="S422" s="63"/>
      <c r="T422" s="116">
        <v>180000</v>
      </c>
      <c r="U422" s="112" t="s">
        <v>194</v>
      </c>
      <c r="V422" s="60">
        <f t="shared" si="30"/>
        <v>1</v>
      </c>
      <c r="W422" s="114"/>
      <c r="X422" s="115"/>
      <c r="Y422" s="114"/>
      <c r="AC422" s="114"/>
    </row>
    <row r="423" spans="1:29" s="113" customFormat="1" ht="17.25" customHeight="1">
      <c r="A423" s="4" t="s">
        <v>135</v>
      </c>
      <c r="B423" s="58" t="s">
        <v>134</v>
      </c>
      <c r="C423" s="65" t="s">
        <v>214</v>
      </c>
      <c r="D423" s="58" t="str">
        <f>VLOOKUP(C423,코드!$E$3:$F$30,2,FALSE)</f>
        <v>8655</v>
      </c>
      <c r="E423" s="65" t="s">
        <v>166</v>
      </c>
      <c r="F423" s="65" t="s">
        <v>208</v>
      </c>
      <c r="G423" s="66" t="s">
        <v>213</v>
      </c>
      <c r="H423" s="65" t="s">
        <v>216</v>
      </c>
      <c r="I423" s="65" t="s">
        <v>218</v>
      </c>
      <c r="J423" s="58" t="s">
        <v>130</v>
      </c>
      <c r="K423" s="58" t="s">
        <v>17</v>
      </c>
      <c r="L423" s="58">
        <f>VLOOKUP(K423,코드!$B$3:$C$29,2,FALSE)</f>
        <v>4241130</v>
      </c>
      <c r="M423" s="58" t="s">
        <v>217</v>
      </c>
      <c r="N423" s="58" t="s">
        <v>161</v>
      </c>
      <c r="O423" s="63">
        <v>40000</v>
      </c>
      <c r="P423" s="63">
        <v>20</v>
      </c>
      <c r="Q423" s="63">
        <v>2</v>
      </c>
      <c r="R423" s="63">
        <f t="shared" si="29"/>
        <v>1600000</v>
      </c>
      <c r="S423" s="63"/>
      <c r="T423" s="116">
        <v>1600000</v>
      </c>
      <c r="U423" s="112" t="s">
        <v>194</v>
      </c>
      <c r="V423" s="60">
        <f t="shared" si="30"/>
        <v>1</v>
      </c>
      <c r="W423" s="114"/>
      <c r="X423" s="115"/>
      <c r="Y423" s="114"/>
      <c r="AC423" s="114"/>
    </row>
    <row r="424" spans="1:29" s="113" customFormat="1" ht="17.25" customHeight="1">
      <c r="A424" s="4" t="s">
        <v>135</v>
      </c>
      <c r="B424" s="58" t="s">
        <v>134</v>
      </c>
      <c r="C424" s="65" t="s">
        <v>214</v>
      </c>
      <c r="D424" s="58" t="str">
        <f>VLOOKUP(C424,코드!$E$3:$F$30,2,FALSE)</f>
        <v>8655</v>
      </c>
      <c r="E424" s="65" t="s">
        <v>166</v>
      </c>
      <c r="F424" s="65" t="s">
        <v>208</v>
      </c>
      <c r="G424" s="66" t="s">
        <v>213</v>
      </c>
      <c r="H424" s="65" t="s">
        <v>216</v>
      </c>
      <c r="I424" s="65" t="s">
        <v>215</v>
      </c>
      <c r="J424" s="58" t="s">
        <v>130</v>
      </c>
      <c r="K424" s="58" t="s">
        <v>17</v>
      </c>
      <c r="L424" s="58">
        <f>VLOOKUP(K424,코드!$B$3:$C$29,2,FALSE)</f>
        <v>4241130</v>
      </c>
      <c r="M424" s="58" t="s">
        <v>129</v>
      </c>
      <c r="N424" s="58" t="s">
        <v>161</v>
      </c>
      <c r="O424" s="63">
        <v>300000</v>
      </c>
      <c r="P424" s="63">
        <v>1</v>
      </c>
      <c r="Q424" s="63">
        <v>2</v>
      </c>
      <c r="R424" s="63">
        <f t="shared" si="29"/>
        <v>600000</v>
      </c>
      <c r="S424" s="63"/>
      <c r="T424" s="116">
        <v>600000</v>
      </c>
      <c r="U424" s="112" t="s">
        <v>194</v>
      </c>
      <c r="V424" s="60">
        <f t="shared" si="30"/>
        <v>1</v>
      </c>
      <c r="W424" s="114"/>
      <c r="X424" s="115"/>
      <c r="Y424" s="114"/>
      <c r="AC424" s="114"/>
    </row>
    <row r="425" spans="1:29" s="113" customFormat="1" ht="17.25" customHeight="1">
      <c r="A425" s="4" t="s">
        <v>135</v>
      </c>
      <c r="B425" s="58" t="s">
        <v>134</v>
      </c>
      <c r="C425" s="65" t="s">
        <v>214</v>
      </c>
      <c r="D425" s="58" t="str">
        <f>VLOOKUP(C425,코드!$E$3:$F$30,2,FALSE)</f>
        <v>8655</v>
      </c>
      <c r="E425" s="65" t="s">
        <v>166</v>
      </c>
      <c r="F425" s="65" t="s">
        <v>208</v>
      </c>
      <c r="G425" s="66" t="s">
        <v>213</v>
      </c>
      <c r="H425" s="65" t="s">
        <v>212</v>
      </c>
      <c r="I425" s="65" t="s">
        <v>211</v>
      </c>
      <c r="J425" s="58" t="s">
        <v>130</v>
      </c>
      <c r="K425" s="58" t="s">
        <v>17</v>
      </c>
      <c r="L425" s="58">
        <f>VLOOKUP(K425,코드!$B$3:$C$29,2,FALSE)</f>
        <v>4241130</v>
      </c>
      <c r="M425" s="58" t="s">
        <v>129</v>
      </c>
      <c r="N425" s="58" t="s">
        <v>161</v>
      </c>
      <c r="O425" s="63">
        <v>400</v>
      </c>
      <c r="P425" s="63">
        <v>1500</v>
      </c>
      <c r="Q425" s="63">
        <v>1</v>
      </c>
      <c r="R425" s="63">
        <f t="shared" si="29"/>
        <v>600000</v>
      </c>
      <c r="S425" s="63"/>
      <c r="T425" s="116">
        <v>600000</v>
      </c>
      <c r="U425" s="112" t="s">
        <v>194</v>
      </c>
      <c r="V425" s="60">
        <f t="shared" si="30"/>
        <v>1</v>
      </c>
      <c r="W425" s="114"/>
      <c r="X425" s="115"/>
      <c r="Y425" s="114"/>
      <c r="AC425" s="114"/>
    </row>
    <row r="426" spans="1:29" s="5" customFormat="1" ht="17.25" customHeight="1">
      <c r="A426" s="4" t="s">
        <v>135</v>
      </c>
      <c r="B426" s="58" t="s">
        <v>134</v>
      </c>
      <c r="C426" s="65" t="s">
        <v>210</v>
      </c>
      <c r="D426" s="58" t="str">
        <f>VLOOKUP(C426,코드!$E$3:$F$30,2,FALSE)</f>
        <v>8673</v>
      </c>
      <c r="E426" s="66" t="s">
        <v>209</v>
      </c>
      <c r="F426" s="65" t="s">
        <v>208</v>
      </c>
      <c r="G426" s="66" t="s">
        <v>207</v>
      </c>
      <c r="H426" s="80"/>
      <c r="I426" s="65" t="s">
        <v>206</v>
      </c>
      <c r="J426" s="58" t="s">
        <v>205</v>
      </c>
      <c r="K426" s="58" t="s">
        <v>20</v>
      </c>
      <c r="L426" s="58">
        <f>VLOOKUP(K426,코드!$B$3:$C$29,2,FALSE)</f>
        <v>4211402</v>
      </c>
      <c r="M426" s="58" t="s">
        <v>204</v>
      </c>
      <c r="N426" s="58" t="s">
        <v>203</v>
      </c>
      <c r="O426" s="63">
        <v>60000000</v>
      </c>
      <c r="P426" s="63">
        <v>1</v>
      </c>
      <c r="Q426" s="63">
        <v>1</v>
      </c>
      <c r="R426" s="63">
        <f t="shared" si="29"/>
        <v>60000000</v>
      </c>
      <c r="S426" s="63"/>
      <c r="T426" s="62">
        <v>60000000</v>
      </c>
      <c r="U426" s="61" t="s">
        <v>202</v>
      </c>
      <c r="V426" s="60">
        <f t="shared" si="30"/>
        <v>1</v>
      </c>
      <c r="X426" s="6"/>
    </row>
    <row r="427" spans="1:29" s="5" customFormat="1" ht="17.25" customHeight="1">
      <c r="A427" s="4" t="s">
        <v>135</v>
      </c>
      <c r="B427" s="58" t="s">
        <v>134</v>
      </c>
      <c r="C427" s="65" t="s">
        <v>197</v>
      </c>
      <c r="D427" s="58" t="str">
        <f>VLOOKUP(C427,코드!$E$3:$F$30,2,FALSE)</f>
        <v>8752</v>
      </c>
      <c r="E427" s="66" t="s">
        <v>166</v>
      </c>
      <c r="F427" s="65" t="s">
        <v>191</v>
      </c>
      <c r="G427" s="66" t="s">
        <v>201</v>
      </c>
      <c r="H427" s="65" t="s">
        <v>201</v>
      </c>
      <c r="I427" s="65" t="s">
        <v>200</v>
      </c>
      <c r="J427" s="58" t="s">
        <v>130</v>
      </c>
      <c r="K427" s="58" t="s">
        <v>17</v>
      </c>
      <c r="L427" s="58">
        <f>VLOOKUP(K427,코드!$B$3:$C$29,2,FALSE)</f>
        <v>4241130</v>
      </c>
      <c r="M427" s="58" t="s">
        <v>129</v>
      </c>
      <c r="N427" s="58" t="s">
        <v>177</v>
      </c>
      <c r="O427" s="63">
        <v>4750000</v>
      </c>
      <c r="P427" s="63">
        <v>1</v>
      </c>
      <c r="Q427" s="63">
        <v>3</v>
      </c>
      <c r="R427" s="63">
        <f t="shared" si="29"/>
        <v>14250000</v>
      </c>
      <c r="S427" s="63"/>
      <c r="T427" s="62">
        <v>14250000</v>
      </c>
      <c r="U427" s="112" t="s">
        <v>194</v>
      </c>
      <c r="V427" s="60">
        <f t="shared" si="30"/>
        <v>1</v>
      </c>
      <c r="X427" s="6"/>
    </row>
    <row r="428" spans="1:29" s="5" customFormat="1" ht="17.25" customHeight="1">
      <c r="A428" s="4" t="s">
        <v>135</v>
      </c>
      <c r="B428" s="58" t="s">
        <v>134</v>
      </c>
      <c r="C428" s="65" t="s">
        <v>197</v>
      </c>
      <c r="D428" s="58" t="str">
        <f>VLOOKUP(C428,코드!$E$3:$F$30,2,FALSE)</f>
        <v>8752</v>
      </c>
      <c r="E428" s="66" t="s">
        <v>166</v>
      </c>
      <c r="F428" s="65" t="s">
        <v>191</v>
      </c>
      <c r="G428" s="66" t="s">
        <v>199</v>
      </c>
      <c r="H428" s="65" t="s">
        <v>199</v>
      </c>
      <c r="I428" s="65" t="s">
        <v>198</v>
      </c>
      <c r="J428" s="58" t="s">
        <v>130</v>
      </c>
      <c r="K428" s="58" t="s">
        <v>17</v>
      </c>
      <c r="L428" s="58">
        <f>VLOOKUP(K428,코드!$B$3:$C$29,2,FALSE)</f>
        <v>4241130</v>
      </c>
      <c r="M428" s="58" t="s">
        <v>107</v>
      </c>
      <c r="N428" s="58" t="s">
        <v>161</v>
      </c>
      <c r="O428" s="63">
        <v>450000</v>
      </c>
      <c r="P428" s="63">
        <v>1</v>
      </c>
      <c r="Q428" s="63">
        <v>1</v>
      </c>
      <c r="R428" s="63">
        <f t="shared" si="29"/>
        <v>450000</v>
      </c>
      <c r="S428" s="63"/>
      <c r="T428" s="62">
        <v>450000</v>
      </c>
      <c r="U428" s="112" t="s">
        <v>194</v>
      </c>
      <c r="V428" s="60">
        <f t="shared" si="30"/>
        <v>1</v>
      </c>
      <c r="X428" s="6"/>
    </row>
    <row r="429" spans="1:29" s="5" customFormat="1" ht="17.25" customHeight="1">
      <c r="A429" s="4" t="s">
        <v>135</v>
      </c>
      <c r="B429" s="58" t="s">
        <v>134</v>
      </c>
      <c r="C429" s="65" t="s">
        <v>197</v>
      </c>
      <c r="D429" s="58" t="str">
        <f>VLOOKUP(C429,코드!$E$3:$F$30,2,FALSE)</f>
        <v>8752</v>
      </c>
      <c r="E429" s="66" t="s">
        <v>166</v>
      </c>
      <c r="F429" s="65" t="s">
        <v>191</v>
      </c>
      <c r="G429" s="66" t="s">
        <v>196</v>
      </c>
      <c r="H429" s="65" t="s">
        <v>196</v>
      </c>
      <c r="I429" s="65" t="s">
        <v>195</v>
      </c>
      <c r="J429" s="58" t="s">
        <v>130</v>
      </c>
      <c r="K429" s="58" t="s">
        <v>17</v>
      </c>
      <c r="L429" s="58">
        <f>VLOOKUP(K429,코드!$B$3:$C$29,2,FALSE)</f>
        <v>4241130</v>
      </c>
      <c r="M429" s="58" t="s">
        <v>120</v>
      </c>
      <c r="N429" s="58" t="s">
        <v>161</v>
      </c>
      <c r="O429" s="63">
        <v>150000</v>
      </c>
      <c r="P429" s="63">
        <v>1</v>
      </c>
      <c r="Q429" s="63">
        <v>2</v>
      </c>
      <c r="R429" s="63">
        <f t="shared" si="29"/>
        <v>300000</v>
      </c>
      <c r="S429" s="63"/>
      <c r="T429" s="62">
        <v>300000</v>
      </c>
      <c r="U429" s="112" t="s">
        <v>194</v>
      </c>
      <c r="V429" s="60">
        <f t="shared" si="30"/>
        <v>1</v>
      </c>
      <c r="X429" s="6"/>
    </row>
    <row r="430" spans="1:29" s="5" customFormat="1" ht="17.25" customHeight="1">
      <c r="A430" s="4" t="s">
        <v>135</v>
      </c>
      <c r="B430" s="58" t="s">
        <v>134</v>
      </c>
      <c r="C430" s="65" t="s">
        <v>193</v>
      </c>
      <c r="D430" s="58" t="str">
        <f>VLOOKUP(C430,코드!$E$3:$F$30,2,FALSE)</f>
        <v>8627</v>
      </c>
      <c r="E430" s="66" t="s">
        <v>166</v>
      </c>
      <c r="F430" s="65" t="s">
        <v>191</v>
      </c>
      <c r="G430" s="66" t="s">
        <v>192</v>
      </c>
      <c r="H430" s="65" t="s">
        <v>192</v>
      </c>
      <c r="I430" s="65" t="s">
        <v>192</v>
      </c>
      <c r="J430" s="58" t="s">
        <v>130</v>
      </c>
      <c r="K430" s="58" t="s">
        <v>17</v>
      </c>
      <c r="L430" s="58">
        <f>VLOOKUP(K430,코드!$B$3:$C$29,2,FALSE)</f>
        <v>4241130</v>
      </c>
      <c r="M430" s="58" t="s">
        <v>120</v>
      </c>
      <c r="N430" s="58" t="s">
        <v>177</v>
      </c>
      <c r="O430" s="63">
        <v>90000000</v>
      </c>
      <c r="P430" s="63">
        <v>1</v>
      </c>
      <c r="Q430" s="63">
        <v>1</v>
      </c>
      <c r="R430" s="63">
        <f t="shared" si="29"/>
        <v>90000000</v>
      </c>
      <c r="S430" s="63"/>
      <c r="T430" s="111">
        <v>90000000</v>
      </c>
      <c r="U430" s="61" t="s">
        <v>127</v>
      </c>
      <c r="V430" s="60">
        <f t="shared" si="30"/>
        <v>1</v>
      </c>
      <c r="X430" s="6"/>
    </row>
    <row r="431" spans="1:29" s="100" customFormat="1" ht="17.25" customHeight="1">
      <c r="A431" s="110" t="s">
        <v>135</v>
      </c>
      <c r="B431" s="107" t="s">
        <v>134</v>
      </c>
      <c r="C431" s="109" t="s">
        <v>88</v>
      </c>
      <c r="D431" s="107">
        <f>VLOOKUP(C431,코드!$E$3:$F$30,2,FALSE)</f>
        <v>8719</v>
      </c>
      <c r="E431" s="108" t="s">
        <v>166</v>
      </c>
      <c r="F431" s="109" t="s">
        <v>191</v>
      </c>
      <c r="G431" s="108" t="s">
        <v>190</v>
      </c>
      <c r="H431" s="108" t="s">
        <v>190</v>
      </c>
      <c r="I431" s="108" t="s">
        <v>190</v>
      </c>
      <c r="J431" s="107" t="s">
        <v>42</v>
      </c>
      <c r="K431" s="107" t="s">
        <v>15</v>
      </c>
      <c r="L431" s="107">
        <f>VLOOKUP(K431,코드!$B$3:$C$29,2,FALSE)</f>
        <v>4321701</v>
      </c>
      <c r="M431" s="107" t="s">
        <v>42</v>
      </c>
      <c r="N431" s="107" t="s">
        <v>189</v>
      </c>
      <c r="O431" s="105">
        <v>86000000</v>
      </c>
      <c r="P431" s="105">
        <v>1</v>
      </c>
      <c r="Q431" s="105">
        <v>1</v>
      </c>
      <c r="R431" s="105">
        <f>O431*P431*Q431-10042720</f>
        <v>75957280</v>
      </c>
      <c r="S431" s="105"/>
      <c r="T431" s="104"/>
      <c r="U431" s="103"/>
      <c r="V431" s="102">
        <f t="shared" si="30"/>
        <v>0</v>
      </c>
      <c r="X431" s="101"/>
    </row>
    <row r="432" spans="1:29" s="5" customFormat="1" ht="17.25" customHeight="1">
      <c r="A432" s="4" t="s">
        <v>135</v>
      </c>
      <c r="B432" s="58" t="s">
        <v>134</v>
      </c>
      <c r="C432" s="99" t="s">
        <v>188</v>
      </c>
      <c r="D432" s="58" t="str">
        <f>VLOOKUP(C432,코드!$E$3:$F$30,2,FALSE)</f>
        <v>8725</v>
      </c>
      <c r="E432" s="66" t="s">
        <v>166</v>
      </c>
      <c r="F432" s="65" t="s">
        <v>187</v>
      </c>
      <c r="G432" s="66" t="s">
        <v>186</v>
      </c>
      <c r="H432" s="65" t="s">
        <v>185</v>
      </c>
      <c r="I432" s="65" t="s">
        <v>184</v>
      </c>
      <c r="J432" s="58" t="s">
        <v>130</v>
      </c>
      <c r="K432" s="98" t="s">
        <v>18</v>
      </c>
      <c r="L432" s="98">
        <f>VLOOKUP(K432,코드!$B$3:$C$29,2,FALSE)</f>
        <v>4233201</v>
      </c>
      <c r="M432" s="58" t="s">
        <v>120</v>
      </c>
      <c r="N432" s="58" t="s">
        <v>177</v>
      </c>
      <c r="O432" s="63">
        <v>150000000</v>
      </c>
      <c r="P432" s="63">
        <v>1</v>
      </c>
      <c r="Q432" s="63">
        <v>1</v>
      </c>
      <c r="R432" s="63">
        <f>O432*P432*Q432</f>
        <v>150000000</v>
      </c>
      <c r="S432" s="63"/>
      <c r="T432" s="97">
        <v>150000000</v>
      </c>
      <c r="U432" s="61" t="s">
        <v>145</v>
      </c>
      <c r="V432" s="60">
        <f t="shared" si="30"/>
        <v>1</v>
      </c>
      <c r="X432" s="6"/>
    </row>
    <row r="433" spans="1:29" s="5" customFormat="1" ht="17.25" customHeight="1">
      <c r="A433" s="4" t="s">
        <v>135</v>
      </c>
      <c r="B433" s="58" t="s">
        <v>134</v>
      </c>
      <c r="C433" s="65" t="s">
        <v>88</v>
      </c>
      <c r="D433" s="58">
        <f>VLOOKUP(C433,코드!$E$3:$F$30,2,FALSE)</f>
        <v>8719</v>
      </c>
      <c r="E433" s="66" t="s">
        <v>166</v>
      </c>
      <c r="F433" s="65" t="s">
        <v>165</v>
      </c>
      <c r="G433" s="66" t="s">
        <v>183</v>
      </c>
      <c r="H433" s="80"/>
      <c r="I433" s="65" t="s">
        <v>182</v>
      </c>
      <c r="J433" s="58" t="s">
        <v>130</v>
      </c>
      <c r="K433" s="58" t="s">
        <v>18</v>
      </c>
      <c r="L433" s="58">
        <f>VLOOKUP(K433,코드!$B$3:$C$29,2,FALSE)</f>
        <v>4233201</v>
      </c>
      <c r="M433" s="58" t="s">
        <v>178</v>
      </c>
      <c r="N433" s="58" t="s">
        <v>177</v>
      </c>
      <c r="O433" s="63">
        <v>75900000</v>
      </c>
      <c r="P433" s="63">
        <v>1</v>
      </c>
      <c r="Q433" s="63">
        <v>1</v>
      </c>
      <c r="R433" s="63">
        <v>66000000</v>
      </c>
      <c r="S433" s="63"/>
      <c r="T433" s="62">
        <v>66000000</v>
      </c>
      <c r="U433" s="61"/>
      <c r="V433" s="60">
        <f t="shared" si="30"/>
        <v>1</v>
      </c>
      <c r="X433" s="6"/>
    </row>
    <row r="434" spans="1:29" ht="17.25" customHeight="1">
      <c r="A434" s="4" t="s">
        <v>135</v>
      </c>
      <c r="B434" s="58" t="s">
        <v>134</v>
      </c>
      <c r="C434" s="65" t="s">
        <v>133</v>
      </c>
      <c r="D434" s="58" t="str">
        <f>VLOOKUP(C434,코드!$E$3:$F$30,2,FALSE)</f>
        <v>8621</v>
      </c>
      <c r="E434" s="66" t="s">
        <v>166</v>
      </c>
      <c r="F434" s="65" t="s">
        <v>165</v>
      </c>
      <c r="G434" s="81" t="s">
        <v>181</v>
      </c>
      <c r="H434" s="80"/>
      <c r="I434" s="65" t="s">
        <v>180</v>
      </c>
      <c r="J434" s="58" t="s">
        <v>130</v>
      </c>
      <c r="K434" s="58" t="s">
        <v>179</v>
      </c>
      <c r="L434" s="58">
        <f>VLOOKUP(K434,코드!$B$3:$C$29,2,FALSE)</f>
        <v>4233201</v>
      </c>
      <c r="M434" s="58" t="s">
        <v>178</v>
      </c>
      <c r="N434" s="58" t="s">
        <v>177</v>
      </c>
      <c r="O434" s="63">
        <v>110000000</v>
      </c>
      <c r="P434" s="63">
        <v>1</v>
      </c>
      <c r="Q434" s="63">
        <v>1</v>
      </c>
      <c r="R434" s="63">
        <f>O434*P434*Q434</f>
        <v>110000000</v>
      </c>
      <c r="S434" s="63"/>
      <c r="T434" s="62">
        <v>110000000</v>
      </c>
      <c r="U434" s="61" t="s">
        <v>136</v>
      </c>
      <c r="V434" s="60">
        <f t="shared" si="30"/>
        <v>1</v>
      </c>
      <c r="W434" s="44"/>
      <c r="Y434" s="4"/>
      <c r="AC434" s="4"/>
    </row>
    <row r="435" spans="1:29" ht="17.25" customHeight="1">
      <c r="A435" s="4" t="s">
        <v>135</v>
      </c>
      <c r="B435" s="58" t="s">
        <v>168</v>
      </c>
      <c r="C435" s="65" t="s">
        <v>167</v>
      </c>
      <c r="D435" s="58" t="str">
        <f>VLOOKUP(C435,코드!$E$3:$F$30,2,FALSE)</f>
        <v>8651</v>
      </c>
      <c r="E435" s="66" t="s">
        <v>166</v>
      </c>
      <c r="F435" s="65" t="s">
        <v>165</v>
      </c>
      <c r="G435" s="66" t="s">
        <v>164</v>
      </c>
      <c r="H435" s="65" t="s">
        <v>170</v>
      </c>
      <c r="I435" s="96" t="s">
        <v>176</v>
      </c>
      <c r="J435" s="58" t="s">
        <v>130</v>
      </c>
      <c r="K435" s="58" t="s">
        <v>17</v>
      </c>
      <c r="L435" s="58">
        <f>VLOOKUP(K435,코드!$B$3:$C$29,2,FALSE)</f>
        <v>4241130</v>
      </c>
      <c r="M435" s="58" t="s">
        <v>129</v>
      </c>
      <c r="N435" s="58" t="s">
        <v>161</v>
      </c>
      <c r="O435" s="63">
        <v>50000</v>
      </c>
      <c r="P435" s="63">
        <v>1</v>
      </c>
      <c r="Q435" s="63">
        <v>50</v>
      </c>
      <c r="R435" s="63">
        <v>2500000</v>
      </c>
      <c r="S435" s="63"/>
      <c r="T435" s="62">
        <v>2500000</v>
      </c>
      <c r="U435" s="61" t="s">
        <v>127</v>
      </c>
      <c r="V435" s="60">
        <f t="shared" si="30"/>
        <v>1</v>
      </c>
    </row>
    <row r="436" spans="1:29" ht="17.25" customHeight="1">
      <c r="A436" s="4" t="s">
        <v>135</v>
      </c>
      <c r="B436" s="58" t="s">
        <v>168</v>
      </c>
      <c r="C436" s="65" t="s">
        <v>167</v>
      </c>
      <c r="D436" s="58" t="str">
        <f>VLOOKUP(C436,코드!$E$3:$F$30,2,FALSE)</f>
        <v>8651</v>
      </c>
      <c r="E436" s="66" t="s">
        <v>166</v>
      </c>
      <c r="F436" s="65" t="s">
        <v>165</v>
      </c>
      <c r="G436" s="66" t="s">
        <v>164</v>
      </c>
      <c r="H436" s="65" t="s">
        <v>170</v>
      </c>
      <c r="I436" s="65" t="s">
        <v>175</v>
      </c>
      <c r="J436" s="58" t="s">
        <v>130</v>
      </c>
      <c r="K436" s="58" t="s">
        <v>17</v>
      </c>
      <c r="L436" s="58">
        <f>VLOOKUP(K436,코드!$B$3:$C$29,2,FALSE)</f>
        <v>4241130</v>
      </c>
      <c r="M436" s="58" t="s">
        <v>129</v>
      </c>
      <c r="N436" s="58" t="s">
        <v>161</v>
      </c>
      <c r="O436" s="63">
        <v>100000</v>
      </c>
      <c r="P436" s="63">
        <v>1</v>
      </c>
      <c r="Q436" s="63">
        <v>20</v>
      </c>
      <c r="R436" s="63">
        <v>2750000</v>
      </c>
      <c r="S436" s="63"/>
      <c r="T436" s="62">
        <v>2750000</v>
      </c>
      <c r="U436" s="61" t="s">
        <v>127</v>
      </c>
      <c r="V436" s="60">
        <f t="shared" si="30"/>
        <v>1</v>
      </c>
      <c r="W436" s="5">
        <v>1000000</v>
      </c>
    </row>
    <row r="437" spans="1:29" ht="17.25" customHeight="1">
      <c r="A437" s="4" t="s">
        <v>135</v>
      </c>
      <c r="B437" s="58" t="s">
        <v>168</v>
      </c>
      <c r="C437" s="65" t="s">
        <v>167</v>
      </c>
      <c r="D437" s="58" t="str">
        <f>VLOOKUP(C437,코드!$E$3:$F$30,2,FALSE)</f>
        <v>8651</v>
      </c>
      <c r="E437" s="66" t="s">
        <v>166</v>
      </c>
      <c r="F437" s="65" t="s">
        <v>165</v>
      </c>
      <c r="G437" s="66" t="s">
        <v>164</v>
      </c>
      <c r="H437" s="65" t="s">
        <v>170</v>
      </c>
      <c r="I437" s="65" t="s">
        <v>174</v>
      </c>
      <c r="J437" s="58" t="s">
        <v>130</v>
      </c>
      <c r="K437" s="58" t="s">
        <v>17</v>
      </c>
      <c r="L437" s="58">
        <f>VLOOKUP(K437,코드!$B$3:$C$29,2,FALSE)</f>
        <v>4241130</v>
      </c>
      <c r="M437" s="58" t="s">
        <v>107</v>
      </c>
      <c r="N437" s="58" t="s">
        <v>161</v>
      </c>
      <c r="O437" s="63">
        <v>100000</v>
      </c>
      <c r="P437" s="63">
        <v>1</v>
      </c>
      <c r="Q437" s="63">
        <v>30</v>
      </c>
      <c r="R437" s="63">
        <v>750000</v>
      </c>
      <c r="S437" s="63"/>
      <c r="T437" s="62">
        <v>750000</v>
      </c>
      <c r="U437" s="61" t="s">
        <v>127</v>
      </c>
      <c r="V437" s="60">
        <f t="shared" si="30"/>
        <v>1</v>
      </c>
      <c r="W437" s="5" t="s">
        <v>173</v>
      </c>
    </row>
    <row r="438" spans="1:29" ht="17.25" customHeight="1">
      <c r="A438" s="4" t="s">
        <v>135</v>
      </c>
      <c r="B438" s="58" t="s">
        <v>168</v>
      </c>
      <c r="C438" s="65" t="s">
        <v>167</v>
      </c>
      <c r="D438" s="58" t="str">
        <f>VLOOKUP(C438,코드!$E$3:$F$30,2,FALSE)</f>
        <v>8651</v>
      </c>
      <c r="E438" s="66" t="s">
        <v>166</v>
      </c>
      <c r="F438" s="65" t="s">
        <v>165</v>
      </c>
      <c r="G438" s="66" t="s">
        <v>164</v>
      </c>
      <c r="H438" s="65" t="s">
        <v>170</v>
      </c>
      <c r="I438" s="65" t="s">
        <v>172</v>
      </c>
      <c r="J438" s="58" t="s">
        <v>130</v>
      </c>
      <c r="K438" s="58" t="s">
        <v>17</v>
      </c>
      <c r="L438" s="58">
        <f>VLOOKUP(K438,코드!$B$3:$C$29,2,FALSE)</f>
        <v>4241130</v>
      </c>
      <c r="M438" s="58" t="s">
        <v>120</v>
      </c>
      <c r="N438" s="58" t="s">
        <v>161</v>
      </c>
      <c r="O438" s="63">
        <v>160000</v>
      </c>
      <c r="P438" s="63">
        <v>15</v>
      </c>
      <c r="Q438" s="63">
        <v>3</v>
      </c>
      <c r="R438" s="63">
        <v>10000000</v>
      </c>
      <c r="S438" s="63"/>
      <c r="T438" s="97">
        <v>7000000</v>
      </c>
      <c r="U438" s="61" t="s">
        <v>127</v>
      </c>
      <c r="V438" s="60">
        <f t="shared" si="30"/>
        <v>0.7</v>
      </c>
    </row>
    <row r="439" spans="1:29" ht="17.25" customHeight="1">
      <c r="A439" s="4" t="s">
        <v>135</v>
      </c>
      <c r="B439" s="58" t="s">
        <v>168</v>
      </c>
      <c r="C439" s="65" t="s">
        <v>167</v>
      </c>
      <c r="D439" s="58" t="str">
        <f>VLOOKUP(C439,코드!$E$3:$F$30,2,FALSE)</f>
        <v>8651</v>
      </c>
      <c r="E439" s="66" t="s">
        <v>166</v>
      </c>
      <c r="F439" s="65" t="s">
        <v>171</v>
      </c>
      <c r="G439" s="66" t="s">
        <v>164</v>
      </c>
      <c r="H439" s="65" t="s">
        <v>170</v>
      </c>
      <c r="I439" s="65" t="s">
        <v>169</v>
      </c>
      <c r="J439" s="58" t="s">
        <v>60</v>
      </c>
      <c r="K439" s="58" t="s">
        <v>17</v>
      </c>
      <c r="L439" s="58">
        <f>VLOOKUP(K439,코드!$B$3:$C$29,2,FALSE)</f>
        <v>4241130</v>
      </c>
      <c r="M439" s="58" t="s">
        <v>120</v>
      </c>
      <c r="N439" s="58" t="s">
        <v>161</v>
      </c>
      <c r="O439" s="63">
        <v>40000</v>
      </c>
      <c r="P439" s="63">
        <v>15</v>
      </c>
      <c r="Q439" s="63">
        <v>3</v>
      </c>
      <c r="R439" s="63">
        <v>5000000</v>
      </c>
      <c r="S439" s="63"/>
      <c r="T439" s="97">
        <v>0</v>
      </c>
      <c r="U439" s="61"/>
      <c r="V439" s="60">
        <f t="shared" si="30"/>
        <v>0</v>
      </c>
    </row>
    <row r="440" spans="1:29" ht="17.25" customHeight="1">
      <c r="A440" s="4" t="s">
        <v>135</v>
      </c>
      <c r="B440" s="58" t="s">
        <v>168</v>
      </c>
      <c r="C440" s="65" t="s">
        <v>167</v>
      </c>
      <c r="D440" s="58" t="str">
        <f>VLOOKUP(C440,코드!$E$3:$F$30,2,FALSE)</f>
        <v>8651</v>
      </c>
      <c r="E440" s="66" t="s">
        <v>166</v>
      </c>
      <c r="F440" s="65" t="s">
        <v>165</v>
      </c>
      <c r="G440" s="66" t="s">
        <v>164</v>
      </c>
      <c r="H440" s="65" t="s">
        <v>163</v>
      </c>
      <c r="I440" s="65" t="s">
        <v>162</v>
      </c>
      <c r="J440" s="58" t="s">
        <v>130</v>
      </c>
      <c r="K440" s="58" t="s">
        <v>29</v>
      </c>
      <c r="L440" s="58">
        <f>VLOOKUP(K440,코드!$B$3:$C$29,2,FALSE)</f>
        <v>4113401</v>
      </c>
      <c r="M440" s="58" t="s">
        <v>107</v>
      </c>
      <c r="N440" s="58" t="s">
        <v>161</v>
      </c>
      <c r="O440" s="63">
        <v>150000</v>
      </c>
      <c r="P440" s="63">
        <v>1</v>
      </c>
      <c r="Q440" s="63">
        <v>10</v>
      </c>
      <c r="R440" s="63">
        <v>1000000</v>
      </c>
      <c r="S440" s="63"/>
      <c r="T440" s="97">
        <v>0</v>
      </c>
      <c r="U440" s="61"/>
      <c r="V440" s="60">
        <f t="shared" si="30"/>
        <v>0</v>
      </c>
    </row>
    <row r="441" spans="1:29" ht="17.25" customHeight="1">
      <c r="A441" s="4" t="s">
        <v>135</v>
      </c>
      <c r="B441" s="58"/>
      <c r="C441" s="65"/>
      <c r="D441" s="58"/>
      <c r="E441" s="66"/>
      <c r="F441" s="65"/>
      <c r="G441" s="66"/>
      <c r="H441" s="65"/>
      <c r="I441" s="65"/>
      <c r="J441" s="58"/>
      <c r="K441" s="58"/>
      <c r="L441" s="58"/>
      <c r="M441" s="58"/>
      <c r="N441" s="58"/>
      <c r="O441" s="63"/>
      <c r="P441" s="63"/>
      <c r="Q441" s="63"/>
      <c r="R441" s="63"/>
      <c r="S441" s="63"/>
      <c r="T441" s="97"/>
      <c r="U441" s="61"/>
      <c r="V441" s="60" t="s">
        <v>126</v>
      </c>
    </row>
    <row r="442" spans="1:29" ht="17.25" customHeight="1">
      <c r="A442" s="4" t="s">
        <v>135</v>
      </c>
      <c r="B442" s="58" t="s">
        <v>134</v>
      </c>
      <c r="C442" s="65" t="s">
        <v>152</v>
      </c>
      <c r="D442" s="58" t="str">
        <f>VLOOKUP(C442,코드!$E$3:$F$30,2,FALSE)</f>
        <v>8701</v>
      </c>
      <c r="E442" s="65" t="s">
        <v>132</v>
      </c>
      <c r="F442" s="65" t="s">
        <v>151</v>
      </c>
      <c r="G442" s="66" t="s">
        <v>157</v>
      </c>
      <c r="H442" s="65" t="s">
        <v>157</v>
      </c>
      <c r="I442" s="65" t="s">
        <v>160</v>
      </c>
      <c r="J442" s="58" t="s">
        <v>130</v>
      </c>
      <c r="K442" s="58" t="s">
        <v>17</v>
      </c>
      <c r="L442" s="58">
        <f>VLOOKUP(K442,코드!$B$3:$C$29,2,FALSE)</f>
        <v>4241130</v>
      </c>
      <c r="M442" s="58" t="s">
        <v>159</v>
      </c>
      <c r="N442" s="58" t="s">
        <v>128</v>
      </c>
      <c r="O442" s="63">
        <v>600000</v>
      </c>
      <c r="P442" s="63">
        <v>3</v>
      </c>
      <c r="Q442" s="63">
        <v>2</v>
      </c>
      <c r="R442" s="63">
        <v>3000000</v>
      </c>
      <c r="S442" s="63"/>
      <c r="T442" s="62">
        <v>1200000</v>
      </c>
      <c r="U442" s="185" t="s">
        <v>542</v>
      </c>
      <c r="V442" s="60">
        <f t="shared" ref="V442:V449" si="31">T442/R442</f>
        <v>0.4</v>
      </c>
    </row>
    <row r="443" spans="1:29" ht="17.25" customHeight="1">
      <c r="A443" s="4" t="s">
        <v>135</v>
      </c>
      <c r="B443" s="58" t="s">
        <v>134</v>
      </c>
      <c r="C443" s="65" t="s">
        <v>152</v>
      </c>
      <c r="D443" s="58" t="str">
        <f>VLOOKUP(C443,코드!$E$3:$F$30,2,FALSE)</f>
        <v>8701</v>
      </c>
      <c r="E443" s="65" t="s">
        <v>132</v>
      </c>
      <c r="F443" s="65" t="s">
        <v>151</v>
      </c>
      <c r="G443" s="66" t="s">
        <v>157</v>
      </c>
      <c r="H443" s="65" t="s">
        <v>157</v>
      </c>
      <c r="I443" s="65" t="s">
        <v>156</v>
      </c>
      <c r="J443" s="58" t="s">
        <v>130</v>
      </c>
      <c r="K443" s="58" t="s">
        <v>9</v>
      </c>
      <c r="L443" s="58">
        <f>VLOOKUP(K443,코드!$B$3:$C$29,2,FALSE)</f>
        <v>4321701</v>
      </c>
      <c r="M443" s="58" t="s">
        <v>159</v>
      </c>
      <c r="N443" s="58" t="s">
        <v>128</v>
      </c>
      <c r="O443" s="92">
        <v>3500000</v>
      </c>
      <c r="P443" s="92">
        <v>1</v>
      </c>
      <c r="Q443" s="92">
        <v>1</v>
      </c>
      <c r="R443" s="92">
        <v>1400000</v>
      </c>
      <c r="S443" s="63"/>
      <c r="T443" s="94">
        <v>1400000</v>
      </c>
      <c r="U443" s="93" t="s">
        <v>158</v>
      </c>
      <c r="V443" s="90">
        <f t="shared" si="31"/>
        <v>1</v>
      </c>
      <c r="W443" s="89"/>
      <c r="Y443" s="88"/>
    </row>
    <row r="444" spans="1:29" ht="17.25" customHeight="1">
      <c r="B444" s="58" t="s">
        <v>134</v>
      </c>
      <c r="C444" s="65" t="s">
        <v>152</v>
      </c>
      <c r="D444" s="58" t="str">
        <f>VLOOKUP(C444,코드!$E$3:$F$30,2,FALSE)</f>
        <v>8701</v>
      </c>
      <c r="E444" s="65" t="s">
        <v>132</v>
      </c>
      <c r="F444" s="65" t="s">
        <v>151</v>
      </c>
      <c r="G444" s="66" t="s">
        <v>157</v>
      </c>
      <c r="H444" s="65" t="s">
        <v>157</v>
      </c>
      <c r="I444" s="65" t="s">
        <v>156</v>
      </c>
      <c r="J444" s="58" t="s">
        <v>130</v>
      </c>
      <c r="K444" s="58" t="s">
        <v>9</v>
      </c>
      <c r="L444" s="4">
        <v>4321701</v>
      </c>
      <c r="M444" s="58"/>
      <c r="N444" s="61" t="s">
        <v>7</v>
      </c>
      <c r="O444" s="92"/>
      <c r="P444" s="92"/>
      <c r="Q444" s="92"/>
      <c r="R444" s="14">
        <v>2100000</v>
      </c>
      <c r="S444" s="139"/>
      <c r="T444" s="251">
        <v>2100000</v>
      </c>
      <c r="U444" s="91" t="s">
        <v>877</v>
      </c>
      <c r="V444" s="90">
        <f t="shared" si="31"/>
        <v>1</v>
      </c>
      <c r="W444" s="89"/>
      <c r="Y444" s="88"/>
    </row>
    <row r="445" spans="1:29" ht="17.25" customHeight="1">
      <c r="A445" s="4" t="s">
        <v>135</v>
      </c>
      <c r="B445" s="58" t="s">
        <v>134</v>
      </c>
      <c r="C445" s="65" t="s">
        <v>152</v>
      </c>
      <c r="D445" s="58" t="str">
        <f>VLOOKUP(C445,코드!$E$3:$F$30,2,FALSE)</f>
        <v>8701</v>
      </c>
      <c r="E445" s="65" t="s">
        <v>132</v>
      </c>
      <c r="F445" s="65" t="s">
        <v>151</v>
      </c>
      <c r="G445" s="66" t="s">
        <v>150</v>
      </c>
      <c r="H445" s="66" t="s">
        <v>150</v>
      </c>
      <c r="I445" s="66" t="s">
        <v>155</v>
      </c>
      <c r="J445" s="58" t="s">
        <v>60</v>
      </c>
      <c r="K445" s="58" t="s">
        <v>29</v>
      </c>
      <c r="L445" s="58">
        <f>VLOOKUP(K445,코드!$B$3:$C$29,2,FALSE)</f>
        <v>4113401</v>
      </c>
      <c r="M445" s="58" t="s">
        <v>154</v>
      </c>
      <c r="N445" s="58" t="s">
        <v>128</v>
      </c>
      <c r="O445" s="63">
        <v>1200000</v>
      </c>
      <c r="P445" s="63">
        <v>1</v>
      </c>
      <c r="Q445" s="63">
        <v>7</v>
      </c>
      <c r="R445" s="250">
        <v>7200000</v>
      </c>
      <c r="S445" s="63"/>
      <c r="T445" s="62"/>
      <c r="U445" s="185"/>
      <c r="V445" s="60">
        <f t="shared" si="31"/>
        <v>0</v>
      </c>
      <c r="W445" s="44"/>
      <c r="Y445" s="44"/>
    </row>
    <row r="446" spans="1:29" ht="17.25" customHeight="1">
      <c r="A446" s="4" t="s">
        <v>135</v>
      </c>
      <c r="B446" s="58" t="s">
        <v>134</v>
      </c>
      <c r="C446" s="65" t="s">
        <v>152</v>
      </c>
      <c r="D446" s="58" t="str">
        <f>VLOOKUP(C446,코드!$E$3:$F$30,2,FALSE)</f>
        <v>8701</v>
      </c>
      <c r="E446" s="65" t="s">
        <v>132</v>
      </c>
      <c r="F446" s="65" t="s">
        <v>151</v>
      </c>
      <c r="G446" s="66" t="s">
        <v>150</v>
      </c>
      <c r="H446" s="66" t="s">
        <v>150</v>
      </c>
      <c r="I446" s="66" t="s">
        <v>149</v>
      </c>
      <c r="J446" s="58" t="s">
        <v>41</v>
      </c>
      <c r="K446" s="86" t="s">
        <v>148</v>
      </c>
      <c r="L446" s="86">
        <f>VLOOKUP(K446,코드!$B$3:$C$29,2,FALSE)</f>
        <v>1314901</v>
      </c>
      <c r="M446" s="86" t="s">
        <v>147</v>
      </c>
      <c r="N446" s="86" t="s">
        <v>146</v>
      </c>
      <c r="O446" s="63">
        <v>300000</v>
      </c>
      <c r="P446" s="63">
        <v>1</v>
      </c>
      <c r="Q446" s="63">
        <v>6</v>
      </c>
      <c r="R446" s="250">
        <v>1374000</v>
      </c>
      <c r="S446" s="63"/>
      <c r="T446" s="62">
        <v>1374000</v>
      </c>
      <c r="U446" s="84" t="s">
        <v>145</v>
      </c>
      <c r="V446" s="60">
        <f t="shared" si="31"/>
        <v>1</v>
      </c>
      <c r="W446" s="44"/>
      <c r="Y446" s="44"/>
    </row>
    <row r="447" spans="1:29" s="59" customFormat="1" ht="17.25" customHeight="1">
      <c r="A447" s="4" t="s">
        <v>135</v>
      </c>
      <c r="B447" s="79" t="s">
        <v>134</v>
      </c>
      <c r="C447" s="71" t="s">
        <v>140</v>
      </c>
      <c r="D447" s="79" t="str">
        <f>VLOOKUP(C447,[2]코드!$E$3:$F$29,2,FALSE)</f>
        <v>8717</v>
      </c>
      <c r="E447" s="61" t="s">
        <v>132</v>
      </c>
      <c r="F447" s="61" t="s">
        <v>144</v>
      </c>
      <c r="G447" s="83" t="s">
        <v>143</v>
      </c>
      <c r="H447" s="61" t="s">
        <v>142</v>
      </c>
      <c r="I447" s="61" t="s">
        <v>141</v>
      </c>
      <c r="J447" s="79" t="s">
        <v>130</v>
      </c>
      <c r="K447" s="79" t="s">
        <v>17</v>
      </c>
      <c r="L447" s="58">
        <f>VLOOKUP(K447,코드!$B$3:$C$29,2,FALSE)</f>
        <v>4241130</v>
      </c>
      <c r="M447" s="79" t="s">
        <v>129</v>
      </c>
      <c r="N447" s="79" t="s">
        <v>128</v>
      </c>
      <c r="O447" s="82">
        <v>200000</v>
      </c>
      <c r="P447" s="82">
        <v>1</v>
      </c>
      <c r="Q447" s="82">
        <v>50</v>
      </c>
      <c r="R447" s="63">
        <f>O447*P447*Q447</f>
        <v>10000000</v>
      </c>
      <c r="S447" s="63"/>
      <c r="T447" s="78">
        <v>10000000</v>
      </c>
      <c r="U447" s="71" t="s">
        <v>136</v>
      </c>
      <c r="V447" s="60">
        <f t="shared" si="31"/>
        <v>1</v>
      </c>
      <c r="W447" s="73"/>
      <c r="X447" s="74"/>
      <c r="Y447" s="73"/>
      <c r="AC447" s="46"/>
    </row>
    <row r="448" spans="1:29" s="59" customFormat="1" ht="17.25" customHeight="1">
      <c r="A448" s="4" t="s">
        <v>135</v>
      </c>
      <c r="B448" s="79" t="s">
        <v>134</v>
      </c>
      <c r="C448" s="71" t="s">
        <v>140</v>
      </c>
      <c r="D448" s="79" t="str">
        <f>VLOOKUP(C448,[2]코드!$E$3:$F$29,2,FALSE)</f>
        <v>8717</v>
      </c>
      <c r="E448" s="61" t="s">
        <v>132</v>
      </c>
      <c r="F448" s="61" t="s">
        <v>139</v>
      </c>
      <c r="G448" s="83" t="s">
        <v>138</v>
      </c>
      <c r="H448" s="61" t="s">
        <v>137</v>
      </c>
      <c r="I448" s="61" t="s">
        <v>137</v>
      </c>
      <c r="J448" s="79" t="s">
        <v>130</v>
      </c>
      <c r="K448" s="79" t="s">
        <v>17</v>
      </c>
      <c r="L448" s="58">
        <f>VLOOKUP(K448,코드!$B$3:$C$29,2,FALSE)</f>
        <v>4241130</v>
      </c>
      <c r="M448" s="79" t="s">
        <v>129</v>
      </c>
      <c r="N448" s="79" t="s">
        <v>128</v>
      </c>
      <c r="O448" s="82">
        <v>20000</v>
      </c>
      <c r="P448" s="82">
        <v>10</v>
      </c>
      <c r="Q448" s="82">
        <v>50</v>
      </c>
      <c r="R448" s="63">
        <f>O448*P448*Q448</f>
        <v>10000000</v>
      </c>
      <c r="S448" s="63"/>
      <c r="T448" s="78">
        <v>10000000</v>
      </c>
      <c r="U448" s="71" t="s">
        <v>136</v>
      </c>
      <c r="V448" s="60">
        <f t="shared" si="31"/>
        <v>1</v>
      </c>
      <c r="W448" s="73"/>
      <c r="X448" s="74"/>
      <c r="Y448" s="73"/>
      <c r="AC448" s="46"/>
    </row>
    <row r="449" spans="1:29" ht="17.25" customHeight="1">
      <c r="A449" s="4" t="s">
        <v>135</v>
      </c>
      <c r="B449" s="58" t="s">
        <v>134</v>
      </c>
      <c r="C449" s="65" t="s">
        <v>133</v>
      </c>
      <c r="D449" s="58" t="str">
        <f>VLOOKUP(C449,코드!$E$3:$F$30,2,FALSE)</f>
        <v>8621</v>
      </c>
      <c r="E449" s="66" t="s">
        <v>132</v>
      </c>
      <c r="F449" s="65" t="s">
        <v>131</v>
      </c>
      <c r="G449" s="81"/>
      <c r="H449" s="80"/>
      <c r="I449" s="80"/>
      <c r="J449" s="58" t="s">
        <v>130</v>
      </c>
      <c r="K449" s="58" t="s">
        <v>17</v>
      </c>
      <c r="L449" s="58">
        <f>VLOOKUP(K449,코드!$B$3:$C$29,2,FALSE)</f>
        <v>4241130</v>
      </c>
      <c r="M449" s="58" t="s">
        <v>129</v>
      </c>
      <c r="N449" s="79" t="s">
        <v>128</v>
      </c>
      <c r="O449" s="63">
        <v>10000000</v>
      </c>
      <c r="P449" s="63">
        <v>1</v>
      </c>
      <c r="Q449" s="63">
        <v>1</v>
      </c>
      <c r="R449" s="63">
        <v>7500000</v>
      </c>
      <c r="S449" s="63"/>
      <c r="T449" s="62">
        <v>7500000</v>
      </c>
      <c r="U449" s="61" t="s">
        <v>127</v>
      </c>
      <c r="V449" s="60">
        <f t="shared" si="31"/>
        <v>1</v>
      </c>
      <c r="W449" s="44"/>
      <c r="Y449" s="44"/>
    </row>
    <row r="450" spans="1:29" ht="17.25" customHeight="1">
      <c r="B450" s="58"/>
      <c r="C450" s="65"/>
      <c r="D450" s="58"/>
      <c r="E450" s="66"/>
      <c r="F450" s="65"/>
      <c r="G450" s="66"/>
      <c r="H450" s="65"/>
      <c r="I450" s="65"/>
      <c r="J450" s="58"/>
      <c r="K450" s="58"/>
      <c r="L450" s="58"/>
      <c r="M450" s="58"/>
      <c r="N450" s="79"/>
      <c r="O450" s="63"/>
      <c r="P450" s="63"/>
      <c r="Q450" s="63"/>
      <c r="R450" s="63"/>
      <c r="S450" s="63"/>
      <c r="T450" s="62"/>
      <c r="U450" s="61"/>
      <c r="V450" s="60" t="s">
        <v>126</v>
      </c>
      <c r="W450" s="44"/>
      <c r="Y450" s="44"/>
    </row>
    <row r="451" spans="1:29" s="59" customFormat="1" ht="17.25" customHeight="1">
      <c r="A451" s="59" t="s">
        <v>75</v>
      </c>
      <c r="B451" s="72" t="s">
        <v>75</v>
      </c>
      <c r="C451" s="65" t="s">
        <v>88</v>
      </c>
      <c r="D451" s="58">
        <f>VLOOKUP(C451,코드!$E$3:$F$30,2,FALSE)</f>
        <v>8719</v>
      </c>
      <c r="E451" s="66" t="s">
        <v>73</v>
      </c>
      <c r="F451" s="65" t="s">
        <v>73</v>
      </c>
      <c r="G451" s="66" t="s">
        <v>87</v>
      </c>
      <c r="H451" s="65" t="s">
        <v>124</v>
      </c>
      <c r="I451" s="65" t="s">
        <v>125</v>
      </c>
      <c r="J451" s="72" t="s">
        <v>80</v>
      </c>
      <c r="K451" s="72" t="s">
        <v>17</v>
      </c>
      <c r="L451" s="58">
        <f>VLOOKUP(K451,코드!$B$3:$C$29,2,FALSE)</f>
        <v>4241130</v>
      </c>
      <c r="M451" s="72" t="s">
        <v>116</v>
      </c>
      <c r="N451" s="72" t="s">
        <v>77</v>
      </c>
      <c r="O451" s="75">
        <v>12000000</v>
      </c>
      <c r="P451" s="75">
        <v>1</v>
      </c>
      <c r="Q451" s="75">
        <v>1</v>
      </c>
      <c r="R451" s="75">
        <f>O451*P451*Q451</f>
        <v>12000000</v>
      </c>
      <c r="S451" s="75"/>
      <c r="T451" s="78">
        <v>12000000</v>
      </c>
      <c r="U451" s="71" t="s">
        <v>67</v>
      </c>
      <c r="V451" s="60">
        <f t="shared" ref="V451:V471" si="32">T451/R451</f>
        <v>1</v>
      </c>
      <c r="W451" s="73"/>
      <c r="X451" s="74"/>
      <c r="Y451" s="73"/>
      <c r="AC451" s="46"/>
    </row>
    <row r="452" spans="1:29" s="59" customFormat="1" ht="17.25" customHeight="1">
      <c r="A452" s="59" t="s">
        <v>75</v>
      </c>
      <c r="B452" s="72" t="s">
        <v>75</v>
      </c>
      <c r="C452" s="65" t="s">
        <v>88</v>
      </c>
      <c r="D452" s="58">
        <f>VLOOKUP(C452,코드!$E$3:$F$30,2,FALSE)</f>
        <v>8719</v>
      </c>
      <c r="E452" s="66" t="s">
        <v>73</v>
      </c>
      <c r="F452" s="65" t="s">
        <v>73</v>
      </c>
      <c r="G452" s="66" t="s">
        <v>87</v>
      </c>
      <c r="H452" s="65" t="s">
        <v>124</v>
      </c>
      <c r="I452" s="65" t="s">
        <v>123</v>
      </c>
      <c r="J452" s="72" t="s">
        <v>80</v>
      </c>
      <c r="K452" s="72" t="s">
        <v>17</v>
      </c>
      <c r="L452" s="58">
        <f>VLOOKUP(K452,코드!$B$3:$C$29,2,FALSE)</f>
        <v>4241130</v>
      </c>
      <c r="M452" s="72" t="s">
        <v>116</v>
      </c>
      <c r="N452" s="72" t="s">
        <v>77</v>
      </c>
      <c r="O452" s="75">
        <v>52510000</v>
      </c>
      <c r="P452" s="75">
        <v>1</v>
      </c>
      <c r="Q452" s="75">
        <v>1</v>
      </c>
      <c r="R452" s="75">
        <f>O452*P452*Q452</f>
        <v>52510000</v>
      </c>
      <c r="S452" s="75"/>
      <c r="T452" s="77">
        <v>52510000</v>
      </c>
      <c r="U452" s="71" t="s">
        <v>67</v>
      </c>
      <c r="V452" s="60">
        <f t="shared" si="32"/>
        <v>1</v>
      </c>
      <c r="W452" s="73"/>
      <c r="X452" s="74"/>
      <c r="Y452" s="73"/>
      <c r="AC452" s="46"/>
    </row>
    <row r="453" spans="1:29" s="59" customFormat="1" ht="17.25" customHeight="1">
      <c r="A453" s="59" t="s">
        <v>75</v>
      </c>
      <c r="B453" s="72" t="s">
        <v>75</v>
      </c>
      <c r="C453" s="65" t="s">
        <v>88</v>
      </c>
      <c r="D453" s="58">
        <f>VLOOKUP(C453,코드!$E$3:$F$30,2,FALSE)</f>
        <v>8719</v>
      </c>
      <c r="E453" s="66" t="s">
        <v>73</v>
      </c>
      <c r="F453" s="65" t="s">
        <v>73</v>
      </c>
      <c r="G453" s="66" t="s">
        <v>87</v>
      </c>
      <c r="H453" s="65" t="s">
        <v>122</v>
      </c>
      <c r="I453" s="65" t="s">
        <v>121</v>
      </c>
      <c r="J453" s="72" t="s">
        <v>80</v>
      </c>
      <c r="K453" s="72" t="s">
        <v>17</v>
      </c>
      <c r="L453" s="58">
        <f>VLOOKUP(K453,코드!$B$3:$C$29,2,FALSE)</f>
        <v>4241130</v>
      </c>
      <c r="M453" s="72" t="s">
        <v>120</v>
      </c>
      <c r="N453" s="72" t="s">
        <v>77</v>
      </c>
      <c r="O453" s="75"/>
      <c r="P453" s="75"/>
      <c r="Q453" s="75"/>
      <c r="R453" s="75">
        <v>5000000</v>
      </c>
      <c r="S453" s="75"/>
      <c r="T453" s="75">
        <v>5000000</v>
      </c>
      <c r="U453" s="71" t="s">
        <v>67</v>
      </c>
      <c r="V453" s="60">
        <f t="shared" si="32"/>
        <v>1</v>
      </c>
      <c r="W453" s="73"/>
      <c r="X453" s="74"/>
      <c r="Y453" s="73"/>
      <c r="AC453" s="46"/>
    </row>
    <row r="454" spans="1:29" ht="17.25" customHeight="1">
      <c r="A454" s="59" t="s">
        <v>75</v>
      </c>
      <c r="B454" s="58" t="s">
        <v>75</v>
      </c>
      <c r="C454" s="65" t="s">
        <v>88</v>
      </c>
      <c r="D454" s="58">
        <f>VLOOKUP(C454,코드!$E$3:$F$30,2,FALSE)</f>
        <v>8719</v>
      </c>
      <c r="E454" s="66" t="s">
        <v>73</v>
      </c>
      <c r="F454" s="65" t="s">
        <v>73</v>
      </c>
      <c r="G454" s="66" t="s">
        <v>87</v>
      </c>
      <c r="H454" s="65" t="s">
        <v>86</v>
      </c>
      <c r="I454" s="65" t="s">
        <v>119</v>
      </c>
      <c r="J454" s="58" t="s">
        <v>80</v>
      </c>
      <c r="K454" s="72" t="s">
        <v>17</v>
      </c>
      <c r="L454" s="58">
        <f>VLOOKUP(K454,코드!$B$3:$C$29,2,FALSE)</f>
        <v>4241130</v>
      </c>
      <c r="M454" s="58" t="s">
        <v>116</v>
      </c>
      <c r="N454" s="58" t="s">
        <v>77</v>
      </c>
      <c r="O454" s="63">
        <v>50000</v>
      </c>
      <c r="P454" s="63">
        <v>30</v>
      </c>
      <c r="Q454" s="63">
        <v>4</v>
      </c>
      <c r="R454" s="63">
        <f>O454*P454*Q454</f>
        <v>6000000</v>
      </c>
      <c r="S454" s="63"/>
      <c r="T454" s="62">
        <v>6000000</v>
      </c>
      <c r="U454" s="71" t="s">
        <v>67</v>
      </c>
      <c r="V454" s="60">
        <f t="shared" si="32"/>
        <v>1</v>
      </c>
      <c r="W454" s="44"/>
      <c r="Y454" s="44"/>
    </row>
    <row r="455" spans="1:29" ht="17.25" customHeight="1">
      <c r="A455" s="59" t="s">
        <v>75</v>
      </c>
      <c r="B455" s="58" t="s">
        <v>75</v>
      </c>
      <c r="C455" s="65" t="s">
        <v>88</v>
      </c>
      <c r="D455" s="58">
        <f>VLOOKUP(C455,코드!$E$3:$F$30,2,FALSE)</f>
        <v>8719</v>
      </c>
      <c r="E455" s="66" t="s">
        <v>73</v>
      </c>
      <c r="F455" s="65" t="s">
        <v>73</v>
      </c>
      <c r="G455" s="66" t="s">
        <v>87</v>
      </c>
      <c r="H455" s="65" t="s">
        <v>86</v>
      </c>
      <c r="I455" s="65" t="s">
        <v>118</v>
      </c>
      <c r="J455" s="58" t="s">
        <v>80</v>
      </c>
      <c r="K455" s="58" t="s">
        <v>17</v>
      </c>
      <c r="L455" s="58">
        <f>VLOOKUP(K455,코드!$B$3:$C$29,2,FALSE)</f>
        <v>4241130</v>
      </c>
      <c r="M455" s="58" t="s">
        <v>116</v>
      </c>
      <c r="N455" s="58" t="s">
        <v>77</v>
      </c>
      <c r="O455" s="63">
        <v>10257000</v>
      </c>
      <c r="P455" s="63">
        <v>1</v>
      </c>
      <c r="Q455" s="63">
        <v>1</v>
      </c>
      <c r="R455" s="63">
        <f>O455*P455*Q455</f>
        <v>10257000</v>
      </c>
      <c r="S455" s="63"/>
      <c r="T455" s="62">
        <v>10257000</v>
      </c>
      <c r="U455" s="61" t="s">
        <v>67</v>
      </c>
      <c r="V455" s="60">
        <f t="shared" si="32"/>
        <v>1</v>
      </c>
      <c r="W455" s="44"/>
      <c r="Y455" s="44"/>
    </row>
    <row r="456" spans="1:29" ht="17.25" customHeight="1">
      <c r="A456" s="59" t="s">
        <v>75</v>
      </c>
      <c r="B456" s="58" t="s">
        <v>75</v>
      </c>
      <c r="C456" s="65" t="s">
        <v>88</v>
      </c>
      <c r="D456" s="58">
        <f>VLOOKUP(C456,코드!$E$3:$F$30,2,FALSE)</f>
        <v>8719</v>
      </c>
      <c r="E456" s="66" t="s">
        <v>73</v>
      </c>
      <c r="F456" s="65" t="s">
        <v>73</v>
      </c>
      <c r="G456" s="66" t="s">
        <v>87</v>
      </c>
      <c r="H456" s="65" t="s">
        <v>86</v>
      </c>
      <c r="I456" s="65" t="s">
        <v>117</v>
      </c>
      <c r="J456" s="58" t="s">
        <v>80</v>
      </c>
      <c r="K456" s="58" t="s">
        <v>17</v>
      </c>
      <c r="L456" s="58">
        <f>VLOOKUP(K456,코드!$B$3:$C$29,2,FALSE)</f>
        <v>4241130</v>
      </c>
      <c r="M456" s="58" t="s">
        <v>116</v>
      </c>
      <c r="N456" s="58" t="s">
        <v>77</v>
      </c>
      <c r="O456" s="63">
        <v>1000000</v>
      </c>
      <c r="P456" s="63">
        <v>1</v>
      </c>
      <c r="Q456" s="63">
        <v>12</v>
      </c>
      <c r="R456" s="63">
        <v>20000000</v>
      </c>
      <c r="S456" s="63"/>
      <c r="T456" s="62">
        <v>20000000</v>
      </c>
      <c r="U456" s="71" t="s">
        <v>67</v>
      </c>
      <c r="V456" s="60">
        <f t="shared" si="32"/>
        <v>1</v>
      </c>
      <c r="W456" s="44"/>
      <c r="Y456" s="44"/>
    </row>
    <row r="457" spans="1:29" ht="17.25" customHeight="1">
      <c r="A457" s="59" t="s">
        <v>75</v>
      </c>
      <c r="B457" s="58" t="s">
        <v>75</v>
      </c>
      <c r="C457" s="65" t="s">
        <v>88</v>
      </c>
      <c r="D457" s="58">
        <f>VLOOKUP(C457,코드!$E$3:$F$30,2,FALSE)</f>
        <v>8719</v>
      </c>
      <c r="E457" s="66" t="s">
        <v>73</v>
      </c>
      <c r="F457" s="65" t="s">
        <v>73</v>
      </c>
      <c r="G457" s="66" t="s">
        <v>87</v>
      </c>
      <c r="H457" s="65" t="s">
        <v>86</v>
      </c>
      <c r="I457" s="65" t="s">
        <v>115</v>
      </c>
      <c r="J457" s="58" t="s">
        <v>80</v>
      </c>
      <c r="K457" s="58" t="s">
        <v>114</v>
      </c>
      <c r="L457" s="58">
        <f>VLOOKUP(K457,코드!$B$3:$C$29,2,FALSE)</f>
        <v>1314903</v>
      </c>
      <c r="M457" s="58" t="s">
        <v>111</v>
      </c>
      <c r="N457" s="58" t="s">
        <v>77</v>
      </c>
      <c r="O457" s="63">
        <v>2500000</v>
      </c>
      <c r="P457" s="63">
        <v>1</v>
      </c>
      <c r="Q457" s="63">
        <v>5</v>
      </c>
      <c r="R457" s="63">
        <f>O457*P457*Q457+8613000-4000000</f>
        <v>17113000</v>
      </c>
      <c r="S457" s="63"/>
      <c r="T457" s="63">
        <v>17113000</v>
      </c>
      <c r="U457" s="61" t="s">
        <v>67</v>
      </c>
      <c r="V457" s="60">
        <f t="shared" si="32"/>
        <v>1</v>
      </c>
      <c r="W457" s="44"/>
      <c r="Y457" s="44"/>
    </row>
    <row r="458" spans="1:29" ht="17.25" customHeight="1">
      <c r="A458" s="59" t="s">
        <v>75</v>
      </c>
      <c r="B458" s="58" t="s">
        <v>75</v>
      </c>
      <c r="C458" s="65" t="s">
        <v>88</v>
      </c>
      <c r="D458" s="58">
        <f>VLOOKUP(C458,코드!$E$3:$F$30,2,FALSE)</f>
        <v>8719</v>
      </c>
      <c r="E458" s="66" t="s">
        <v>73</v>
      </c>
      <c r="F458" s="65" t="s">
        <v>73</v>
      </c>
      <c r="G458" s="66" t="s">
        <v>87</v>
      </c>
      <c r="H458" s="65" t="s">
        <v>86</v>
      </c>
      <c r="I458" s="65" t="s">
        <v>113</v>
      </c>
      <c r="J458" s="58" t="s">
        <v>80</v>
      </c>
      <c r="K458" s="58" t="s">
        <v>112</v>
      </c>
      <c r="L458" s="58">
        <f>VLOOKUP(K458,코드!$B$3:$C$29,2,FALSE)</f>
        <v>1315903</v>
      </c>
      <c r="M458" s="58" t="s">
        <v>111</v>
      </c>
      <c r="N458" s="58" t="s">
        <v>77</v>
      </c>
      <c r="O458" s="63">
        <v>1000000</v>
      </c>
      <c r="P458" s="63">
        <v>1</v>
      </c>
      <c r="Q458" s="63">
        <v>10</v>
      </c>
      <c r="R458" s="63">
        <f>O458*P458*Q458</f>
        <v>10000000</v>
      </c>
      <c r="S458" s="63"/>
      <c r="T458" s="62">
        <v>10000000</v>
      </c>
      <c r="U458" s="71" t="s">
        <v>67</v>
      </c>
      <c r="V458" s="60">
        <f t="shared" si="32"/>
        <v>1</v>
      </c>
      <c r="W458" s="44"/>
      <c r="Y458" s="44"/>
    </row>
    <row r="459" spans="1:29" ht="17.25" customHeight="1">
      <c r="A459" s="59" t="s">
        <v>75</v>
      </c>
      <c r="B459" s="58" t="s">
        <v>75</v>
      </c>
      <c r="C459" s="65" t="s">
        <v>88</v>
      </c>
      <c r="D459" s="58">
        <f>VLOOKUP(C459,코드!$E$3:$F$30,2,FALSE)</f>
        <v>8719</v>
      </c>
      <c r="E459" s="66" t="s">
        <v>73</v>
      </c>
      <c r="F459" s="65" t="s">
        <v>73</v>
      </c>
      <c r="G459" s="66" t="s">
        <v>87</v>
      </c>
      <c r="H459" s="65" t="s">
        <v>86</v>
      </c>
      <c r="I459" s="65" t="s">
        <v>110</v>
      </c>
      <c r="J459" s="58" t="s">
        <v>80</v>
      </c>
      <c r="K459" s="58" t="s">
        <v>17</v>
      </c>
      <c r="L459" s="58">
        <f>VLOOKUP(K459,코드!$B$3:$C$29,2,FALSE)</f>
        <v>4241130</v>
      </c>
      <c r="M459" s="58" t="s">
        <v>109</v>
      </c>
      <c r="N459" s="58" t="s">
        <v>77</v>
      </c>
      <c r="O459" s="63">
        <v>30000</v>
      </c>
      <c r="P459" s="63">
        <v>10</v>
      </c>
      <c r="Q459" s="63">
        <v>30</v>
      </c>
      <c r="R459" s="63">
        <v>10000000</v>
      </c>
      <c r="S459" s="63"/>
      <c r="T459" s="62">
        <v>10000000</v>
      </c>
      <c r="U459" s="61" t="s">
        <v>67</v>
      </c>
      <c r="V459" s="60">
        <f t="shared" si="32"/>
        <v>1</v>
      </c>
      <c r="W459" s="44"/>
      <c r="Y459" s="44"/>
    </row>
    <row r="460" spans="1:29" ht="17.25" customHeight="1">
      <c r="A460" s="59" t="s">
        <v>75</v>
      </c>
      <c r="B460" s="58" t="s">
        <v>75</v>
      </c>
      <c r="C460" s="65" t="s">
        <v>88</v>
      </c>
      <c r="D460" s="58">
        <f>VLOOKUP(C460,코드!$E$3:$F$30,2,FALSE)</f>
        <v>8719</v>
      </c>
      <c r="E460" s="66" t="s">
        <v>73</v>
      </c>
      <c r="F460" s="65" t="s">
        <v>73</v>
      </c>
      <c r="G460" s="66" t="s">
        <v>87</v>
      </c>
      <c r="H460" s="65" t="s">
        <v>86</v>
      </c>
      <c r="I460" s="65" t="s">
        <v>108</v>
      </c>
      <c r="J460" s="58" t="s">
        <v>80</v>
      </c>
      <c r="K460" s="58" t="s">
        <v>17</v>
      </c>
      <c r="L460" s="58">
        <f>VLOOKUP(K460,코드!$B$3:$C$29,2,FALSE)</f>
        <v>4241130</v>
      </c>
      <c r="M460" s="58" t="s">
        <v>107</v>
      </c>
      <c r="N460" s="58" t="s">
        <v>77</v>
      </c>
      <c r="O460" s="63">
        <v>300000</v>
      </c>
      <c r="P460" s="63">
        <v>2</v>
      </c>
      <c r="Q460" s="63">
        <v>4</v>
      </c>
      <c r="R460" s="63">
        <v>820000</v>
      </c>
      <c r="S460" s="63"/>
      <c r="T460" s="63">
        <v>820000</v>
      </c>
      <c r="U460" s="71" t="s">
        <v>67</v>
      </c>
      <c r="V460" s="60">
        <f t="shared" si="32"/>
        <v>1</v>
      </c>
      <c r="W460" s="44"/>
      <c r="Y460" s="44"/>
    </row>
    <row r="461" spans="1:29" ht="17.25" customHeight="1">
      <c r="A461" s="59" t="s">
        <v>75</v>
      </c>
      <c r="B461" s="58" t="s">
        <v>75</v>
      </c>
      <c r="C461" s="65" t="s">
        <v>88</v>
      </c>
      <c r="D461" s="58">
        <f>VLOOKUP(C461,코드!$E$3:$F$30,2,FALSE)</f>
        <v>8719</v>
      </c>
      <c r="E461" s="66" t="s">
        <v>73</v>
      </c>
      <c r="F461" s="65" t="s">
        <v>73</v>
      </c>
      <c r="G461" s="66" t="s">
        <v>87</v>
      </c>
      <c r="H461" s="65" t="s">
        <v>86</v>
      </c>
      <c r="I461" s="65" t="s">
        <v>106</v>
      </c>
      <c r="J461" s="58" t="s">
        <v>80</v>
      </c>
      <c r="K461" s="58" t="s">
        <v>17</v>
      </c>
      <c r="L461" s="58">
        <f>VLOOKUP(K461,코드!$B$3:$C$29,2,FALSE)</f>
        <v>4241130</v>
      </c>
      <c r="M461" s="58" t="s">
        <v>105</v>
      </c>
      <c r="N461" s="58" t="s">
        <v>77</v>
      </c>
      <c r="O461" s="63">
        <v>150000</v>
      </c>
      <c r="P461" s="63">
        <v>3</v>
      </c>
      <c r="Q461" s="63">
        <v>10</v>
      </c>
      <c r="R461" s="63">
        <f>O461*P461*Q461</f>
        <v>4500000</v>
      </c>
      <c r="S461" s="63"/>
      <c r="T461" s="62">
        <v>4500000</v>
      </c>
      <c r="U461" s="61" t="s">
        <v>67</v>
      </c>
      <c r="V461" s="60">
        <f t="shared" si="32"/>
        <v>1</v>
      </c>
      <c r="W461" s="44"/>
      <c r="Y461" s="44"/>
    </row>
    <row r="462" spans="1:29" ht="17.25" customHeight="1">
      <c r="A462" s="59" t="s">
        <v>75</v>
      </c>
      <c r="B462" s="58" t="s">
        <v>75</v>
      </c>
      <c r="C462" s="65" t="s">
        <v>88</v>
      </c>
      <c r="D462" s="58">
        <f>VLOOKUP(C462,코드!$E$3:$F$30,2,FALSE)</f>
        <v>8719</v>
      </c>
      <c r="E462" s="66" t="s">
        <v>73</v>
      </c>
      <c r="F462" s="65" t="s">
        <v>73</v>
      </c>
      <c r="G462" s="66" t="s">
        <v>87</v>
      </c>
      <c r="H462" s="65" t="s">
        <v>86</v>
      </c>
      <c r="I462" s="65" t="s">
        <v>104</v>
      </c>
      <c r="J462" s="58" t="s">
        <v>80</v>
      </c>
      <c r="K462" s="58" t="s">
        <v>17</v>
      </c>
      <c r="L462" s="58">
        <f>VLOOKUP(K462,코드!$B$3:$C$29,2,FALSE)</f>
        <v>4241130</v>
      </c>
      <c r="M462" s="58" t="s">
        <v>103</v>
      </c>
      <c r="N462" s="58" t="s">
        <v>77</v>
      </c>
      <c r="O462" s="63">
        <v>100000</v>
      </c>
      <c r="P462" s="63">
        <v>2</v>
      </c>
      <c r="Q462" s="63">
        <v>20</v>
      </c>
      <c r="R462" s="63">
        <f>O462*P462*Q462</f>
        <v>4000000</v>
      </c>
      <c r="S462" s="63"/>
      <c r="T462" s="62">
        <v>4000000</v>
      </c>
      <c r="U462" s="61" t="s">
        <v>67</v>
      </c>
      <c r="V462" s="60">
        <f t="shared" si="32"/>
        <v>1</v>
      </c>
      <c r="W462" s="44"/>
      <c r="Y462" s="44"/>
    </row>
    <row r="463" spans="1:29" ht="17.25" customHeight="1">
      <c r="A463" s="59" t="s">
        <v>75</v>
      </c>
      <c r="B463" s="58" t="s">
        <v>75</v>
      </c>
      <c r="C463" s="65" t="s">
        <v>88</v>
      </c>
      <c r="D463" s="58">
        <f>VLOOKUP(C463,코드!$E$3:$F$30,2,FALSE)</f>
        <v>8719</v>
      </c>
      <c r="E463" s="66" t="s">
        <v>73</v>
      </c>
      <c r="F463" s="65" t="s">
        <v>73</v>
      </c>
      <c r="G463" s="66" t="s">
        <v>87</v>
      </c>
      <c r="H463" s="65" t="s">
        <v>86</v>
      </c>
      <c r="I463" s="65" t="s">
        <v>102</v>
      </c>
      <c r="J463" s="58" t="s">
        <v>101</v>
      </c>
      <c r="K463" s="58" t="s">
        <v>15</v>
      </c>
      <c r="L463" s="58">
        <f>VLOOKUP(K463,코드!$B$3:$C$29,2,FALSE)</f>
        <v>4321701</v>
      </c>
      <c r="M463" s="58" t="s">
        <v>100</v>
      </c>
      <c r="N463" s="58" t="s">
        <v>99</v>
      </c>
      <c r="O463" s="63">
        <v>650000</v>
      </c>
      <c r="P463" s="63">
        <v>2</v>
      </c>
      <c r="Q463" s="63">
        <v>10</v>
      </c>
      <c r="R463" s="63">
        <f>O463*P463*Q463</f>
        <v>13000000</v>
      </c>
      <c r="S463" s="63"/>
      <c r="T463" s="62">
        <v>13000000</v>
      </c>
      <c r="U463" s="61" t="s">
        <v>67</v>
      </c>
      <c r="V463" s="60">
        <f t="shared" si="32"/>
        <v>1</v>
      </c>
      <c r="W463" s="44"/>
      <c r="Y463" s="44"/>
    </row>
    <row r="464" spans="1:29" ht="17.25" customHeight="1">
      <c r="A464" s="59" t="s">
        <v>75</v>
      </c>
      <c r="B464" s="58" t="s">
        <v>75</v>
      </c>
      <c r="C464" s="65" t="s">
        <v>88</v>
      </c>
      <c r="D464" s="58">
        <f>VLOOKUP(C464,코드!$E$3:$F$30,2,FALSE)</f>
        <v>8719</v>
      </c>
      <c r="E464" s="66" t="s">
        <v>73</v>
      </c>
      <c r="F464" s="65" t="s">
        <v>73</v>
      </c>
      <c r="G464" s="66" t="s">
        <v>87</v>
      </c>
      <c r="H464" s="70" t="s">
        <v>86</v>
      </c>
      <c r="I464" s="70" t="s">
        <v>98</v>
      </c>
      <c r="J464" s="68" t="s">
        <v>84</v>
      </c>
      <c r="K464" s="68" t="s">
        <v>97</v>
      </c>
      <c r="L464" s="68">
        <f>VLOOKUP(K464,코드!$B$3:$C$29,2,FALSE)</f>
        <v>4125101</v>
      </c>
      <c r="M464" s="69" t="s">
        <v>96</v>
      </c>
      <c r="N464" s="68" t="s">
        <v>68</v>
      </c>
      <c r="O464" s="63">
        <v>34000000</v>
      </c>
      <c r="P464" s="63">
        <v>20</v>
      </c>
      <c r="Q464" s="63">
        <v>1</v>
      </c>
      <c r="R464" s="63">
        <v>117985400</v>
      </c>
      <c r="S464" s="63"/>
      <c r="T464" s="63">
        <v>117985400</v>
      </c>
      <c r="U464" s="61" t="s">
        <v>67</v>
      </c>
      <c r="V464" s="60">
        <f t="shared" si="32"/>
        <v>1</v>
      </c>
      <c r="W464" s="44"/>
      <c r="Y464" s="44"/>
    </row>
    <row r="465" spans="1:29" ht="17.25" customHeight="1">
      <c r="A465" s="59" t="s">
        <v>75</v>
      </c>
      <c r="B465" s="58" t="s">
        <v>75</v>
      </c>
      <c r="C465" s="65" t="s">
        <v>88</v>
      </c>
      <c r="D465" s="58">
        <f>VLOOKUP(C465,코드!$E$3:$F$30,2,FALSE)</f>
        <v>8719</v>
      </c>
      <c r="E465" s="66" t="s">
        <v>73</v>
      </c>
      <c r="F465" s="65" t="s">
        <v>73</v>
      </c>
      <c r="G465" s="66" t="s">
        <v>87</v>
      </c>
      <c r="H465" s="70" t="s">
        <v>86</v>
      </c>
      <c r="I465" s="70" t="s">
        <v>95</v>
      </c>
      <c r="J465" s="68" t="s">
        <v>84</v>
      </c>
      <c r="K465" s="68" t="s">
        <v>94</v>
      </c>
      <c r="L465" s="68">
        <f>VLOOKUP(K465,코드!$B$3:$C$29,2,FALSE)</f>
        <v>4125301</v>
      </c>
      <c r="M465" s="69" t="s">
        <v>93</v>
      </c>
      <c r="N465" s="68" t="s">
        <v>68</v>
      </c>
      <c r="O465" s="63"/>
      <c r="P465" s="63"/>
      <c r="Q465" s="63"/>
      <c r="R465" s="63">
        <v>30000000</v>
      </c>
      <c r="S465" s="63"/>
      <c r="T465" s="63">
        <v>30000000</v>
      </c>
      <c r="U465" s="61" t="s">
        <v>67</v>
      </c>
      <c r="V465" s="60">
        <f t="shared" si="32"/>
        <v>1</v>
      </c>
      <c r="W465" s="44"/>
      <c r="Y465" s="44"/>
    </row>
    <row r="466" spans="1:29" ht="17.25" customHeight="1">
      <c r="A466" s="59" t="s">
        <v>75</v>
      </c>
      <c r="B466" s="58" t="s">
        <v>75</v>
      </c>
      <c r="C466" s="65" t="s">
        <v>88</v>
      </c>
      <c r="D466" s="58">
        <f>VLOOKUP(C466,코드!$E$3:$F$30,2,FALSE)</f>
        <v>8719</v>
      </c>
      <c r="E466" s="66" t="s">
        <v>73</v>
      </c>
      <c r="F466" s="65" t="s">
        <v>73</v>
      </c>
      <c r="G466" s="66" t="s">
        <v>87</v>
      </c>
      <c r="H466" s="65" t="s">
        <v>86</v>
      </c>
      <c r="I466" s="65" t="s">
        <v>91</v>
      </c>
      <c r="J466" s="58" t="s">
        <v>84</v>
      </c>
      <c r="K466" s="58" t="s">
        <v>92</v>
      </c>
      <c r="L466" s="58">
        <f>VLOOKUP(K466,코드!$B$3:$C$29,2,FALSE)</f>
        <v>4125302</v>
      </c>
      <c r="M466" s="58" t="s">
        <v>89</v>
      </c>
      <c r="N466" s="58" t="s">
        <v>68</v>
      </c>
      <c r="O466" s="63">
        <v>60000000</v>
      </c>
      <c r="P466" s="63">
        <v>1</v>
      </c>
      <c r="Q466" s="63">
        <v>1</v>
      </c>
      <c r="R466" s="63">
        <f>O466*P466*Q466</f>
        <v>60000000</v>
      </c>
      <c r="S466" s="63"/>
      <c r="T466" s="62">
        <v>60000000</v>
      </c>
      <c r="U466" s="61" t="s">
        <v>67</v>
      </c>
      <c r="V466" s="60">
        <f t="shared" si="32"/>
        <v>1</v>
      </c>
      <c r="W466" s="44"/>
      <c r="Y466" s="44"/>
    </row>
    <row r="467" spans="1:29" ht="17.25" customHeight="1">
      <c r="A467" s="59" t="s">
        <v>75</v>
      </c>
      <c r="B467" s="58" t="s">
        <v>75</v>
      </c>
      <c r="C467" s="65" t="s">
        <v>88</v>
      </c>
      <c r="D467" s="58">
        <f>VLOOKUP(C467,코드!$E$3:$F$30,2,FALSE)</f>
        <v>8719</v>
      </c>
      <c r="E467" s="66" t="s">
        <v>73</v>
      </c>
      <c r="F467" s="65" t="s">
        <v>73</v>
      </c>
      <c r="G467" s="66" t="s">
        <v>87</v>
      </c>
      <c r="H467" s="65" t="s">
        <v>86</v>
      </c>
      <c r="I467" s="65" t="s">
        <v>91</v>
      </c>
      <c r="J467" s="58" t="s">
        <v>84</v>
      </c>
      <c r="K467" s="58" t="s">
        <v>90</v>
      </c>
      <c r="L467" s="58">
        <f>VLOOKUP(K467,코드!$B$3:$C$29,2,FALSE)</f>
        <v>4123801</v>
      </c>
      <c r="M467" s="58" t="s">
        <v>89</v>
      </c>
      <c r="N467" s="58" t="s">
        <v>68</v>
      </c>
      <c r="O467" s="63">
        <v>70000000</v>
      </c>
      <c r="P467" s="63">
        <v>1</v>
      </c>
      <c r="Q467" s="63">
        <v>1</v>
      </c>
      <c r="R467" s="63">
        <f>O467*P467*Q467</f>
        <v>70000000</v>
      </c>
      <c r="S467" s="63"/>
      <c r="T467" s="62">
        <v>70000000</v>
      </c>
      <c r="U467" s="61" t="s">
        <v>67</v>
      </c>
      <c r="V467" s="60">
        <f t="shared" si="32"/>
        <v>1</v>
      </c>
      <c r="W467" s="44"/>
      <c r="Y467" s="44"/>
    </row>
    <row r="468" spans="1:29" ht="17.25" customHeight="1">
      <c r="A468" s="59" t="s">
        <v>75</v>
      </c>
      <c r="B468" s="58" t="s">
        <v>75</v>
      </c>
      <c r="C468" s="65" t="s">
        <v>88</v>
      </c>
      <c r="D468" s="58">
        <f>VLOOKUP(C468,코드!$E$3:$F$30,2,FALSE)</f>
        <v>8719</v>
      </c>
      <c r="E468" s="66" t="s">
        <v>73</v>
      </c>
      <c r="F468" s="65" t="s">
        <v>73</v>
      </c>
      <c r="G468" s="66" t="s">
        <v>87</v>
      </c>
      <c r="H468" s="65" t="s">
        <v>86</v>
      </c>
      <c r="I468" s="65" t="s">
        <v>85</v>
      </c>
      <c r="J468" s="58" t="s">
        <v>84</v>
      </c>
      <c r="K468" s="58" t="s">
        <v>83</v>
      </c>
      <c r="L468" s="67">
        <f>VLOOKUP(K468,코드!$B$3:$C$29,2,FALSE)</f>
        <v>4125509</v>
      </c>
      <c r="M468" s="58" t="s">
        <v>82</v>
      </c>
      <c r="N468" s="58" t="s">
        <v>68</v>
      </c>
      <c r="O468" s="63">
        <v>70000000</v>
      </c>
      <c r="P468" s="63">
        <v>2</v>
      </c>
      <c r="Q468" s="63">
        <v>1</v>
      </c>
      <c r="R468" s="63">
        <v>120000000</v>
      </c>
      <c r="S468" s="63"/>
      <c r="T468" s="63">
        <v>120000000</v>
      </c>
      <c r="U468" s="61" t="s">
        <v>67</v>
      </c>
      <c r="V468" s="60">
        <f t="shared" si="32"/>
        <v>1</v>
      </c>
      <c r="W468" s="44"/>
      <c r="Y468" s="44"/>
    </row>
    <row r="469" spans="1:29" ht="17.25" customHeight="1">
      <c r="A469" s="59" t="s">
        <v>75</v>
      </c>
      <c r="B469" s="247" t="s">
        <v>75</v>
      </c>
      <c r="C469" s="80" t="s">
        <v>88</v>
      </c>
      <c r="D469" s="247">
        <f>VLOOKUP(C469,코드!$E$3:$F$30,2,FALSE)</f>
        <v>8719</v>
      </c>
      <c r="E469" s="81" t="s">
        <v>73</v>
      </c>
      <c r="F469" s="80" t="s">
        <v>73</v>
      </c>
      <c r="G469" s="81" t="s">
        <v>87</v>
      </c>
      <c r="H469" s="80" t="s">
        <v>86</v>
      </c>
      <c r="I469" s="80"/>
      <c r="J469" s="247" t="s">
        <v>60</v>
      </c>
      <c r="K469" s="247" t="s">
        <v>11</v>
      </c>
      <c r="L469" s="247">
        <f>VLOOKUP(K469,코드!$B$3:$C$29,2,FALSE)</f>
        <v>4113401</v>
      </c>
      <c r="M469" s="247"/>
      <c r="N469" s="247" t="s">
        <v>1065</v>
      </c>
      <c r="O469" s="246">
        <v>30000000</v>
      </c>
      <c r="P469" s="246">
        <v>1</v>
      </c>
      <c r="Q469" s="246">
        <v>1</v>
      </c>
      <c r="R469" s="246">
        <v>87118572</v>
      </c>
      <c r="S469" s="63"/>
      <c r="T469" s="249"/>
      <c r="U469" s="248"/>
      <c r="V469" s="60">
        <f t="shared" si="32"/>
        <v>0</v>
      </c>
      <c r="W469" s="44" t="s">
        <v>297</v>
      </c>
      <c r="Y469" s="44"/>
    </row>
    <row r="470" spans="1:29" ht="17.25" customHeight="1">
      <c r="A470" s="59" t="s">
        <v>75</v>
      </c>
      <c r="B470" s="247" t="s">
        <v>75</v>
      </c>
      <c r="C470" s="80" t="s">
        <v>88</v>
      </c>
      <c r="D470" s="247">
        <f>VLOOKUP(C470,코드!$E$3:$F$30,2,FALSE)</f>
        <v>8719</v>
      </c>
      <c r="E470" s="81" t="s">
        <v>73</v>
      </c>
      <c r="F470" s="80" t="s">
        <v>73</v>
      </c>
      <c r="G470" s="81" t="s">
        <v>87</v>
      </c>
      <c r="H470" s="80" t="s">
        <v>86</v>
      </c>
      <c r="I470" s="80"/>
      <c r="J470" s="247" t="s">
        <v>60</v>
      </c>
      <c r="K470" s="247" t="s">
        <v>568</v>
      </c>
      <c r="L470" s="247">
        <v>4241130</v>
      </c>
      <c r="M470" s="247"/>
      <c r="N470" s="247" t="s">
        <v>1065</v>
      </c>
      <c r="O470" s="246">
        <v>70000000</v>
      </c>
      <c r="P470" s="246">
        <v>1</v>
      </c>
      <c r="Q470" s="246">
        <v>1</v>
      </c>
      <c r="R470" s="246">
        <v>25237780</v>
      </c>
      <c r="S470" s="63"/>
      <c r="T470" s="249"/>
      <c r="U470" s="248"/>
      <c r="V470" s="60">
        <f t="shared" si="32"/>
        <v>0</v>
      </c>
      <c r="W470" s="44" t="s">
        <v>297</v>
      </c>
      <c r="Y470" s="44"/>
    </row>
    <row r="471" spans="1:29" ht="17.25" customHeight="1">
      <c r="A471" s="59" t="s">
        <v>75</v>
      </c>
      <c r="B471" s="247" t="s">
        <v>75</v>
      </c>
      <c r="C471" s="80" t="s">
        <v>88</v>
      </c>
      <c r="D471" s="247">
        <f>VLOOKUP(C471,코드!$E$3:$F$30,2,FALSE)</f>
        <v>8719</v>
      </c>
      <c r="E471" s="81" t="s">
        <v>73</v>
      </c>
      <c r="F471" s="80" t="s">
        <v>73</v>
      </c>
      <c r="G471" s="81" t="s">
        <v>87</v>
      </c>
      <c r="H471" s="80" t="s">
        <v>86</v>
      </c>
      <c r="I471" s="80"/>
      <c r="J471" s="247" t="s">
        <v>41</v>
      </c>
      <c r="K471" s="247" t="s">
        <v>148</v>
      </c>
      <c r="L471" s="247">
        <f>VLOOKUP(K471,코드!$B$3:$C$29,2,FALSE)</f>
        <v>1314901</v>
      </c>
      <c r="M471" s="247"/>
      <c r="N471" s="247" t="s">
        <v>1064</v>
      </c>
      <c r="O471" s="246">
        <v>77017652</v>
      </c>
      <c r="P471" s="246">
        <v>1</v>
      </c>
      <c r="Q471" s="246">
        <v>1</v>
      </c>
      <c r="R471" s="246">
        <v>31323000</v>
      </c>
      <c r="S471" s="63"/>
      <c r="T471" s="249"/>
      <c r="U471" s="248"/>
      <c r="V471" s="60">
        <f t="shared" si="32"/>
        <v>0</v>
      </c>
      <c r="W471" s="44" t="s">
        <v>297</v>
      </c>
      <c r="Y471" s="44"/>
    </row>
    <row r="472" spans="1:29" ht="17.25" customHeight="1">
      <c r="B472" s="247" t="s">
        <v>75</v>
      </c>
      <c r="C472" s="80" t="s">
        <v>88</v>
      </c>
      <c r="D472" s="247">
        <f>VLOOKUP(C472,코드!$E$3:$F$30,2,FALSE)</f>
        <v>8719</v>
      </c>
      <c r="E472" s="81" t="s">
        <v>73</v>
      </c>
      <c r="F472" s="80" t="s">
        <v>73</v>
      </c>
      <c r="G472" s="81" t="s">
        <v>87</v>
      </c>
      <c r="H472" s="80" t="s">
        <v>86</v>
      </c>
      <c r="I472" s="80"/>
      <c r="J472" s="247" t="s">
        <v>42</v>
      </c>
      <c r="K472" s="247" t="s">
        <v>9</v>
      </c>
      <c r="L472" s="247">
        <f>VLOOKUP(K472,코드!$B$3:$C$29,2,FALSE)</f>
        <v>4321701</v>
      </c>
      <c r="M472" s="247"/>
      <c r="N472" s="247" t="s">
        <v>99</v>
      </c>
      <c r="O472" s="246"/>
      <c r="P472" s="246"/>
      <c r="Q472" s="246"/>
      <c r="R472" s="245">
        <v>0</v>
      </c>
      <c r="S472" s="63"/>
      <c r="T472" s="138"/>
      <c r="U472" s="137"/>
      <c r="V472" s="136"/>
      <c r="W472" s="44"/>
      <c r="Y472" s="44"/>
    </row>
    <row r="473" spans="1:29" ht="17.25" customHeight="1">
      <c r="B473" s="58"/>
      <c r="C473" s="65"/>
      <c r="D473" s="58"/>
      <c r="E473" s="66"/>
      <c r="F473" s="65"/>
      <c r="G473" s="66"/>
      <c r="H473" s="65"/>
      <c r="I473" s="65"/>
      <c r="J473" s="58"/>
      <c r="K473" s="58"/>
      <c r="L473" s="67"/>
      <c r="M473" s="58"/>
      <c r="N473" s="58"/>
      <c r="O473" s="63"/>
      <c r="P473" s="63"/>
      <c r="Q473" s="63"/>
      <c r="R473" s="63"/>
      <c r="S473" s="63"/>
      <c r="T473" s="62"/>
      <c r="U473" s="61"/>
      <c r="V473" s="60"/>
    </row>
    <row r="474" spans="1:29" ht="17.25" customHeight="1">
      <c r="A474" s="59" t="s">
        <v>75</v>
      </c>
      <c r="B474" s="58" t="s">
        <v>75</v>
      </c>
      <c r="C474" s="65" t="s">
        <v>74</v>
      </c>
      <c r="D474" s="58">
        <f>VLOOKUP(C474,코드!$E$3:$F$30,2,FALSE)</f>
        <v>8719</v>
      </c>
      <c r="E474" s="66" t="s">
        <v>73</v>
      </c>
      <c r="F474" s="65" t="s">
        <v>73</v>
      </c>
      <c r="G474" s="66" t="s">
        <v>72</v>
      </c>
      <c r="H474" s="65" t="s">
        <v>72</v>
      </c>
      <c r="I474" s="65" t="s">
        <v>81</v>
      </c>
      <c r="J474" s="58" t="s">
        <v>80</v>
      </c>
      <c r="K474" s="58" t="s">
        <v>79</v>
      </c>
      <c r="L474" s="58">
        <f>VLOOKUP(K474,코드!$B$3:$C$29,2,FALSE)</f>
        <v>4226101</v>
      </c>
      <c r="M474" s="58" t="s">
        <v>78</v>
      </c>
      <c r="N474" s="58" t="s">
        <v>77</v>
      </c>
      <c r="O474" s="63">
        <v>513133000</v>
      </c>
      <c r="P474" s="63">
        <v>1</v>
      </c>
      <c r="Q474" s="63">
        <v>1</v>
      </c>
      <c r="R474" s="63">
        <f>O474*P474*Q474+16867000</f>
        <v>530000000</v>
      </c>
      <c r="S474" s="63"/>
      <c r="T474" s="62">
        <v>530000000</v>
      </c>
      <c r="U474" s="61" t="s">
        <v>76</v>
      </c>
      <c r="V474" s="60">
        <f>T474/R474</f>
        <v>1</v>
      </c>
    </row>
    <row r="475" spans="1:29" ht="17.25" customHeight="1">
      <c r="A475" s="59" t="s">
        <v>75</v>
      </c>
      <c r="B475" s="55" t="s">
        <v>75</v>
      </c>
      <c r="C475" s="56" t="s">
        <v>74</v>
      </c>
      <c r="D475" s="55">
        <f>VLOOKUP(C475,코드!$E$3:$F$30,2,FALSE)</f>
        <v>8719</v>
      </c>
      <c r="E475" s="57" t="s">
        <v>73</v>
      </c>
      <c r="F475" s="56" t="s">
        <v>73</v>
      </c>
      <c r="G475" s="57" t="s">
        <v>72</v>
      </c>
      <c r="H475" s="56" t="s">
        <v>71</v>
      </c>
      <c r="I475" s="56" t="s">
        <v>70</v>
      </c>
      <c r="J475" s="55" t="s">
        <v>43</v>
      </c>
      <c r="K475" s="55" t="s">
        <v>30</v>
      </c>
      <c r="L475" s="55">
        <f>VLOOKUP(K475,코드!$B$3:$C$29,2,FALSE)</f>
        <v>4111101</v>
      </c>
      <c r="M475" s="55" t="s">
        <v>69</v>
      </c>
      <c r="N475" s="55" t="s">
        <v>68</v>
      </c>
      <c r="O475" s="53">
        <v>785500000</v>
      </c>
      <c r="P475" s="53">
        <v>1</v>
      </c>
      <c r="Q475" s="53">
        <v>1</v>
      </c>
      <c r="R475" s="53">
        <f>O475*P475*Q475+14500000</f>
        <v>800000000</v>
      </c>
      <c r="S475" s="53"/>
      <c r="T475" s="52">
        <v>800000000</v>
      </c>
      <c r="U475" s="51" t="s">
        <v>67</v>
      </c>
      <c r="V475" s="50">
        <f>T475/R475</f>
        <v>1</v>
      </c>
    </row>
    <row r="478" spans="1:29" s="6" customFormat="1" ht="17.25" customHeight="1">
      <c r="A478" s="4"/>
      <c r="C478" s="4"/>
      <c r="E478" s="10"/>
      <c r="F478" s="4"/>
      <c r="H478" s="4"/>
      <c r="I478" s="4" t="s">
        <v>66</v>
      </c>
      <c r="O478" s="9"/>
      <c r="P478" s="9"/>
      <c r="Q478" s="9"/>
      <c r="R478" s="9"/>
      <c r="S478" s="8"/>
      <c r="T478" s="5"/>
      <c r="U478" s="4"/>
      <c r="V478" s="7"/>
      <c r="W478" s="5"/>
      <c r="Y478" s="5"/>
      <c r="AC478" s="22"/>
    </row>
    <row r="479" spans="1:29" s="6" customFormat="1" ht="17.25" customHeight="1">
      <c r="A479" s="4"/>
      <c r="C479" s="4"/>
      <c r="E479" s="10"/>
      <c r="F479" s="4"/>
      <c r="H479" s="4"/>
      <c r="I479" s="4" t="s">
        <v>64</v>
      </c>
      <c r="O479" s="9"/>
      <c r="P479" s="9"/>
      <c r="Q479" s="9"/>
      <c r="R479" s="9"/>
      <c r="S479" s="8"/>
      <c r="T479" s="5"/>
      <c r="U479" s="4"/>
      <c r="V479" s="7"/>
      <c r="W479" s="23"/>
      <c r="X479" s="25" t="s">
        <v>62</v>
      </c>
      <c r="Y479" s="5"/>
      <c r="AC479" s="22"/>
    </row>
    <row r="480" spans="1:29" ht="17.25" customHeight="1">
      <c r="I480" s="4" t="s">
        <v>61</v>
      </c>
      <c r="U480" s="49"/>
      <c r="W480" s="45" t="s">
        <v>60</v>
      </c>
      <c r="X480" s="23">
        <f t="shared" ref="X480:X485" si="33">SUMIF(J:J,W480,R:R)</f>
        <v>2352258052</v>
      </c>
    </row>
    <row r="481" spans="1:29" s="6" customFormat="1" ht="17.25" customHeight="1">
      <c r="A481" s="4"/>
      <c r="C481" s="4"/>
      <c r="E481" s="10"/>
      <c r="F481" s="4"/>
      <c r="H481" s="4"/>
      <c r="I481" s="4" t="s">
        <v>59</v>
      </c>
      <c r="O481" s="9"/>
      <c r="P481" s="9"/>
      <c r="R481" s="217"/>
      <c r="T481" s="22"/>
      <c r="U481" s="4"/>
      <c r="V481" s="7"/>
      <c r="W481" s="45" t="s">
        <v>58</v>
      </c>
      <c r="X481" s="23">
        <f t="shared" si="33"/>
        <v>2105694000</v>
      </c>
      <c r="Y481" s="22"/>
      <c r="AC481" s="22"/>
    </row>
    <row r="482" spans="1:29" s="6" customFormat="1" ht="17.25" customHeight="1">
      <c r="A482" s="4"/>
      <c r="C482" s="4"/>
      <c r="E482" s="10"/>
      <c r="F482" s="4"/>
      <c r="H482" s="4"/>
      <c r="I482" s="4" t="s">
        <v>57</v>
      </c>
      <c r="O482" s="9"/>
      <c r="P482" s="9"/>
      <c r="R482" s="22"/>
      <c r="T482" s="22"/>
      <c r="U482" s="4"/>
      <c r="V482" s="7"/>
      <c r="W482" s="45" t="s">
        <v>43</v>
      </c>
      <c r="X482" s="23">
        <f t="shared" si="33"/>
        <v>1715000000</v>
      </c>
      <c r="Y482" s="22"/>
      <c r="AC482" s="22"/>
    </row>
    <row r="483" spans="1:29" s="6" customFormat="1" ht="17.25" customHeight="1">
      <c r="A483" s="4"/>
      <c r="C483" s="4"/>
      <c r="E483" s="10"/>
      <c r="F483" s="4"/>
      <c r="H483" s="4"/>
      <c r="I483" s="48" t="s">
        <v>56</v>
      </c>
      <c r="O483" s="9"/>
      <c r="P483" s="9"/>
      <c r="R483" s="217"/>
      <c r="T483" s="22"/>
      <c r="U483" s="4"/>
      <c r="V483" s="7"/>
      <c r="W483" s="23" t="s">
        <v>42</v>
      </c>
      <c r="X483" s="23">
        <f t="shared" si="33"/>
        <v>445269520</v>
      </c>
      <c r="Y483" s="22"/>
      <c r="AC483" s="22"/>
    </row>
    <row r="484" spans="1:29" s="6" customFormat="1" ht="17.25" customHeight="1">
      <c r="A484" s="4"/>
      <c r="C484" s="4"/>
      <c r="E484" s="10"/>
      <c r="F484" s="4"/>
      <c r="H484" s="4"/>
      <c r="I484" s="4" t="s">
        <v>55</v>
      </c>
      <c r="O484" s="9"/>
      <c r="P484" s="9"/>
      <c r="Q484" s="9"/>
      <c r="R484" s="9"/>
      <c r="S484" s="8"/>
      <c r="T484" s="5"/>
      <c r="U484" s="4"/>
      <c r="V484" s="7"/>
      <c r="W484" s="23" t="s">
        <v>41</v>
      </c>
      <c r="X484" s="23">
        <f t="shared" si="33"/>
        <v>32697000</v>
      </c>
      <c r="Y484" s="22"/>
      <c r="AC484" s="22"/>
    </row>
    <row r="485" spans="1:29" s="6" customFormat="1" ht="17.25" customHeight="1">
      <c r="A485" s="4"/>
      <c r="C485" s="4"/>
      <c r="E485" s="10"/>
      <c r="F485" s="4"/>
      <c r="H485" s="4"/>
      <c r="I485" s="4" t="s">
        <v>54</v>
      </c>
      <c r="O485" s="9"/>
      <c r="P485" s="9"/>
      <c r="Q485" s="9"/>
      <c r="R485" s="9"/>
      <c r="S485" s="8"/>
      <c r="T485" s="5"/>
      <c r="U485" s="4"/>
      <c r="V485" s="7"/>
      <c r="W485" s="23" t="s">
        <v>53</v>
      </c>
      <c r="X485" s="23">
        <f t="shared" si="33"/>
        <v>686200000</v>
      </c>
      <c r="Y485" s="22"/>
      <c r="AC485" s="22"/>
    </row>
    <row r="486" spans="1:29" s="6" customFormat="1" ht="17.25" customHeight="1">
      <c r="A486" s="4"/>
      <c r="C486" s="4"/>
      <c r="E486" s="10"/>
      <c r="F486" s="4"/>
      <c r="H486" s="4"/>
      <c r="I486" s="4" t="s">
        <v>52</v>
      </c>
      <c r="O486" s="9"/>
      <c r="P486" s="9"/>
      <c r="Q486" s="9"/>
      <c r="R486" s="9"/>
      <c r="S486" s="8"/>
      <c r="T486" s="5"/>
      <c r="U486" s="4"/>
      <c r="V486" s="7"/>
      <c r="W486" s="26"/>
      <c r="X486" s="47">
        <f>SUM(X480:X485)</f>
        <v>7337118572</v>
      </c>
      <c r="Y486" s="22"/>
      <c r="AC486" s="22"/>
    </row>
    <row r="487" spans="1:29" ht="17.25" customHeight="1">
      <c r="H487" s="4" t="s">
        <v>51</v>
      </c>
      <c r="I487" s="46" t="s">
        <v>50</v>
      </c>
    </row>
    <row r="488" spans="1:29" ht="17.25" customHeight="1">
      <c r="I488" s="4" t="s">
        <v>49</v>
      </c>
      <c r="W488" s="23"/>
      <c r="X488" s="25" t="s">
        <v>48</v>
      </c>
      <c r="Y488" s="23" t="s">
        <v>63</v>
      </c>
      <c r="Z488" s="25" t="s">
        <v>62</v>
      </c>
    </row>
    <row r="489" spans="1:29" ht="17.25" customHeight="1">
      <c r="I489" s="4" t="s">
        <v>46</v>
      </c>
      <c r="W489" s="45" t="s">
        <v>45</v>
      </c>
      <c r="X489" s="43">
        <v>100000000</v>
      </c>
      <c r="Y489" s="26">
        <v>2244437400</v>
      </c>
      <c r="Z489" s="42">
        <f t="shared" ref="Z489:Z494" si="34">SUM(X489:Y489)</f>
        <v>2344437400</v>
      </c>
    </row>
    <row r="490" spans="1:29" ht="17.25" customHeight="1">
      <c r="W490" s="45" t="s">
        <v>44</v>
      </c>
      <c r="X490" s="43">
        <v>150000000</v>
      </c>
      <c r="Y490" s="28">
        <v>1828594000</v>
      </c>
      <c r="Z490" s="42">
        <f t="shared" si="34"/>
        <v>1978594000</v>
      </c>
    </row>
    <row r="491" spans="1:29" ht="17.25" customHeight="1">
      <c r="W491" s="45" t="s">
        <v>43</v>
      </c>
      <c r="X491" s="43">
        <v>85118572</v>
      </c>
      <c r="Y491" s="26">
        <v>1630381428</v>
      </c>
      <c r="Z491" s="42">
        <f t="shared" si="34"/>
        <v>1715500000</v>
      </c>
    </row>
    <row r="492" spans="1:29" s="6" customFormat="1" ht="17.25" customHeight="1">
      <c r="A492" s="4"/>
      <c r="C492" s="4"/>
      <c r="E492" s="10"/>
      <c r="F492" s="4"/>
      <c r="H492" s="4"/>
      <c r="I492" s="44"/>
      <c r="O492" s="9"/>
      <c r="P492" s="9"/>
      <c r="Q492" s="9"/>
      <c r="R492" s="9"/>
      <c r="S492" s="8"/>
      <c r="T492" s="5"/>
      <c r="U492" s="4"/>
      <c r="V492" s="7"/>
      <c r="W492" s="23" t="s">
        <v>42</v>
      </c>
      <c r="X492" s="43">
        <v>50000000</v>
      </c>
      <c r="Y492" s="26">
        <v>390569520</v>
      </c>
      <c r="Z492" s="42">
        <f t="shared" si="34"/>
        <v>440569520</v>
      </c>
      <c r="AC492" s="22"/>
    </row>
    <row r="493" spans="1:29" ht="17.25" customHeight="1">
      <c r="W493" s="23" t="s">
        <v>41</v>
      </c>
      <c r="X493" s="29">
        <v>0</v>
      </c>
      <c r="Y493" s="26">
        <v>81817652</v>
      </c>
      <c r="Z493" s="42">
        <f t="shared" si="34"/>
        <v>81817652</v>
      </c>
    </row>
    <row r="494" spans="1:29" ht="17.25" customHeight="1">
      <c r="P494" s="41"/>
      <c r="W494" s="23" t="s">
        <v>40</v>
      </c>
      <c r="X494" s="29">
        <v>0</v>
      </c>
      <c r="Y494" s="26">
        <v>686200000</v>
      </c>
      <c r="Z494" s="42">
        <f t="shared" si="34"/>
        <v>686200000</v>
      </c>
    </row>
    <row r="495" spans="1:29" ht="17.25" customHeight="1">
      <c r="B495" s="4"/>
      <c r="D495" s="4"/>
      <c r="E495" s="4"/>
      <c r="G495" s="4"/>
      <c r="J495" s="4"/>
      <c r="K495" s="4"/>
      <c r="L495" s="4"/>
      <c r="M495" s="4"/>
      <c r="N495" s="4"/>
      <c r="O495" s="4"/>
      <c r="P495" s="41"/>
      <c r="W495" s="26"/>
      <c r="X495" s="42">
        <f>SUM(X489:X492)</f>
        <v>385118572</v>
      </c>
      <c r="Y495" s="42">
        <f>SUM(Y489:Y494)</f>
        <v>6862000000</v>
      </c>
      <c r="Z495" s="42">
        <f>SUM(Z489:Z494)</f>
        <v>7247118572</v>
      </c>
    </row>
    <row r="496" spans="1:29" ht="17.25" customHeight="1">
      <c r="B496" s="4"/>
      <c r="D496" s="4"/>
      <c r="E496" s="4"/>
      <c r="G496" s="4"/>
      <c r="J496" s="4"/>
      <c r="K496" s="4"/>
      <c r="L496" s="4"/>
      <c r="M496" s="4"/>
      <c r="N496" s="4"/>
      <c r="O496" s="4"/>
      <c r="W496" s="41"/>
    </row>
    <row r="497" spans="2:29" ht="17.25" customHeight="1">
      <c r="B497" s="4"/>
      <c r="D497" s="4"/>
      <c r="E497" s="4"/>
      <c r="G497" s="4"/>
      <c r="J497" s="4"/>
      <c r="K497" s="4"/>
      <c r="L497" s="4"/>
      <c r="M497" s="4"/>
      <c r="N497" s="4"/>
      <c r="O497" s="4"/>
      <c r="W497" s="41"/>
    </row>
    <row r="498" spans="2:29" ht="17.25" customHeight="1">
      <c r="B498" s="4"/>
      <c r="D498" s="4"/>
      <c r="E498" s="4"/>
      <c r="G498" s="4"/>
      <c r="J498" s="4"/>
      <c r="K498" s="4"/>
      <c r="L498" s="4"/>
      <c r="M498" s="4"/>
      <c r="N498" s="4"/>
      <c r="O498" s="4"/>
      <c r="W498" s="41"/>
    </row>
    <row r="499" spans="2:29" ht="17.25" customHeight="1">
      <c r="B499" s="4"/>
      <c r="D499" s="4"/>
      <c r="E499" s="4"/>
      <c r="G499" s="4"/>
      <c r="J499" s="4"/>
      <c r="K499" s="4"/>
      <c r="L499" s="4"/>
      <c r="M499" s="4"/>
      <c r="N499" s="4"/>
      <c r="O499" s="4"/>
      <c r="W499" s="40" t="s">
        <v>39</v>
      </c>
      <c r="X499" s="40" t="s">
        <v>38</v>
      </c>
      <c r="Y499" s="26" t="s">
        <v>37</v>
      </c>
      <c r="Z499" s="4" t="s">
        <v>36</v>
      </c>
      <c r="AB499" s="4" t="s">
        <v>35</v>
      </c>
    </row>
    <row r="500" spans="2:29" ht="17.25" customHeight="1">
      <c r="B500" s="4"/>
      <c r="D500" s="4"/>
      <c r="E500" s="4"/>
      <c r="G500" s="4"/>
      <c r="J500" s="4"/>
      <c r="K500" s="4"/>
      <c r="L500" s="4"/>
      <c r="M500" s="4"/>
      <c r="N500" s="4"/>
      <c r="O500" s="4"/>
      <c r="W500" s="24" t="s">
        <v>34</v>
      </c>
      <c r="X500" s="35">
        <f>VLOOKUP(W500,코드!$B$3:$C$29,2,FALSE)</f>
        <v>1314901</v>
      </c>
      <c r="Y500" s="23">
        <f t="shared" ref="Y500:Y519" si="35">SUMIF(K:K,W500,R:R)</f>
        <v>112697000</v>
      </c>
      <c r="Z500" s="39">
        <f>SUM(Y500:Y503)</f>
        <v>768330000</v>
      </c>
      <c r="AA500" s="38">
        <v>13</v>
      </c>
      <c r="AB500" s="38">
        <f>268330000+500000000</f>
        <v>768330000</v>
      </c>
      <c r="AC500" s="38">
        <f>AB500-Z500</f>
        <v>0</v>
      </c>
    </row>
    <row r="501" spans="2:29" ht="17.25" customHeight="1">
      <c r="B501" s="4"/>
      <c r="D501" s="4"/>
      <c r="E501" s="4"/>
      <c r="G501" s="4"/>
      <c r="J501" s="4"/>
      <c r="K501" s="4"/>
      <c r="L501" s="4"/>
      <c r="M501" s="4"/>
      <c r="N501" s="4"/>
      <c r="O501" s="4"/>
      <c r="W501" s="24" t="s">
        <v>33</v>
      </c>
      <c r="X501" s="35">
        <f>VLOOKUP(W501,코드!$B$3:$C$29,2,FALSE)</f>
        <v>1314903</v>
      </c>
      <c r="Y501" s="23">
        <f t="shared" si="35"/>
        <v>626113000</v>
      </c>
      <c r="Z501" s="37">
        <f>SUM(Y504:Y513)</f>
        <v>1978818572</v>
      </c>
      <c r="AA501" s="36">
        <v>41</v>
      </c>
      <c r="AB501" s="36">
        <f>1984357863-5539291</f>
        <v>1978818572</v>
      </c>
      <c r="AC501" s="36">
        <f>AB501-Z501</f>
        <v>0</v>
      </c>
    </row>
    <row r="502" spans="2:29" ht="17.25" customHeight="1">
      <c r="B502" s="4"/>
      <c r="D502" s="4"/>
      <c r="E502" s="4"/>
      <c r="G502" s="4"/>
      <c r="J502" s="4"/>
      <c r="K502" s="4"/>
      <c r="L502" s="4"/>
      <c r="M502" s="4"/>
      <c r="N502" s="4"/>
      <c r="O502" s="4"/>
      <c r="W502" s="24" t="s">
        <v>32</v>
      </c>
      <c r="X502" s="35">
        <f>VLOOKUP(W502,코드!$B$3:$C$29,2,FALSE)</f>
        <v>1315903</v>
      </c>
      <c r="Y502" s="23">
        <f t="shared" si="35"/>
        <v>15000000</v>
      </c>
      <c r="Z502" s="34">
        <f>SUM(Y514:Y518)</f>
        <v>3973300480</v>
      </c>
      <c r="AA502" s="33">
        <v>42</v>
      </c>
      <c r="AB502" s="33">
        <f>4384427480-1127000-500000000</f>
        <v>3883300480</v>
      </c>
      <c r="AC502" s="33">
        <f>AB502-Z502</f>
        <v>-90000000</v>
      </c>
    </row>
    <row r="503" spans="2:29" ht="17.25" customHeight="1">
      <c r="B503" s="4"/>
      <c r="D503" s="4"/>
      <c r="E503" s="4"/>
      <c r="G503" s="4"/>
      <c r="J503" s="4"/>
      <c r="K503" s="4"/>
      <c r="L503" s="4"/>
      <c r="M503" s="4"/>
      <c r="N503" s="4"/>
      <c r="O503" s="4"/>
      <c r="W503" s="24" t="s">
        <v>31</v>
      </c>
      <c r="X503" s="24">
        <v>1315901</v>
      </c>
      <c r="Y503" s="23">
        <f t="shared" si="35"/>
        <v>14520000</v>
      </c>
      <c r="Z503" s="32">
        <f>SUM(Y519)</f>
        <v>616669520</v>
      </c>
      <c r="AA503" s="31">
        <v>43</v>
      </c>
      <c r="AB503" s="31">
        <v>616669520</v>
      </c>
      <c r="AC503" s="31">
        <f>AB503-Z503</f>
        <v>0</v>
      </c>
    </row>
    <row r="504" spans="2:29" ht="17.25" customHeight="1">
      <c r="B504" s="4"/>
      <c r="D504" s="4"/>
      <c r="E504" s="4"/>
      <c r="G504" s="4"/>
      <c r="J504" s="4"/>
      <c r="K504" s="4"/>
      <c r="L504" s="4"/>
      <c r="M504" s="4"/>
      <c r="N504" s="4"/>
      <c r="O504" s="4"/>
      <c r="W504" s="24" t="s">
        <v>30</v>
      </c>
      <c r="X504" s="24">
        <f>VLOOKUP(W504,코드!$B$3:$C$29,2,FALSE)</f>
        <v>4111101</v>
      </c>
      <c r="Y504" s="23">
        <f t="shared" si="35"/>
        <v>800000000</v>
      </c>
      <c r="Z504" s="30">
        <f>SUM(Z500:Z503)</f>
        <v>7337118572</v>
      </c>
      <c r="AA504" s="29"/>
      <c r="AB504" s="28">
        <f>SUM(AB500:AB503)</f>
        <v>7247118572</v>
      </c>
      <c r="AC504" s="26"/>
    </row>
    <row r="505" spans="2:29" ht="17.25" customHeight="1">
      <c r="B505" s="4"/>
      <c r="D505" s="4"/>
      <c r="E505" s="4"/>
      <c r="G505" s="4"/>
      <c r="J505" s="4"/>
      <c r="K505" s="4"/>
      <c r="L505" s="4"/>
      <c r="M505" s="4"/>
      <c r="N505" s="4"/>
      <c r="O505" s="4"/>
      <c r="W505" s="24" t="s">
        <v>29</v>
      </c>
      <c r="X505" s="24">
        <f>VLOOKUP(W505,코드!$B$3:$C$29,2,FALSE)</f>
        <v>4113401</v>
      </c>
      <c r="Y505" s="23">
        <f t="shared" si="35"/>
        <v>258318572</v>
      </c>
    </row>
    <row r="506" spans="2:29" ht="17.25" customHeight="1">
      <c r="B506" s="4"/>
      <c r="D506" s="4"/>
      <c r="E506" s="4"/>
      <c r="G506" s="4"/>
      <c r="J506" s="4"/>
      <c r="K506" s="4"/>
      <c r="L506" s="4"/>
      <c r="M506" s="4"/>
      <c r="N506" s="4"/>
      <c r="O506" s="4"/>
      <c r="W506" s="24" t="s">
        <v>28</v>
      </c>
      <c r="X506" s="24">
        <f>VLOOKUP(W506,코드!$B$3:$C$29,2,FALSE)</f>
        <v>4116101</v>
      </c>
      <c r="Y506" s="23">
        <f t="shared" si="35"/>
        <v>5500000</v>
      </c>
    </row>
    <row r="507" spans="2:29" ht="17.25" customHeight="1">
      <c r="B507" s="4"/>
      <c r="D507" s="4"/>
      <c r="E507" s="4"/>
      <c r="G507" s="4"/>
      <c r="J507" s="4"/>
      <c r="K507" s="4"/>
      <c r="L507" s="4"/>
      <c r="M507" s="4"/>
      <c r="N507" s="4"/>
      <c r="O507" s="4"/>
      <c r="W507" s="24" t="s">
        <v>27</v>
      </c>
      <c r="X507" s="24">
        <f>VLOOKUP(W507,코드!$B$3:$C$29,2,FALSE)</f>
        <v>4123801</v>
      </c>
      <c r="Y507" s="23">
        <f t="shared" si="35"/>
        <v>70000000</v>
      </c>
    </row>
    <row r="508" spans="2:29" ht="17.25" customHeight="1">
      <c r="B508" s="4"/>
      <c r="D508" s="4"/>
      <c r="E508" s="4"/>
      <c r="G508" s="4"/>
      <c r="J508" s="4"/>
      <c r="K508" s="4"/>
      <c r="L508" s="4"/>
      <c r="M508" s="4"/>
      <c r="N508" s="4"/>
      <c r="O508" s="4"/>
      <c r="W508" s="24" t="s">
        <v>26</v>
      </c>
      <c r="X508" s="24">
        <f>VLOOKUP(W508,코드!$B$3:$C$29,2,FALSE)</f>
        <v>4123802</v>
      </c>
      <c r="Y508" s="23">
        <f t="shared" si="35"/>
        <v>0</v>
      </c>
    </row>
    <row r="509" spans="2:29" ht="17.25" customHeight="1">
      <c r="B509" s="4"/>
      <c r="D509" s="4"/>
      <c r="E509" s="4"/>
      <c r="G509" s="4"/>
      <c r="J509" s="4"/>
      <c r="K509" s="4"/>
      <c r="L509" s="4"/>
      <c r="M509" s="4"/>
      <c r="N509" s="4"/>
      <c r="O509" s="4"/>
      <c r="W509" s="24" t="s">
        <v>25</v>
      </c>
      <c r="X509" s="24">
        <f>VLOOKUP(W509,코드!$B$3:$C$29,2,FALSE)</f>
        <v>4125101</v>
      </c>
      <c r="Y509" s="23">
        <f t="shared" si="35"/>
        <v>390385400</v>
      </c>
    </row>
    <row r="510" spans="2:29" ht="17.25" customHeight="1">
      <c r="B510" s="4"/>
      <c r="D510" s="4"/>
      <c r="E510" s="4"/>
      <c r="G510" s="4"/>
      <c r="J510" s="4"/>
      <c r="K510" s="4"/>
      <c r="L510" s="4"/>
      <c r="M510" s="4"/>
      <c r="N510" s="4"/>
      <c r="O510" s="4"/>
      <c r="W510" s="24" t="s">
        <v>24</v>
      </c>
      <c r="X510" s="24">
        <f>VLOOKUP(W510,코드!$B$3:$C$29,2,FALSE)</f>
        <v>4125302</v>
      </c>
      <c r="Y510" s="23">
        <f t="shared" si="35"/>
        <v>60000000</v>
      </c>
    </row>
    <row r="511" spans="2:29" ht="17.25" customHeight="1">
      <c r="B511" s="4"/>
      <c r="D511" s="4"/>
      <c r="E511" s="4"/>
      <c r="G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V511" s="4"/>
      <c r="W511" s="24" t="s">
        <v>23</v>
      </c>
      <c r="X511" s="24">
        <f>VLOOKUP(W511,코드!$B$3:$C$29,2,FALSE)</f>
        <v>4125509</v>
      </c>
      <c r="Y511" s="23">
        <f t="shared" si="35"/>
        <v>120000000</v>
      </c>
      <c r="AC511" s="4"/>
    </row>
    <row r="512" spans="2:29" ht="17.25" customHeight="1">
      <c r="B512" s="4"/>
      <c r="D512" s="4"/>
      <c r="E512" s="4"/>
      <c r="G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V512" s="4"/>
      <c r="W512" s="27" t="s">
        <v>22</v>
      </c>
      <c r="X512" s="27">
        <f>VLOOKUP(W512,코드!$B$3:$C$29,2,FALSE)</f>
        <v>4118701</v>
      </c>
      <c r="Y512" s="23">
        <f t="shared" si="35"/>
        <v>244614600</v>
      </c>
      <c r="AC512" s="4"/>
    </row>
    <row r="513" spans="2:29" ht="17.25" customHeight="1">
      <c r="B513" s="4"/>
      <c r="D513" s="4"/>
      <c r="E513" s="4"/>
      <c r="G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V513" s="4"/>
      <c r="W513" s="26" t="s">
        <v>21</v>
      </c>
      <c r="X513" s="25">
        <v>4125301</v>
      </c>
      <c r="Y513" s="23">
        <f t="shared" si="35"/>
        <v>30000000</v>
      </c>
      <c r="AC513" s="4"/>
    </row>
    <row r="514" spans="2:29" ht="17.25" customHeight="1">
      <c r="B514" s="4"/>
      <c r="D514" s="4"/>
      <c r="E514" s="4"/>
      <c r="G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V514" s="4"/>
      <c r="W514" s="24" t="s">
        <v>20</v>
      </c>
      <c r="X514" s="24">
        <f>VLOOKUP(W514,코드!$B$3:$C$29,2,FALSE)</f>
        <v>4211402</v>
      </c>
      <c r="Y514" s="23">
        <f t="shared" si="35"/>
        <v>567500000</v>
      </c>
      <c r="AC514" s="4"/>
    </row>
    <row r="515" spans="2:29" ht="17.25" customHeight="1">
      <c r="B515" s="4"/>
      <c r="D515" s="4"/>
      <c r="E515" s="4"/>
      <c r="G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V515" s="4"/>
      <c r="W515" s="24" t="s">
        <v>19</v>
      </c>
      <c r="X515" s="24">
        <f>VLOOKUP(W515,코드!$B$3:$C$29,2,FALSE)</f>
        <v>4226101</v>
      </c>
      <c r="Y515" s="23">
        <f t="shared" si="35"/>
        <v>530000000</v>
      </c>
      <c r="AC515" s="4"/>
    </row>
    <row r="516" spans="2:29" ht="17.25" customHeight="1">
      <c r="B516" s="4"/>
      <c r="D516" s="4"/>
      <c r="E516" s="4"/>
      <c r="G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V516" s="4"/>
      <c r="W516" s="24" t="s">
        <v>18</v>
      </c>
      <c r="X516" s="24">
        <f>VLOOKUP(W516,코드!$B$3:$C$29,2,FALSE)</f>
        <v>4233201</v>
      </c>
      <c r="Y516" s="23">
        <f t="shared" si="35"/>
        <v>1606746930</v>
      </c>
      <c r="AC516" s="4"/>
    </row>
    <row r="517" spans="2:29" ht="17.25" customHeight="1">
      <c r="B517" s="4"/>
      <c r="D517" s="4"/>
      <c r="E517" s="4"/>
      <c r="G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V517" s="4"/>
      <c r="W517" s="24" t="s">
        <v>17</v>
      </c>
      <c r="X517" s="24">
        <f>VLOOKUP(W517,코드!$B$3:$C$29,2,FALSE)</f>
        <v>4241130</v>
      </c>
      <c r="Y517" s="23">
        <f t="shared" si="35"/>
        <v>1261893550</v>
      </c>
      <c r="AC517" s="4"/>
    </row>
    <row r="518" spans="2:29" ht="17.25" customHeight="1">
      <c r="B518" s="4"/>
      <c r="D518" s="4"/>
      <c r="E518" s="4"/>
      <c r="G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V518" s="4"/>
      <c r="W518" s="24" t="s">
        <v>16</v>
      </c>
      <c r="X518" s="24">
        <v>4241130</v>
      </c>
      <c r="Y518" s="23">
        <f t="shared" si="35"/>
        <v>7160000</v>
      </c>
      <c r="AC518" s="4"/>
    </row>
    <row r="519" spans="2:29" ht="17.25" customHeight="1">
      <c r="B519" s="4"/>
      <c r="D519" s="4"/>
      <c r="E519" s="4"/>
      <c r="G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V519" s="4"/>
      <c r="W519" s="24" t="s">
        <v>15</v>
      </c>
      <c r="X519" s="24">
        <f>VLOOKUP(W519,코드!$B$3:$C$29,2,FALSE)</f>
        <v>4321701</v>
      </c>
      <c r="Y519" s="23">
        <f t="shared" si="35"/>
        <v>616669520</v>
      </c>
      <c r="AC519" s="4"/>
    </row>
    <row r="520" spans="2:29" ht="17.25" customHeight="1">
      <c r="B520" s="4"/>
      <c r="D520" s="4"/>
      <c r="E520" s="4"/>
      <c r="G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V520" s="4"/>
      <c r="AC520" s="4"/>
    </row>
    <row r="521" spans="2:29" ht="17.25" customHeight="1">
      <c r="B521" s="4"/>
      <c r="D521" s="4"/>
      <c r="E521" s="4"/>
      <c r="G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V521" s="4"/>
      <c r="AC521" s="4"/>
    </row>
    <row r="522" spans="2:29" ht="17.25" customHeight="1">
      <c r="Y522" s="22">
        <f>SUM(Y500:Y519)</f>
        <v>7337118572</v>
      </c>
    </row>
    <row r="523" spans="2:29" ht="17.25" customHeight="1">
      <c r="W523" s="21"/>
      <c r="X523" s="21" t="s">
        <v>14</v>
      </c>
    </row>
    <row r="527" spans="2:29" ht="17.25" customHeight="1">
      <c r="B527" s="4"/>
      <c r="D527" s="4"/>
      <c r="E527" s="4"/>
      <c r="G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V527" s="4"/>
      <c r="W527" s="20">
        <v>300000</v>
      </c>
      <c r="X527" s="19" t="s">
        <v>13</v>
      </c>
      <c r="Y527" s="12" t="s">
        <v>8</v>
      </c>
      <c r="Z527" s="16" t="s">
        <v>12</v>
      </c>
      <c r="AA527" s="15">
        <v>4241130</v>
      </c>
      <c r="AC527" s="4"/>
    </row>
    <row r="528" spans="2:29" ht="17.25" customHeight="1">
      <c r="B528" s="4"/>
      <c r="D528" s="4"/>
      <c r="E528" s="4"/>
      <c r="G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V528" s="4"/>
      <c r="W528" s="18">
        <v>1200000</v>
      </c>
      <c r="X528" s="17" t="s">
        <v>11</v>
      </c>
      <c r="Y528" s="12" t="s">
        <v>8</v>
      </c>
      <c r="Z528" s="16" t="s">
        <v>10</v>
      </c>
      <c r="AA528" s="15">
        <v>4113401</v>
      </c>
      <c r="AC528" s="4"/>
    </row>
    <row r="529" spans="23:27" s="4" customFormat="1" ht="17.25" customHeight="1">
      <c r="W529" s="14">
        <v>2100000</v>
      </c>
      <c r="X529" s="13" t="s">
        <v>9</v>
      </c>
      <c r="Y529" s="12" t="s">
        <v>8</v>
      </c>
      <c r="Z529" s="4" t="s">
        <v>7</v>
      </c>
      <c r="AA529" s="11">
        <v>4321701</v>
      </c>
    </row>
  </sheetData>
  <autoFilter ref="B2:V475" xr:uid="{D78DBF6C-AFED-4379-9A0B-60FE2D7D34D7}"/>
  <phoneticPr fontId="3" type="noConversion"/>
  <conditionalFormatting sqref="N383:N384 N65:N71 N73:N74 N274:N282 N190:N271 N476:N1048576 N284:N296 N319:N345 N312:N317 N298:N310 N179:N188 N349:N357 N1:N54 N77:N177 N451:N468 N359:N381 N441 N56:N63 N391:N439">
    <cfRule type="endsWith" dxfId="359" priority="359" operator="endsWith" text="6">
      <formula>RIGHT(N1,LEN("6"))="6"</formula>
    </cfRule>
    <cfRule type="endsWith" dxfId="358" priority="365" operator="endsWith" text="5">
      <formula>RIGHT(N1,LEN("5"))="5"</formula>
    </cfRule>
    <cfRule type="endsWith" dxfId="357" priority="366" operator="endsWith" text="4">
      <formula>RIGHT(N1,LEN("4"))="4"</formula>
    </cfRule>
    <cfRule type="endsWith" dxfId="356" priority="367" operator="endsWith" text="3">
      <formula>RIGHT(N1,LEN("3"))="3"</formula>
    </cfRule>
    <cfRule type="endsWith" dxfId="355" priority="368" operator="endsWith" text="2">
      <formula>RIGHT(N1,LEN("2"))="2"</formula>
    </cfRule>
    <cfRule type="endsWith" dxfId="354" priority="369" operator="endsWith" text="1">
      <formula>RIGHT(N1,LEN("1"))="1"</formula>
    </cfRule>
  </conditionalFormatting>
  <conditionalFormatting sqref="J384 J65:J71 J73:J74 J281 J284:J296 J95:J177 J190:J279 J476:J1048576 J389 J179:J188 J322:J323 J298:J310 J319:J320 J312:J317 J349:J357 J1:J54 J77:J93 J451:J466 J359:J381 J325:J345 J441 J56:J63 J391:J439">
    <cfRule type="endsWith" dxfId="353" priority="360" operator="endsWith" text="경비">
      <formula>RIGHT(J1,LEN("경비"))="경비"</formula>
    </cfRule>
    <cfRule type="endsWith" dxfId="352" priority="361" operator="endsWith" text="인건비">
      <formula>RIGHT(J1,LEN("인건비"))="인건비"</formula>
    </cfRule>
    <cfRule type="endsWith" dxfId="351" priority="362" operator="endsWith" text="기자재구입비">
      <formula>RIGHT(J1,LEN("기자재구입비"))="기자재구입비"</formula>
    </cfRule>
    <cfRule type="endsWith" dxfId="350" priority="363" operator="endsWith" text="환경개선비">
      <formula>RIGHT(J1,LEN("환경개선비"))="환경개선비"</formula>
    </cfRule>
    <cfRule type="endsWith" dxfId="349" priority="364" operator="endsWith" text="장학금">
      <formula>RIGHT(J1,LEN("장학금"))="장학금"</formula>
    </cfRule>
  </conditionalFormatting>
  <conditionalFormatting sqref="N272">
    <cfRule type="endsWith" dxfId="348" priority="353" operator="endsWith" text="6">
      <formula>RIGHT(N272,LEN("6"))="6"</formula>
    </cfRule>
    <cfRule type="endsWith" dxfId="347" priority="354" operator="endsWith" text="5">
      <formula>RIGHT(N272,LEN("5"))="5"</formula>
    </cfRule>
    <cfRule type="endsWith" dxfId="346" priority="355" operator="endsWith" text="4">
      <formula>RIGHT(N272,LEN("4"))="4"</formula>
    </cfRule>
    <cfRule type="endsWith" dxfId="345" priority="356" operator="endsWith" text="3">
      <formula>RIGHT(N272,LEN("3"))="3"</formula>
    </cfRule>
    <cfRule type="endsWith" dxfId="344" priority="357" operator="endsWith" text="2">
      <formula>RIGHT(N272,LEN("2"))="2"</formula>
    </cfRule>
    <cfRule type="endsWith" dxfId="343" priority="358" operator="endsWith" text="1">
      <formula>RIGHT(N272,LEN("1"))="1"</formula>
    </cfRule>
  </conditionalFormatting>
  <conditionalFormatting sqref="N382">
    <cfRule type="endsWith" dxfId="342" priority="342" operator="endsWith" text="6">
      <formula>RIGHT(N382,LEN("6"))="6"</formula>
    </cfRule>
    <cfRule type="endsWith" dxfId="341" priority="348" operator="endsWith" text="5">
      <formula>RIGHT(N382,LEN("5"))="5"</formula>
    </cfRule>
    <cfRule type="endsWith" dxfId="340" priority="349" operator="endsWith" text="4">
      <formula>RIGHT(N382,LEN("4"))="4"</formula>
    </cfRule>
    <cfRule type="endsWith" dxfId="339" priority="350" operator="endsWith" text="3">
      <formula>RIGHT(N382,LEN("3"))="3"</formula>
    </cfRule>
    <cfRule type="endsWith" dxfId="338" priority="351" operator="endsWith" text="2">
      <formula>RIGHT(N382,LEN("2"))="2"</formula>
    </cfRule>
    <cfRule type="endsWith" dxfId="337" priority="352" operator="endsWith" text="1">
      <formula>RIGHT(N382,LEN("1"))="1"</formula>
    </cfRule>
  </conditionalFormatting>
  <conditionalFormatting sqref="J382">
    <cfRule type="endsWith" dxfId="336" priority="343" operator="endsWith" text="경비">
      <formula>RIGHT(J382,LEN("경비"))="경비"</formula>
    </cfRule>
    <cfRule type="endsWith" dxfId="335" priority="344" operator="endsWith" text="인건비">
      <formula>RIGHT(J382,LEN("인건비"))="인건비"</formula>
    </cfRule>
    <cfRule type="endsWith" dxfId="334" priority="345" operator="endsWith" text="기자재구입비">
      <formula>RIGHT(J382,LEN("기자재구입비"))="기자재구입비"</formula>
    </cfRule>
    <cfRule type="endsWith" dxfId="333" priority="346" operator="endsWith" text="환경개선비">
      <formula>RIGHT(J382,LEN("환경개선비"))="환경개선비"</formula>
    </cfRule>
    <cfRule type="endsWith" dxfId="332" priority="347" operator="endsWith" text="장학금">
      <formula>RIGHT(J382,LEN("장학금"))="장학금"</formula>
    </cfRule>
  </conditionalFormatting>
  <conditionalFormatting sqref="N385">
    <cfRule type="endsWith" dxfId="331" priority="331" operator="endsWith" text="6">
      <formula>RIGHT(N385,LEN("6"))="6"</formula>
    </cfRule>
    <cfRule type="endsWith" dxfId="330" priority="337" operator="endsWith" text="5">
      <formula>RIGHT(N385,LEN("5"))="5"</formula>
    </cfRule>
    <cfRule type="endsWith" dxfId="329" priority="338" operator="endsWith" text="4">
      <formula>RIGHT(N385,LEN("4"))="4"</formula>
    </cfRule>
    <cfRule type="endsWith" dxfId="328" priority="339" operator="endsWith" text="3">
      <formula>RIGHT(N385,LEN("3"))="3"</formula>
    </cfRule>
    <cfRule type="endsWith" dxfId="327" priority="340" operator="endsWith" text="2">
      <formula>RIGHT(N385,LEN("2"))="2"</formula>
    </cfRule>
    <cfRule type="endsWith" dxfId="326" priority="341" operator="endsWith" text="1">
      <formula>RIGHT(N385,LEN("1"))="1"</formula>
    </cfRule>
  </conditionalFormatting>
  <conditionalFormatting sqref="J385">
    <cfRule type="endsWith" dxfId="325" priority="332" operator="endsWith" text="경비">
      <formula>RIGHT(J385,LEN("경비"))="경비"</formula>
    </cfRule>
    <cfRule type="endsWith" dxfId="324" priority="333" operator="endsWith" text="인건비">
      <formula>RIGHT(J385,LEN("인건비"))="인건비"</formula>
    </cfRule>
    <cfRule type="endsWith" dxfId="323" priority="334" operator="endsWith" text="기자재구입비">
      <formula>RIGHT(J385,LEN("기자재구입비"))="기자재구입비"</formula>
    </cfRule>
    <cfRule type="endsWith" dxfId="322" priority="335" operator="endsWith" text="환경개선비">
      <formula>RIGHT(J385,LEN("환경개선비"))="환경개선비"</formula>
    </cfRule>
    <cfRule type="endsWith" dxfId="321" priority="336" operator="endsWith" text="장학금">
      <formula>RIGHT(J385,LEN("장학금"))="장학금"</formula>
    </cfRule>
  </conditionalFormatting>
  <conditionalFormatting sqref="J386">
    <cfRule type="endsWith" dxfId="320" priority="326" operator="endsWith" text="경비">
      <formula>RIGHT(J386,LEN("경비"))="경비"</formula>
    </cfRule>
    <cfRule type="endsWith" dxfId="319" priority="327" operator="endsWith" text="인건비">
      <formula>RIGHT(J386,LEN("인건비"))="인건비"</formula>
    </cfRule>
    <cfRule type="endsWith" dxfId="318" priority="328" operator="endsWith" text="기자재구입비">
      <formula>RIGHT(J386,LEN("기자재구입비"))="기자재구입비"</formula>
    </cfRule>
    <cfRule type="endsWith" dxfId="317" priority="329" operator="endsWith" text="환경개선비">
      <formula>RIGHT(J386,LEN("환경개선비"))="환경개선비"</formula>
    </cfRule>
    <cfRule type="endsWith" dxfId="316" priority="330" operator="endsWith" text="장학금">
      <formula>RIGHT(J386,LEN("장학금"))="장학금"</formula>
    </cfRule>
  </conditionalFormatting>
  <conditionalFormatting sqref="J387:J390">
    <cfRule type="endsWith" dxfId="315" priority="321" operator="endsWith" text="경비">
      <formula>RIGHT(J387,LEN("경비"))="경비"</formula>
    </cfRule>
    <cfRule type="endsWith" dxfId="314" priority="322" operator="endsWith" text="인건비">
      <formula>RIGHT(J387,LEN("인건비"))="인건비"</formula>
    </cfRule>
    <cfRule type="endsWith" dxfId="313" priority="323" operator="endsWith" text="기자재구입비">
      <formula>RIGHT(J387,LEN("기자재구입비"))="기자재구입비"</formula>
    </cfRule>
    <cfRule type="endsWith" dxfId="312" priority="324" operator="endsWith" text="환경개선비">
      <formula>RIGHT(J387,LEN("환경개선비"))="환경개선비"</formula>
    </cfRule>
    <cfRule type="endsWith" dxfId="311" priority="325" operator="endsWith" text="장학금">
      <formula>RIGHT(J387,LEN("장학금"))="장학금"</formula>
    </cfRule>
  </conditionalFormatting>
  <conditionalFormatting sqref="N386">
    <cfRule type="endsWith" dxfId="310" priority="315" operator="endsWith" text="6">
      <formula>RIGHT(N386,LEN("6"))="6"</formula>
    </cfRule>
    <cfRule type="endsWith" dxfId="309" priority="316" operator="endsWith" text="5">
      <formula>RIGHT(N386,LEN("5"))="5"</formula>
    </cfRule>
    <cfRule type="endsWith" dxfId="308" priority="317" operator="endsWith" text="4">
      <formula>RIGHT(N386,LEN("4"))="4"</formula>
    </cfRule>
    <cfRule type="endsWith" dxfId="307" priority="318" operator="endsWith" text="3">
      <formula>RIGHT(N386,LEN("3"))="3"</formula>
    </cfRule>
    <cfRule type="endsWith" dxfId="306" priority="319" operator="endsWith" text="2">
      <formula>RIGHT(N386,LEN("2"))="2"</formula>
    </cfRule>
    <cfRule type="endsWith" dxfId="305" priority="320" operator="endsWith" text="1">
      <formula>RIGHT(N386,LEN("1"))="1"</formula>
    </cfRule>
  </conditionalFormatting>
  <conditionalFormatting sqref="N387:N388">
    <cfRule type="endsWith" dxfId="304" priority="309" operator="endsWith" text="6">
      <formula>RIGHT(N387,LEN("6"))="6"</formula>
    </cfRule>
    <cfRule type="endsWith" dxfId="303" priority="310" operator="endsWith" text="5">
      <formula>RIGHT(N387,LEN("5"))="5"</formula>
    </cfRule>
    <cfRule type="endsWith" dxfId="302" priority="311" operator="endsWith" text="4">
      <formula>RIGHT(N387,LEN("4"))="4"</formula>
    </cfRule>
    <cfRule type="endsWith" dxfId="301" priority="312" operator="endsWith" text="3">
      <formula>RIGHT(N387,LEN("3"))="3"</formula>
    </cfRule>
    <cfRule type="endsWith" dxfId="300" priority="313" operator="endsWith" text="2">
      <formula>RIGHT(N387,LEN("2"))="2"</formula>
    </cfRule>
    <cfRule type="endsWith" dxfId="299" priority="314" operator="endsWith" text="1">
      <formula>RIGHT(N387,LEN("1"))="1"</formula>
    </cfRule>
  </conditionalFormatting>
  <conditionalFormatting sqref="N297">
    <cfRule type="endsWith" dxfId="298" priority="298" operator="endsWith" text="6">
      <formula>RIGHT(N297,LEN("6"))="6"</formula>
    </cfRule>
    <cfRule type="endsWith" dxfId="297" priority="304" operator="endsWith" text="5">
      <formula>RIGHT(N297,LEN("5"))="5"</formula>
    </cfRule>
    <cfRule type="endsWith" dxfId="296" priority="305" operator="endsWith" text="4">
      <formula>RIGHT(N297,LEN("4"))="4"</formula>
    </cfRule>
    <cfRule type="endsWith" dxfId="295" priority="306" operator="endsWith" text="3">
      <formula>RIGHT(N297,LEN("3"))="3"</formula>
    </cfRule>
    <cfRule type="endsWith" dxfId="294" priority="307" operator="endsWith" text="2">
      <formula>RIGHT(N297,LEN("2"))="2"</formula>
    </cfRule>
    <cfRule type="endsWith" dxfId="293" priority="308" operator="endsWith" text="1">
      <formula>RIGHT(N297,LEN("1"))="1"</formula>
    </cfRule>
  </conditionalFormatting>
  <conditionalFormatting sqref="J297">
    <cfRule type="endsWith" dxfId="292" priority="299" operator="endsWith" text="경비">
      <formula>RIGHT(J297,LEN("경비"))="경비"</formula>
    </cfRule>
    <cfRule type="endsWith" dxfId="291" priority="300" operator="endsWith" text="인건비">
      <formula>RIGHT(J297,LEN("인건비"))="인건비"</formula>
    </cfRule>
    <cfRule type="endsWith" dxfId="290" priority="301" operator="endsWith" text="기자재구입비">
      <formula>RIGHT(J297,LEN("기자재구입비"))="기자재구입비"</formula>
    </cfRule>
    <cfRule type="endsWith" dxfId="289" priority="302" operator="endsWith" text="환경개선비">
      <formula>RIGHT(J297,LEN("환경개선비"))="환경개선비"</formula>
    </cfRule>
    <cfRule type="endsWith" dxfId="288" priority="303" operator="endsWith" text="장학금">
      <formula>RIGHT(J297,LEN("장학금"))="장학금"</formula>
    </cfRule>
  </conditionalFormatting>
  <conditionalFormatting sqref="J321">
    <cfRule type="endsWith" dxfId="287" priority="293" operator="endsWith" text="경비">
      <formula>RIGHT(J321,LEN("경비"))="경비"</formula>
    </cfRule>
    <cfRule type="endsWith" dxfId="286" priority="294" operator="endsWith" text="인건비">
      <formula>RIGHT(J321,LEN("인건비"))="인건비"</formula>
    </cfRule>
    <cfRule type="endsWith" dxfId="285" priority="295" operator="endsWith" text="기자재구입비">
      <formula>RIGHT(J321,LEN("기자재구입비"))="기자재구입비"</formula>
    </cfRule>
    <cfRule type="endsWith" dxfId="284" priority="296" operator="endsWith" text="환경개선비">
      <formula>RIGHT(J321,LEN("환경개선비"))="환경개선비"</formula>
    </cfRule>
    <cfRule type="endsWith" dxfId="283" priority="297" operator="endsWith" text="장학금">
      <formula>RIGHT(J321,LEN("장학금"))="장학금"</formula>
    </cfRule>
  </conditionalFormatting>
  <conditionalFormatting sqref="N473:N475">
    <cfRule type="endsWith" dxfId="282" priority="282" operator="endsWith" text="6">
      <formula>RIGHT(N473,LEN("6"))="6"</formula>
    </cfRule>
    <cfRule type="endsWith" dxfId="281" priority="288" operator="endsWith" text="5">
      <formula>RIGHT(N473,LEN("5"))="5"</formula>
    </cfRule>
    <cfRule type="endsWith" dxfId="280" priority="289" operator="endsWith" text="4">
      <formula>RIGHT(N473,LEN("4"))="4"</formula>
    </cfRule>
    <cfRule type="endsWith" dxfId="279" priority="290" operator="endsWith" text="3">
      <formula>RIGHT(N473,LEN("3"))="3"</formula>
    </cfRule>
    <cfRule type="endsWith" dxfId="278" priority="291" operator="endsWith" text="2">
      <formula>RIGHT(N473,LEN("2"))="2"</formula>
    </cfRule>
    <cfRule type="endsWith" dxfId="277" priority="292" operator="endsWith" text="1">
      <formula>RIGHT(N473,LEN("1"))="1"</formula>
    </cfRule>
  </conditionalFormatting>
  <conditionalFormatting sqref="J473:J475 J468">
    <cfRule type="endsWith" dxfId="276" priority="283" operator="endsWith" text="경비">
      <formula>RIGHT(J468,LEN("경비"))="경비"</formula>
    </cfRule>
    <cfRule type="endsWith" dxfId="275" priority="284" operator="endsWith" text="인건비">
      <formula>RIGHT(J468,LEN("인건비"))="인건비"</formula>
    </cfRule>
    <cfRule type="endsWith" dxfId="274" priority="285" operator="endsWith" text="기자재구입비">
      <formula>RIGHT(J468,LEN("기자재구입비"))="기자재구입비"</formula>
    </cfRule>
    <cfRule type="endsWith" dxfId="273" priority="286" operator="endsWith" text="환경개선비">
      <formula>RIGHT(J468,LEN("환경개선비"))="환경개선비"</formula>
    </cfRule>
    <cfRule type="endsWith" dxfId="272" priority="287" operator="endsWith" text="장학금">
      <formula>RIGHT(J468,LEN("장학금"))="장학금"</formula>
    </cfRule>
  </conditionalFormatting>
  <conditionalFormatting sqref="N469:N472">
    <cfRule type="endsWith" dxfId="271" priority="271" operator="endsWith" text="6">
      <formula>RIGHT(N469,LEN("6"))="6"</formula>
    </cfRule>
    <cfRule type="endsWith" dxfId="270" priority="277" operator="endsWith" text="5">
      <formula>RIGHT(N469,LEN("5"))="5"</formula>
    </cfRule>
    <cfRule type="endsWith" dxfId="269" priority="278" operator="endsWith" text="4">
      <formula>RIGHT(N469,LEN("4"))="4"</formula>
    </cfRule>
    <cfRule type="endsWith" dxfId="268" priority="279" operator="endsWith" text="3">
      <formula>RIGHT(N469,LEN("3"))="3"</formula>
    </cfRule>
    <cfRule type="endsWith" dxfId="267" priority="280" operator="endsWith" text="2">
      <formula>RIGHT(N469,LEN("2"))="2"</formula>
    </cfRule>
    <cfRule type="endsWith" dxfId="266" priority="281" operator="endsWith" text="1">
      <formula>RIGHT(N469,LEN("1"))="1"</formula>
    </cfRule>
  </conditionalFormatting>
  <conditionalFormatting sqref="J469 J471:J472">
    <cfRule type="endsWith" dxfId="265" priority="272" operator="endsWith" text="경비">
      <formula>RIGHT(J469,LEN("경비"))="경비"</formula>
    </cfRule>
    <cfRule type="endsWith" dxfId="264" priority="273" operator="endsWith" text="인건비">
      <formula>RIGHT(J469,LEN("인건비"))="인건비"</formula>
    </cfRule>
    <cfRule type="endsWith" dxfId="263" priority="274" operator="endsWith" text="기자재구입비">
      <formula>RIGHT(J469,LEN("기자재구입비"))="기자재구입비"</formula>
    </cfRule>
    <cfRule type="endsWith" dxfId="262" priority="275" operator="endsWith" text="환경개선비">
      <formula>RIGHT(J469,LEN("환경개선비"))="환경개선비"</formula>
    </cfRule>
    <cfRule type="endsWith" dxfId="261" priority="276" operator="endsWith" text="장학금">
      <formula>RIGHT(J469,LEN("장학금"))="장학금"</formula>
    </cfRule>
  </conditionalFormatting>
  <conditionalFormatting sqref="J470">
    <cfRule type="endsWith" dxfId="260" priority="266" operator="endsWith" text="경비">
      <formula>RIGHT(J470,LEN("경비"))="경비"</formula>
    </cfRule>
    <cfRule type="endsWith" dxfId="259" priority="267" operator="endsWith" text="인건비">
      <formula>RIGHT(J470,LEN("인건비"))="인건비"</formula>
    </cfRule>
    <cfRule type="endsWith" dxfId="258" priority="268" operator="endsWith" text="기자재구입비">
      <formula>RIGHT(J470,LEN("기자재구입비"))="기자재구입비"</formula>
    </cfRule>
    <cfRule type="endsWith" dxfId="257" priority="269" operator="endsWith" text="환경개선비">
      <formula>RIGHT(J470,LEN("환경개선비"))="환경개선비"</formula>
    </cfRule>
    <cfRule type="endsWith" dxfId="256" priority="270" operator="endsWith" text="장학금">
      <formula>RIGHT(J470,LEN("장학금"))="장학금"</formula>
    </cfRule>
  </conditionalFormatting>
  <conditionalFormatting sqref="J467">
    <cfRule type="endsWith" dxfId="255" priority="261" operator="endsWith" text="경비">
      <formula>RIGHT(J467,LEN("경비"))="경비"</formula>
    </cfRule>
    <cfRule type="endsWith" dxfId="254" priority="262" operator="endsWith" text="인건비">
      <formula>RIGHT(J467,LEN("인건비"))="인건비"</formula>
    </cfRule>
    <cfRule type="endsWith" dxfId="253" priority="263" operator="endsWith" text="기자재구입비">
      <formula>RIGHT(J467,LEN("기자재구입비"))="기자재구입비"</formula>
    </cfRule>
    <cfRule type="endsWith" dxfId="252" priority="264" operator="endsWith" text="환경개선비">
      <formula>RIGHT(J467,LEN("환경개선비"))="환경개선비"</formula>
    </cfRule>
    <cfRule type="endsWith" dxfId="251" priority="265" operator="endsWith" text="장학금">
      <formula>RIGHT(J467,LEN("장학금"))="장학금"</formula>
    </cfRule>
  </conditionalFormatting>
  <conditionalFormatting sqref="N442:N443 N447:N450">
    <cfRule type="endsWith" dxfId="250" priority="250" operator="endsWith" text="6">
      <formula>RIGHT(N442,LEN("6"))="6"</formula>
    </cfRule>
    <cfRule type="endsWith" dxfId="249" priority="256" operator="endsWith" text="5">
      <formula>RIGHT(N442,LEN("5"))="5"</formula>
    </cfRule>
    <cfRule type="endsWith" dxfId="248" priority="257" operator="endsWith" text="4">
      <formula>RIGHT(N442,LEN("4"))="4"</formula>
    </cfRule>
    <cfRule type="endsWith" dxfId="247" priority="258" operator="endsWith" text="3">
      <formula>RIGHT(N442,LEN("3"))="3"</formula>
    </cfRule>
    <cfRule type="endsWith" dxfId="246" priority="259" operator="endsWith" text="2">
      <formula>RIGHT(N442,LEN("2"))="2"</formula>
    </cfRule>
    <cfRule type="endsWith" dxfId="245" priority="260" operator="endsWith" text="1">
      <formula>RIGHT(N442,LEN("1"))="1"</formula>
    </cfRule>
  </conditionalFormatting>
  <conditionalFormatting sqref="J447:J450 J442">
    <cfRule type="endsWith" dxfId="244" priority="251" operator="endsWith" text="경비">
      <formula>RIGHT(J442,LEN("경비"))="경비"</formula>
    </cfRule>
    <cfRule type="endsWith" dxfId="243" priority="252" operator="endsWith" text="인건비">
      <formula>RIGHT(J442,LEN("인건비"))="인건비"</formula>
    </cfRule>
    <cfRule type="endsWith" dxfId="242" priority="253" operator="endsWith" text="기자재구입비">
      <formula>RIGHT(J442,LEN("기자재구입비"))="기자재구입비"</formula>
    </cfRule>
    <cfRule type="endsWith" dxfId="241" priority="254" operator="endsWith" text="환경개선비">
      <formula>RIGHT(J442,LEN("환경개선비"))="환경개선비"</formula>
    </cfRule>
    <cfRule type="endsWith" dxfId="240" priority="255" operator="endsWith" text="장학금">
      <formula>RIGHT(J442,LEN("장학금"))="장학금"</formula>
    </cfRule>
  </conditionalFormatting>
  <conditionalFormatting sqref="N445">
    <cfRule type="endsWith" dxfId="239" priority="239" operator="endsWith" text="6">
      <formula>RIGHT(N445,LEN("6"))="6"</formula>
    </cfRule>
    <cfRule type="endsWith" dxfId="238" priority="245" operator="endsWith" text="5">
      <formula>RIGHT(N445,LEN("5"))="5"</formula>
    </cfRule>
    <cfRule type="endsWith" dxfId="237" priority="246" operator="endsWith" text="4">
      <formula>RIGHT(N445,LEN("4"))="4"</formula>
    </cfRule>
    <cfRule type="endsWith" dxfId="236" priority="247" operator="endsWith" text="3">
      <formula>RIGHT(N445,LEN("3"))="3"</formula>
    </cfRule>
    <cfRule type="endsWith" dxfId="235" priority="248" operator="endsWith" text="2">
      <formula>RIGHT(N445,LEN("2"))="2"</formula>
    </cfRule>
    <cfRule type="endsWith" dxfId="234" priority="249" operator="endsWith" text="1">
      <formula>RIGHT(N445,LEN("1"))="1"</formula>
    </cfRule>
  </conditionalFormatting>
  <conditionalFormatting sqref="J445">
    <cfRule type="endsWith" dxfId="233" priority="240" operator="endsWith" text="경비">
      <formula>RIGHT(J445,LEN("경비"))="경비"</formula>
    </cfRule>
    <cfRule type="endsWith" dxfId="232" priority="241" operator="endsWith" text="인건비">
      <formula>RIGHT(J445,LEN("인건비"))="인건비"</formula>
    </cfRule>
    <cfRule type="endsWith" dxfId="231" priority="242" operator="endsWith" text="기자재구입비">
      <formula>RIGHT(J445,LEN("기자재구입비"))="기자재구입비"</formula>
    </cfRule>
    <cfRule type="endsWith" dxfId="230" priority="243" operator="endsWith" text="환경개선비">
      <formula>RIGHT(J445,LEN("환경개선비"))="환경개선비"</formula>
    </cfRule>
    <cfRule type="endsWith" dxfId="229" priority="244" operator="endsWith" text="장학금">
      <formula>RIGHT(J445,LEN("장학금"))="장학금"</formula>
    </cfRule>
  </conditionalFormatting>
  <conditionalFormatting sqref="J443:J444">
    <cfRule type="endsWith" dxfId="228" priority="234" operator="endsWith" text="경비">
      <formula>RIGHT(J443,LEN("경비"))="경비"</formula>
    </cfRule>
    <cfRule type="endsWith" dxfId="227" priority="235" operator="endsWith" text="인건비">
      <formula>RIGHT(J443,LEN("인건비"))="인건비"</formula>
    </cfRule>
    <cfRule type="endsWith" dxfId="226" priority="236" operator="endsWith" text="기자재구입비">
      <formula>RIGHT(J443,LEN("기자재구입비"))="기자재구입비"</formula>
    </cfRule>
    <cfRule type="endsWith" dxfId="225" priority="237" operator="endsWith" text="환경개선비">
      <formula>RIGHT(J443,LEN("환경개선비"))="환경개선비"</formula>
    </cfRule>
    <cfRule type="endsWith" dxfId="224" priority="238" operator="endsWith" text="장학금">
      <formula>RIGHT(J443,LEN("장학금"))="장학금"</formula>
    </cfRule>
  </conditionalFormatting>
  <conditionalFormatting sqref="V447:V450 V442:V445">
    <cfRule type="colorScale" priority="233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N446">
    <cfRule type="endsWith" dxfId="223" priority="222" operator="endsWith" text="6">
      <formula>RIGHT(N446,LEN("6"))="6"</formula>
    </cfRule>
    <cfRule type="endsWith" dxfId="222" priority="228" operator="endsWith" text="5">
      <formula>RIGHT(N446,LEN("5"))="5"</formula>
    </cfRule>
    <cfRule type="endsWith" dxfId="221" priority="229" operator="endsWith" text="4">
      <formula>RIGHT(N446,LEN("4"))="4"</formula>
    </cfRule>
    <cfRule type="endsWith" dxfId="220" priority="230" operator="endsWith" text="3">
      <formula>RIGHT(N446,LEN("3"))="3"</formula>
    </cfRule>
    <cfRule type="endsWith" dxfId="219" priority="231" operator="endsWith" text="2">
      <formula>RIGHT(N446,LEN("2"))="2"</formula>
    </cfRule>
    <cfRule type="endsWith" dxfId="218" priority="232" operator="endsWith" text="1">
      <formula>RIGHT(N446,LEN("1"))="1"</formula>
    </cfRule>
  </conditionalFormatting>
  <conditionalFormatting sqref="J446">
    <cfRule type="endsWith" dxfId="217" priority="223" operator="endsWith" text="경비">
      <formula>RIGHT(J446,LEN("경비"))="경비"</formula>
    </cfRule>
    <cfRule type="endsWith" dxfId="216" priority="224" operator="endsWith" text="인건비">
      <formula>RIGHT(J446,LEN("인건비"))="인건비"</formula>
    </cfRule>
    <cfRule type="endsWith" dxfId="215" priority="225" operator="endsWith" text="기자재구입비">
      <formula>RIGHT(J446,LEN("기자재구입비"))="기자재구입비"</formula>
    </cfRule>
    <cfRule type="endsWith" dxfId="214" priority="226" operator="endsWith" text="환경개선비">
      <formula>RIGHT(J446,LEN("환경개선비"))="환경개선비"</formula>
    </cfRule>
    <cfRule type="endsWith" dxfId="213" priority="227" operator="endsWith" text="장학금">
      <formula>RIGHT(J446,LEN("장학금"))="장학금"</formula>
    </cfRule>
  </conditionalFormatting>
  <conditionalFormatting sqref="V446">
    <cfRule type="colorScale" priority="221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J64">
    <cfRule type="endsWith" dxfId="212" priority="216" operator="endsWith" text="경비">
      <formula>RIGHT(J64,LEN("경비"))="경비"</formula>
    </cfRule>
    <cfRule type="endsWith" dxfId="211" priority="217" operator="endsWith" text="인건비">
      <formula>RIGHT(J64,LEN("인건비"))="인건비"</formula>
    </cfRule>
    <cfRule type="endsWith" dxfId="210" priority="218" operator="endsWith" text="기자재구입비">
      <formula>RIGHT(J64,LEN("기자재구입비"))="기자재구입비"</formula>
    </cfRule>
    <cfRule type="endsWith" dxfId="209" priority="219" operator="endsWith" text="환경개선비">
      <formula>RIGHT(J64,LEN("환경개선비"))="환경개선비"</formula>
    </cfRule>
    <cfRule type="endsWith" dxfId="208" priority="220" operator="endsWith" text="장학금">
      <formula>RIGHT(J64,LEN("장학금"))="장학금"</formula>
    </cfRule>
  </conditionalFormatting>
  <conditionalFormatting sqref="J189">
    <cfRule type="endsWith" dxfId="207" priority="211" operator="endsWith" text="경비">
      <formula>RIGHT(J189,LEN("경비"))="경비"</formula>
    </cfRule>
    <cfRule type="endsWith" dxfId="206" priority="212" operator="endsWith" text="인건비">
      <formula>RIGHT(J189,LEN("인건비"))="인건비"</formula>
    </cfRule>
    <cfRule type="endsWith" dxfId="205" priority="213" operator="endsWith" text="기자재구입비">
      <formula>RIGHT(J189,LEN("기자재구입비"))="기자재구입비"</formula>
    </cfRule>
    <cfRule type="endsWith" dxfId="204" priority="214" operator="endsWith" text="환경개선비">
      <formula>RIGHT(J189,LEN("환경개선비"))="환경개선비"</formula>
    </cfRule>
    <cfRule type="endsWith" dxfId="203" priority="215" operator="endsWith" text="장학금">
      <formula>RIGHT(J189,LEN("장학금"))="장학금"</formula>
    </cfRule>
  </conditionalFormatting>
  <conditionalFormatting sqref="N72">
    <cfRule type="endsWith" dxfId="202" priority="200" operator="endsWith" text="6">
      <formula>RIGHT(N72,LEN("6"))="6"</formula>
    </cfRule>
    <cfRule type="endsWith" dxfId="201" priority="206" operator="endsWith" text="5">
      <formula>RIGHT(N72,LEN("5"))="5"</formula>
    </cfRule>
    <cfRule type="endsWith" dxfId="200" priority="207" operator="endsWith" text="4">
      <formula>RIGHT(N72,LEN("4"))="4"</formula>
    </cfRule>
    <cfRule type="endsWith" dxfId="199" priority="208" operator="endsWith" text="3">
      <formula>RIGHT(N72,LEN("3"))="3"</formula>
    </cfRule>
    <cfRule type="endsWith" dxfId="198" priority="209" operator="endsWith" text="2">
      <formula>RIGHT(N72,LEN("2"))="2"</formula>
    </cfRule>
    <cfRule type="endsWith" dxfId="197" priority="210" operator="endsWith" text="1">
      <formula>RIGHT(N72,LEN("1"))="1"</formula>
    </cfRule>
  </conditionalFormatting>
  <conditionalFormatting sqref="J72">
    <cfRule type="endsWith" dxfId="196" priority="201" operator="endsWith" text="경비">
      <formula>RIGHT(J72,LEN("경비"))="경비"</formula>
    </cfRule>
    <cfRule type="endsWith" dxfId="195" priority="202" operator="endsWith" text="인건비">
      <formula>RIGHT(J72,LEN("인건비"))="인건비"</formula>
    </cfRule>
    <cfRule type="endsWith" dxfId="194" priority="203" operator="endsWith" text="기자재구입비">
      <formula>RIGHT(J72,LEN("기자재구입비"))="기자재구입비"</formula>
    </cfRule>
    <cfRule type="endsWith" dxfId="193" priority="204" operator="endsWith" text="환경개선비">
      <formula>RIGHT(J72,LEN("환경개선비"))="환경개선비"</formula>
    </cfRule>
    <cfRule type="endsWith" dxfId="192" priority="205" operator="endsWith" text="장학금">
      <formula>RIGHT(J72,LEN("장학금"))="장학금"</formula>
    </cfRule>
  </conditionalFormatting>
  <conditionalFormatting sqref="N75:N76">
    <cfRule type="endsWith" dxfId="191" priority="189" operator="endsWith" text="6">
      <formula>RIGHT(N75,LEN("6"))="6"</formula>
    </cfRule>
    <cfRule type="endsWith" dxfId="190" priority="195" operator="endsWith" text="5">
      <formula>RIGHT(N75,LEN("5"))="5"</formula>
    </cfRule>
    <cfRule type="endsWith" dxfId="189" priority="196" operator="endsWith" text="4">
      <formula>RIGHT(N75,LEN("4"))="4"</formula>
    </cfRule>
    <cfRule type="endsWith" dxfId="188" priority="197" operator="endsWith" text="3">
      <formula>RIGHT(N75,LEN("3"))="3"</formula>
    </cfRule>
    <cfRule type="endsWith" dxfId="187" priority="198" operator="endsWith" text="2">
      <formula>RIGHT(N75,LEN("2"))="2"</formula>
    </cfRule>
    <cfRule type="endsWith" dxfId="186" priority="199" operator="endsWith" text="1">
      <formula>RIGHT(N75,LEN("1"))="1"</formula>
    </cfRule>
  </conditionalFormatting>
  <conditionalFormatting sqref="J75:J76">
    <cfRule type="endsWith" dxfId="185" priority="190" operator="endsWith" text="경비">
      <formula>RIGHT(J75,LEN("경비"))="경비"</formula>
    </cfRule>
    <cfRule type="endsWith" dxfId="184" priority="191" operator="endsWith" text="인건비">
      <formula>RIGHT(J75,LEN("인건비"))="인건비"</formula>
    </cfRule>
    <cfRule type="endsWith" dxfId="183" priority="192" operator="endsWith" text="기자재구입비">
      <formula>RIGHT(J75,LEN("기자재구입비"))="기자재구입비"</formula>
    </cfRule>
    <cfRule type="endsWith" dxfId="182" priority="193" operator="endsWith" text="환경개선비">
      <formula>RIGHT(J75,LEN("환경개선비"))="환경개선비"</formula>
    </cfRule>
    <cfRule type="endsWith" dxfId="181" priority="194" operator="endsWith" text="장학금">
      <formula>RIGHT(J75,LEN("장학금"))="장학금"</formula>
    </cfRule>
  </conditionalFormatting>
  <conditionalFormatting sqref="J280">
    <cfRule type="endsWith" dxfId="180" priority="184" operator="endsWith" text="경비">
      <formula>RIGHT(J280,LEN("경비"))="경비"</formula>
    </cfRule>
    <cfRule type="endsWith" dxfId="179" priority="185" operator="endsWith" text="인건비">
      <formula>RIGHT(J280,LEN("인건비"))="인건비"</formula>
    </cfRule>
    <cfRule type="endsWith" dxfId="178" priority="186" operator="endsWith" text="기자재구입비">
      <formula>RIGHT(J280,LEN("기자재구입비"))="기자재구입비"</formula>
    </cfRule>
    <cfRule type="endsWith" dxfId="177" priority="187" operator="endsWith" text="환경개선비">
      <formula>RIGHT(J280,LEN("환경개선비"))="환경개선비"</formula>
    </cfRule>
    <cfRule type="endsWith" dxfId="176" priority="188" operator="endsWith" text="장학금">
      <formula>RIGHT(J280,LEN("장학금"))="장학금"</formula>
    </cfRule>
  </conditionalFormatting>
  <conditionalFormatting sqref="J282">
    <cfRule type="endsWith" dxfId="175" priority="179" operator="endsWith" text="경비">
      <formula>RIGHT(J282,LEN("경비"))="경비"</formula>
    </cfRule>
    <cfRule type="endsWith" dxfId="174" priority="180" operator="endsWith" text="인건비">
      <formula>RIGHT(J282,LEN("인건비"))="인건비"</formula>
    </cfRule>
    <cfRule type="endsWith" dxfId="173" priority="181" operator="endsWith" text="기자재구입비">
      <formula>RIGHT(J282,LEN("기자재구입비"))="기자재구입비"</formula>
    </cfRule>
    <cfRule type="endsWith" dxfId="172" priority="182" operator="endsWith" text="환경개선비">
      <formula>RIGHT(J282,LEN("환경개선비"))="환경개선비"</formula>
    </cfRule>
    <cfRule type="endsWith" dxfId="171" priority="183" operator="endsWith" text="장학금">
      <formula>RIGHT(J282,LEN("장학금"))="장학금"</formula>
    </cfRule>
  </conditionalFormatting>
  <conditionalFormatting sqref="N283">
    <cfRule type="endsWith" dxfId="170" priority="168" operator="endsWith" text="6">
      <formula>RIGHT(N283,LEN("6"))="6"</formula>
    </cfRule>
    <cfRule type="endsWith" dxfId="169" priority="174" operator="endsWith" text="5">
      <formula>RIGHT(N283,LEN("5"))="5"</formula>
    </cfRule>
    <cfRule type="endsWith" dxfId="168" priority="175" operator="endsWith" text="4">
      <formula>RIGHT(N283,LEN("4"))="4"</formula>
    </cfRule>
    <cfRule type="endsWith" dxfId="167" priority="176" operator="endsWith" text="3">
      <formula>RIGHT(N283,LEN("3"))="3"</formula>
    </cfRule>
    <cfRule type="endsWith" dxfId="166" priority="177" operator="endsWith" text="2">
      <formula>RIGHT(N283,LEN("2"))="2"</formula>
    </cfRule>
    <cfRule type="endsWith" dxfId="165" priority="178" operator="endsWith" text="1">
      <formula>RIGHT(N283,LEN("1"))="1"</formula>
    </cfRule>
  </conditionalFormatting>
  <conditionalFormatting sqref="J283">
    <cfRule type="endsWith" dxfId="164" priority="169" operator="endsWith" text="경비">
      <formula>RIGHT(J283,LEN("경비"))="경비"</formula>
    </cfRule>
    <cfRule type="endsWith" dxfId="163" priority="170" operator="endsWith" text="인건비">
      <formula>RIGHT(J283,LEN("인건비"))="인건비"</formula>
    </cfRule>
    <cfRule type="endsWith" dxfId="162" priority="171" operator="endsWith" text="기자재구입비">
      <formula>RIGHT(J283,LEN("기자재구입비"))="기자재구입비"</formula>
    </cfRule>
    <cfRule type="endsWith" dxfId="161" priority="172" operator="endsWith" text="환경개선비">
      <formula>RIGHT(J283,LEN("환경개선비"))="환경개선비"</formula>
    </cfRule>
    <cfRule type="endsWith" dxfId="160" priority="173" operator="endsWith" text="장학금">
      <formula>RIGHT(J283,LEN("장학금"))="장학금"</formula>
    </cfRule>
  </conditionalFormatting>
  <conditionalFormatting sqref="N358">
    <cfRule type="endsWith" dxfId="159" priority="157" operator="endsWith" text="6">
      <formula>RIGHT(N358,LEN("6"))="6"</formula>
    </cfRule>
    <cfRule type="endsWith" dxfId="158" priority="163" operator="endsWith" text="5">
      <formula>RIGHT(N358,LEN("5"))="5"</formula>
    </cfRule>
    <cfRule type="endsWith" dxfId="157" priority="164" operator="endsWith" text="4">
      <formula>RIGHT(N358,LEN("4"))="4"</formula>
    </cfRule>
    <cfRule type="endsWith" dxfId="156" priority="165" operator="endsWith" text="3">
      <formula>RIGHT(N358,LEN("3"))="3"</formula>
    </cfRule>
    <cfRule type="endsWith" dxfId="155" priority="166" operator="endsWith" text="2">
      <formula>RIGHT(N358,LEN("2"))="2"</formula>
    </cfRule>
    <cfRule type="endsWith" dxfId="154" priority="167" operator="endsWith" text="1">
      <formula>RIGHT(N358,LEN("1"))="1"</formula>
    </cfRule>
  </conditionalFormatting>
  <conditionalFormatting sqref="J358">
    <cfRule type="endsWith" dxfId="153" priority="158" operator="endsWith" text="경비">
      <formula>RIGHT(J358,LEN("경비"))="경비"</formula>
    </cfRule>
    <cfRule type="endsWith" dxfId="152" priority="159" operator="endsWith" text="인건비">
      <formula>RIGHT(J358,LEN("인건비"))="인건비"</formula>
    </cfRule>
    <cfRule type="endsWith" dxfId="151" priority="160" operator="endsWith" text="기자재구입비">
      <formula>RIGHT(J358,LEN("기자재구입비"))="기자재구입비"</formula>
    </cfRule>
    <cfRule type="endsWith" dxfId="150" priority="161" operator="endsWith" text="환경개선비">
      <formula>RIGHT(J358,LEN("환경개선비"))="환경개선비"</formula>
    </cfRule>
    <cfRule type="endsWith" dxfId="149" priority="162" operator="endsWith" text="장학금">
      <formula>RIGHT(J358,LEN("장학금"))="장학금"</formula>
    </cfRule>
  </conditionalFormatting>
  <conditionalFormatting sqref="J94">
    <cfRule type="endsWith" dxfId="148" priority="152" operator="endsWith" text="경비">
      <formula>RIGHT(J94,LEN("경비"))="경비"</formula>
    </cfRule>
    <cfRule type="endsWith" dxfId="147" priority="153" operator="endsWith" text="인건비">
      <formula>RIGHT(J94,LEN("인건비"))="인건비"</formula>
    </cfRule>
    <cfRule type="endsWith" dxfId="146" priority="154" operator="endsWith" text="기자재구입비">
      <formula>RIGHT(J94,LEN("기자재구입비"))="기자재구입비"</formula>
    </cfRule>
    <cfRule type="endsWith" dxfId="145" priority="155" operator="endsWith" text="환경개선비">
      <formula>RIGHT(J94,LEN("환경개선비"))="환경개선비"</formula>
    </cfRule>
    <cfRule type="endsWith" dxfId="144" priority="156" operator="endsWith" text="장학금">
      <formula>RIGHT(J94,LEN("장학금"))="장학금"</formula>
    </cfRule>
  </conditionalFormatting>
  <conditionalFormatting sqref="N273">
    <cfRule type="endsWith" dxfId="143" priority="146" operator="endsWith" text="6">
      <formula>RIGHT(N273,LEN("6"))="6"</formula>
    </cfRule>
    <cfRule type="endsWith" dxfId="142" priority="147" operator="endsWith" text="5">
      <formula>RIGHT(N273,LEN("5"))="5"</formula>
    </cfRule>
    <cfRule type="endsWith" dxfId="141" priority="148" operator="endsWith" text="4">
      <formula>RIGHT(N273,LEN("4"))="4"</formula>
    </cfRule>
    <cfRule type="endsWith" dxfId="140" priority="149" operator="endsWith" text="3">
      <formula>RIGHT(N273,LEN("3"))="3"</formula>
    </cfRule>
    <cfRule type="endsWith" dxfId="139" priority="150" operator="endsWith" text="2">
      <formula>RIGHT(N273,LEN("2"))="2"</formula>
    </cfRule>
    <cfRule type="endsWith" dxfId="138" priority="151" operator="endsWith" text="1">
      <formula>RIGHT(N273,LEN("1"))="1"</formula>
    </cfRule>
  </conditionalFormatting>
  <conditionalFormatting sqref="J383">
    <cfRule type="endsWith" dxfId="137" priority="141" operator="endsWith" text="경비">
      <formula>RIGHT(J383,LEN("경비"))="경비"</formula>
    </cfRule>
    <cfRule type="endsWith" dxfId="136" priority="142" operator="endsWith" text="인건비">
      <formula>RIGHT(J383,LEN("인건비"))="인건비"</formula>
    </cfRule>
    <cfRule type="endsWith" dxfId="135" priority="143" operator="endsWith" text="기자재구입비">
      <formula>RIGHT(J383,LEN("기자재구입비"))="기자재구입비"</formula>
    </cfRule>
    <cfRule type="endsWith" dxfId="134" priority="144" operator="endsWith" text="환경개선비">
      <formula>RIGHT(J383,LEN("환경개선비"))="환경개선비"</formula>
    </cfRule>
    <cfRule type="endsWith" dxfId="133" priority="145" operator="endsWith" text="장학금">
      <formula>RIGHT(J383,LEN("장학금"))="장학금"</formula>
    </cfRule>
  </conditionalFormatting>
  <conditionalFormatting sqref="J390">
    <cfRule type="endsWith" dxfId="132" priority="136" operator="endsWith" text="경비">
      <formula>RIGHT(J390,LEN("경비"))="경비"</formula>
    </cfRule>
    <cfRule type="endsWith" dxfId="131" priority="137" operator="endsWith" text="인건비">
      <formula>RIGHT(J390,LEN("인건비"))="인건비"</formula>
    </cfRule>
    <cfRule type="endsWith" dxfId="130" priority="138" operator="endsWith" text="기자재구입비">
      <formula>RIGHT(J390,LEN("기자재구입비"))="기자재구입비"</formula>
    </cfRule>
    <cfRule type="endsWith" dxfId="129" priority="139" operator="endsWith" text="환경개선비">
      <formula>RIGHT(J390,LEN("환경개선비"))="환경개선비"</formula>
    </cfRule>
    <cfRule type="endsWith" dxfId="128" priority="140" operator="endsWith" text="장학금">
      <formula>RIGHT(J390,LEN("장학금"))="장학금"</formula>
    </cfRule>
  </conditionalFormatting>
  <conditionalFormatting sqref="J55">
    <cfRule type="endsWith" dxfId="127" priority="131" operator="endsWith" text="경비">
      <formula>RIGHT(J55,LEN("경비"))="경비"</formula>
    </cfRule>
    <cfRule type="endsWith" dxfId="126" priority="132" operator="endsWith" text="인건비">
      <formula>RIGHT(J55,LEN("인건비"))="인건비"</formula>
    </cfRule>
    <cfRule type="endsWith" dxfId="125" priority="133" operator="endsWith" text="기자재구입비">
      <formula>RIGHT(J55,LEN("기자재구입비"))="기자재구입비"</formula>
    </cfRule>
    <cfRule type="endsWith" dxfId="124" priority="134" operator="endsWith" text="환경개선비">
      <formula>RIGHT(J55,LEN("환경개선비"))="환경개선비"</formula>
    </cfRule>
    <cfRule type="endsWith" dxfId="123" priority="135" operator="endsWith" text="장학금">
      <formula>RIGHT(J55,LEN("장학금"))="장학금"</formula>
    </cfRule>
  </conditionalFormatting>
  <conditionalFormatting sqref="N389:N390">
    <cfRule type="endsWith" dxfId="122" priority="125" operator="endsWith" text="6">
      <formula>RIGHT(N389,LEN("6"))="6"</formula>
    </cfRule>
    <cfRule type="endsWith" dxfId="121" priority="126" operator="endsWith" text="5">
      <formula>RIGHT(N389,LEN("5"))="5"</formula>
    </cfRule>
    <cfRule type="endsWith" dxfId="120" priority="127" operator="endsWith" text="4">
      <formula>RIGHT(N389,LEN("4"))="4"</formula>
    </cfRule>
    <cfRule type="endsWith" dxfId="119" priority="128" operator="endsWith" text="3">
      <formula>RIGHT(N389,LEN("3"))="3"</formula>
    </cfRule>
    <cfRule type="endsWith" dxfId="118" priority="129" operator="endsWith" text="2">
      <formula>RIGHT(N389,LEN("2"))="2"</formula>
    </cfRule>
    <cfRule type="endsWith" dxfId="117" priority="130" operator="endsWith" text="1">
      <formula>RIGHT(N389,LEN("1"))="1"</formula>
    </cfRule>
  </conditionalFormatting>
  <conditionalFormatting sqref="N178">
    <cfRule type="endsWith" dxfId="116" priority="114" operator="endsWith" text="6">
      <formula>RIGHT(N178,LEN("6"))="6"</formula>
    </cfRule>
    <cfRule type="endsWith" dxfId="115" priority="120" operator="endsWith" text="5">
      <formula>RIGHT(N178,LEN("5"))="5"</formula>
    </cfRule>
    <cfRule type="endsWith" dxfId="114" priority="121" operator="endsWith" text="4">
      <formula>RIGHT(N178,LEN("4"))="4"</formula>
    </cfRule>
    <cfRule type="endsWith" dxfId="113" priority="122" operator="endsWith" text="3">
      <formula>RIGHT(N178,LEN("3"))="3"</formula>
    </cfRule>
    <cfRule type="endsWith" dxfId="112" priority="123" operator="endsWith" text="2">
      <formula>RIGHT(N178,LEN("2"))="2"</formula>
    </cfRule>
    <cfRule type="endsWith" dxfId="111" priority="124" operator="endsWith" text="1">
      <formula>RIGHT(N178,LEN("1"))="1"</formula>
    </cfRule>
  </conditionalFormatting>
  <conditionalFormatting sqref="J178">
    <cfRule type="endsWith" dxfId="110" priority="115" operator="endsWith" text="경비">
      <formula>RIGHT(J178,LEN("경비"))="경비"</formula>
    </cfRule>
    <cfRule type="endsWith" dxfId="109" priority="116" operator="endsWith" text="인건비">
      <formula>RIGHT(J178,LEN("인건비"))="인건비"</formula>
    </cfRule>
    <cfRule type="endsWith" dxfId="108" priority="117" operator="endsWith" text="기자재구입비">
      <formula>RIGHT(J178,LEN("기자재구입비"))="기자재구입비"</formula>
    </cfRule>
    <cfRule type="endsWith" dxfId="107" priority="118" operator="endsWith" text="환경개선비">
      <formula>RIGHT(J178,LEN("환경개선비"))="환경개선비"</formula>
    </cfRule>
    <cfRule type="endsWith" dxfId="106" priority="119" operator="endsWith" text="장학금">
      <formula>RIGHT(J178,LEN("장학금"))="장학금"</formula>
    </cfRule>
  </conditionalFormatting>
  <conditionalFormatting sqref="J324">
    <cfRule type="endsWith" dxfId="105" priority="109" operator="endsWith" text="경비">
      <formula>RIGHT(J324,LEN("경비"))="경비"</formula>
    </cfRule>
    <cfRule type="endsWith" dxfId="104" priority="110" operator="endsWith" text="인건비">
      <formula>RIGHT(J324,LEN("인건비"))="인건비"</formula>
    </cfRule>
    <cfRule type="endsWith" dxfId="103" priority="111" operator="endsWith" text="기자재구입비">
      <formula>RIGHT(J324,LEN("기자재구입비"))="기자재구입비"</formula>
    </cfRule>
    <cfRule type="endsWith" dxfId="102" priority="112" operator="endsWith" text="환경개선비">
      <formula>RIGHT(J324,LEN("환경개선비"))="환경개선비"</formula>
    </cfRule>
    <cfRule type="endsWith" dxfId="101" priority="113" operator="endsWith" text="장학금">
      <formula>RIGHT(J324,LEN("장학금"))="장학금"</formula>
    </cfRule>
  </conditionalFormatting>
  <conditionalFormatting sqref="N318">
    <cfRule type="endsWith" dxfId="100" priority="98" operator="endsWith" text="6">
      <formula>RIGHT(N318,LEN("6"))="6"</formula>
    </cfRule>
    <cfRule type="endsWith" dxfId="99" priority="104" operator="endsWith" text="5">
      <formula>RIGHT(N318,LEN("5"))="5"</formula>
    </cfRule>
    <cfRule type="endsWith" dxfId="98" priority="105" operator="endsWith" text="4">
      <formula>RIGHT(N318,LEN("4"))="4"</formula>
    </cfRule>
    <cfRule type="endsWith" dxfId="97" priority="106" operator="endsWith" text="3">
      <formula>RIGHT(N318,LEN("3"))="3"</formula>
    </cfRule>
    <cfRule type="endsWith" dxfId="96" priority="107" operator="endsWith" text="2">
      <formula>RIGHT(N318,LEN("2"))="2"</formula>
    </cfRule>
    <cfRule type="endsWith" dxfId="95" priority="108" operator="endsWith" text="1">
      <formula>RIGHT(N318,LEN("1"))="1"</formula>
    </cfRule>
  </conditionalFormatting>
  <conditionalFormatting sqref="J318">
    <cfRule type="endsWith" dxfId="94" priority="99" operator="endsWith" text="경비">
      <formula>RIGHT(J318,LEN("경비"))="경비"</formula>
    </cfRule>
    <cfRule type="endsWith" dxfId="93" priority="100" operator="endsWith" text="인건비">
      <formula>RIGHT(J318,LEN("인건비"))="인건비"</formula>
    </cfRule>
    <cfRule type="endsWith" dxfId="92" priority="101" operator="endsWith" text="기자재구입비">
      <formula>RIGHT(J318,LEN("기자재구입비"))="기자재구입비"</formula>
    </cfRule>
    <cfRule type="endsWith" dxfId="91" priority="102" operator="endsWith" text="환경개선비">
      <formula>RIGHT(J318,LEN("환경개선비"))="환경개선비"</formula>
    </cfRule>
    <cfRule type="endsWith" dxfId="90" priority="103" operator="endsWith" text="장학금">
      <formula>RIGHT(J318,LEN("장학금"))="장학금"</formula>
    </cfRule>
  </conditionalFormatting>
  <conditionalFormatting sqref="J311">
    <cfRule type="endsWith" dxfId="89" priority="93" operator="endsWith" text="경비">
      <formula>RIGHT(J311,LEN("경비"))="경비"</formula>
    </cfRule>
    <cfRule type="endsWith" dxfId="88" priority="94" operator="endsWith" text="인건비">
      <formula>RIGHT(J311,LEN("인건비"))="인건비"</formula>
    </cfRule>
    <cfRule type="endsWith" dxfId="87" priority="95" operator="endsWith" text="기자재구입비">
      <formula>RIGHT(J311,LEN("기자재구입비"))="기자재구입비"</formula>
    </cfRule>
    <cfRule type="endsWith" dxfId="86" priority="96" operator="endsWith" text="환경개선비">
      <formula>RIGHT(J311,LEN("환경개선비"))="환경개선비"</formula>
    </cfRule>
    <cfRule type="endsWith" dxfId="85" priority="97" operator="endsWith" text="장학금">
      <formula>RIGHT(J311,LEN("장학금"))="장학금"</formula>
    </cfRule>
  </conditionalFormatting>
  <conditionalFormatting sqref="V311">
    <cfRule type="colorScale" priority="92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N311">
    <cfRule type="endsWith" dxfId="84" priority="86" operator="endsWith" text="6">
      <formula>RIGHT(N311,LEN("6"))="6"</formula>
    </cfRule>
    <cfRule type="endsWith" dxfId="83" priority="87" operator="endsWith" text="5">
      <formula>RIGHT(N311,LEN("5"))="5"</formula>
    </cfRule>
    <cfRule type="endsWith" dxfId="82" priority="88" operator="endsWith" text="4">
      <formula>RIGHT(N311,LEN("4"))="4"</formula>
    </cfRule>
    <cfRule type="endsWith" dxfId="81" priority="89" operator="endsWith" text="3">
      <formula>RIGHT(N311,LEN("3"))="3"</formula>
    </cfRule>
    <cfRule type="endsWith" dxfId="80" priority="90" operator="endsWith" text="2">
      <formula>RIGHT(N311,LEN("2"))="2"</formula>
    </cfRule>
    <cfRule type="endsWith" dxfId="79" priority="91" operator="endsWith" text="1">
      <formula>RIGHT(N311,LEN("1"))="1"</formula>
    </cfRule>
  </conditionalFormatting>
  <conditionalFormatting sqref="N189">
    <cfRule type="endsWith" dxfId="78" priority="80" operator="endsWith" text="6">
      <formula>RIGHT(N189,LEN("6"))="6"</formula>
    </cfRule>
    <cfRule type="endsWith" dxfId="77" priority="81" operator="endsWith" text="5">
      <formula>RIGHT(N189,LEN("5"))="5"</formula>
    </cfRule>
    <cfRule type="endsWith" dxfId="76" priority="82" operator="endsWith" text="4">
      <formula>RIGHT(N189,LEN("4"))="4"</formula>
    </cfRule>
    <cfRule type="endsWith" dxfId="75" priority="83" operator="endsWith" text="3">
      <formula>RIGHT(N189,LEN("3"))="3"</formula>
    </cfRule>
    <cfRule type="endsWith" dxfId="74" priority="84" operator="endsWith" text="2">
      <formula>RIGHT(N189,LEN("2"))="2"</formula>
    </cfRule>
    <cfRule type="endsWith" dxfId="73" priority="85" operator="endsWith" text="1">
      <formula>RIGHT(N189,LEN("1"))="1"</formula>
    </cfRule>
  </conditionalFormatting>
  <conditionalFormatting sqref="N64">
    <cfRule type="endsWith" dxfId="72" priority="74" operator="endsWith" text="6">
      <formula>RIGHT(N64,LEN("6"))="6"</formula>
    </cfRule>
    <cfRule type="endsWith" dxfId="71" priority="75" operator="endsWith" text="5">
      <formula>RIGHT(N64,LEN("5"))="5"</formula>
    </cfRule>
    <cfRule type="endsWith" dxfId="70" priority="76" operator="endsWith" text="4">
      <formula>RIGHT(N64,LEN("4"))="4"</formula>
    </cfRule>
    <cfRule type="endsWith" dxfId="69" priority="77" operator="endsWith" text="3">
      <formula>RIGHT(N64,LEN("3"))="3"</formula>
    </cfRule>
    <cfRule type="endsWith" dxfId="68" priority="78" operator="endsWith" text="2">
      <formula>RIGHT(N64,LEN("2"))="2"</formula>
    </cfRule>
    <cfRule type="endsWith" dxfId="67" priority="79" operator="endsWith" text="1">
      <formula>RIGHT(N64,LEN("1"))="1"</formula>
    </cfRule>
  </conditionalFormatting>
  <conditionalFormatting sqref="N55">
    <cfRule type="endsWith" dxfId="66" priority="68" operator="endsWith" text="6">
      <formula>RIGHT(N55,LEN("6"))="6"</formula>
    </cfRule>
    <cfRule type="endsWith" dxfId="65" priority="69" operator="endsWith" text="5">
      <formula>RIGHT(N55,LEN("5"))="5"</formula>
    </cfRule>
    <cfRule type="endsWith" dxfId="64" priority="70" operator="endsWith" text="4">
      <formula>RIGHT(N55,LEN("4"))="4"</formula>
    </cfRule>
    <cfRule type="endsWith" dxfId="63" priority="71" operator="endsWith" text="3">
      <formula>RIGHT(N55,LEN("3"))="3"</formula>
    </cfRule>
    <cfRule type="endsWith" dxfId="62" priority="72" operator="endsWith" text="2">
      <formula>RIGHT(N55,LEN("2"))="2"</formula>
    </cfRule>
    <cfRule type="endsWith" dxfId="61" priority="73" operator="endsWith" text="1">
      <formula>RIGHT(N55,LEN("1"))="1"</formula>
    </cfRule>
  </conditionalFormatting>
  <conditionalFormatting sqref="N346">
    <cfRule type="endsWith" dxfId="60" priority="57" operator="endsWith" text="6">
      <formula>RIGHT(N346,LEN("6"))="6"</formula>
    </cfRule>
    <cfRule type="endsWith" dxfId="59" priority="63" operator="endsWith" text="5">
      <formula>RIGHT(N346,LEN("5"))="5"</formula>
    </cfRule>
    <cfRule type="endsWith" dxfId="58" priority="64" operator="endsWith" text="4">
      <formula>RIGHT(N346,LEN("4"))="4"</formula>
    </cfRule>
    <cfRule type="endsWith" dxfId="57" priority="65" operator="endsWith" text="3">
      <formula>RIGHT(N346,LEN("3"))="3"</formula>
    </cfRule>
    <cfRule type="endsWith" dxfId="56" priority="66" operator="endsWith" text="2">
      <formula>RIGHT(N346,LEN("2"))="2"</formula>
    </cfRule>
    <cfRule type="endsWith" dxfId="55" priority="67" operator="endsWith" text="1">
      <formula>RIGHT(N346,LEN("1"))="1"</formula>
    </cfRule>
  </conditionalFormatting>
  <conditionalFormatting sqref="J346">
    <cfRule type="endsWith" dxfId="54" priority="58" operator="endsWith" text="경비">
      <formula>RIGHT(J346,LEN("경비"))="경비"</formula>
    </cfRule>
    <cfRule type="endsWith" dxfId="53" priority="59" operator="endsWith" text="인건비">
      <formula>RIGHT(J346,LEN("인건비"))="인건비"</formula>
    </cfRule>
    <cfRule type="endsWith" dxfId="52" priority="60" operator="endsWith" text="기자재구입비">
      <formula>RIGHT(J346,LEN("기자재구입비"))="기자재구입비"</formula>
    </cfRule>
    <cfRule type="endsWith" dxfId="51" priority="61" operator="endsWith" text="환경개선비">
      <formula>RIGHT(J346,LEN("환경개선비"))="환경개선비"</formula>
    </cfRule>
    <cfRule type="endsWith" dxfId="50" priority="62" operator="endsWith" text="장학금">
      <formula>RIGHT(J346,LEN("장학금"))="장학금"</formula>
    </cfRule>
  </conditionalFormatting>
  <conditionalFormatting sqref="V346">
    <cfRule type="colorScale" priority="56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N347">
    <cfRule type="endsWith" dxfId="49" priority="45" operator="endsWith" text="6">
      <formula>RIGHT(N347,LEN("6"))="6"</formula>
    </cfRule>
    <cfRule type="endsWith" dxfId="48" priority="51" operator="endsWith" text="5">
      <formula>RIGHT(N347,LEN("5"))="5"</formula>
    </cfRule>
    <cfRule type="endsWith" dxfId="47" priority="52" operator="endsWith" text="4">
      <formula>RIGHT(N347,LEN("4"))="4"</formula>
    </cfRule>
    <cfRule type="endsWith" dxfId="46" priority="53" operator="endsWith" text="3">
      <formula>RIGHT(N347,LEN("3"))="3"</formula>
    </cfRule>
    <cfRule type="endsWith" dxfId="45" priority="54" operator="endsWith" text="2">
      <formula>RIGHT(N347,LEN("2"))="2"</formula>
    </cfRule>
    <cfRule type="endsWith" dxfId="44" priority="55" operator="endsWith" text="1">
      <formula>RIGHT(N347,LEN("1"))="1"</formula>
    </cfRule>
  </conditionalFormatting>
  <conditionalFormatting sqref="J347">
    <cfRule type="endsWith" dxfId="43" priority="46" operator="endsWith" text="경비">
      <formula>RIGHT(J347,LEN("경비"))="경비"</formula>
    </cfRule>
    <cfRule type="endsWith" dxfId="42" priority="47" operator="endsWith" text="인건비">
      <formula>RIGHT(J347,LEN("인건비"))="인건비"</formula>
    </cfRule>
    <cfRule type="endsWith" dxfId="41" priority="48" operator="endsWith" text="기자재구입비">
      <formula>RIGHT(J347,LEN("기자재구입비"))="기자재구입비"</formula>
    </cfRule>
    <cfRule type="endsWith" dxfId="40" priority="49" operator="endsWith" text="환경개선비">
      <formula>RIGHT(J347,LEN("환경개선비"))="환경개선비"</formula>
    </cfRule>
    <cfRule type="endsWith" dxfId="39" priority="50" operator="endsWith" text="장학금">
      <formula>RIGHT(J347,LEN("장학금"))="장학금"</formula>
    </cfRule>
  </conditionalFormatting>
  <conditionalFormatting sqref="V347">
    <cfRule type="colorScale" priority="44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N348">
    <cfRule type="endsWith" dxfId="38" priority="33" operator="endsWith" text="6">
      <formula>RIGHT(N348,LEN("6"))="6"</formula>
    </cfRule>
    <cfRule type="endsWith" dxfId="37" priority="39" operator="endsWith" text="5">
      <formula>RIGHT(N348,LEN("5"))="5"</formula>
    </cfRule>
    <cfRule type="endsWith" dxfId="36" priority="40" operator="endsWith" text="4">
      <formula>RIGHT(N348,LEN("4"))="4"</formula>
    </cfRule>
    <cfRule type="endsWith" dxfId="35" priority="41" operator="endsWith" text="3">
      <formula>RIGHT(N348,LEN("3"))="3"</formula>
    </cfRule>
    <cfRule type="endsWith" dxfId="34" priority="42" operator="endsWith" text="2">
      <formula>RIGHT(N348,LEN("2"))="2"</formula>
    </cfRule>
    <cfRule type="endsWith" dxfId="33" priority="43" operator="endsWith" text="1">
      <formula>RIGHT(N348,LEN("1"))="1"</formula>
    </cfRule>
  </conditionalFormatting>
  <conditionalFormatting sqref="J348">
    <cfRule type="endsWith" dxfId="32" priority="34" operator="endsWith" text="경비">
      <formula>RIGHT(J348,LEN("경비"))="경비"</formula>
    </cfRule>
    <cfRule type="endsWith" dxfId="31" priority="35" operator="endsWith" text="인건비">
      <formula>RIGHT(J348,LEN("인건비"))="인건비"</formula>
    </cfRule>
    <cfRule type="endsWith" dxfId="30" priority="36" operator="endsWith" text="기자재구입비">
      <formula>RIGHT(J348,LEN("기자재구입비"))="기자재구입비"</formula>
    </cfRule>
    <cfRule type="endsWith" dxfId="29" priority="37" operator="endsWith" text="환경개선비">
      <formula>RIGHT(J348,LEN("환경개선비"))="환경개선비"</formula>
    </cfRule>
    <cfRule type="endsWith" dxfId="28" priority="38" operator="endsWith" text="장학금">
      <formula>RIGHT(J348,LEN("장학금"))="장학금"</formula>
    </cfRule>
  </conditionalFormatting>
  <conditionalFormatting sqref="V348">
    <cfRule type="colorScale" priority="32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N34:N35">
    <cfRule type="endsWith" dxfId="27" priority="21" operator="endsWith" text="6">
      <formula>RIGHT(N34,LEN("6"))="6"</formula>
    </cfRule>
    <cfRule type="endsWith" dxfId="26" priority="27" operator="endsWith" text="5">
      <formula>RIGHT(N34,LEN("5"))="5"</formula>
    </cfRule>
    <cfRule type="endsWith" dxfId="25" priority="28" operator="endsWith" text="4">
      <formula>RIGHT(N34,LEN("4"))="4"</formula>
    </cfRule>
    <cfRule type="endsWith" dxfId="24" priority="29" operator="endsWith" text="3">
      <formula>RIGHT(N34,LEN("3"))="3"</formula>
    </cfRule>
    <cfRule type="endsWith" dxfId="23" priority="30" operator="endsWith" text="2">
      <formula>RIGHT(N34,LEN("2"))="2"</formula>
    </cfRule>
    <cfRule type="endsWith" dxfId="22" priority="31" operator="endsWith" text="1">
      <formula>RIGHT(N34,LEN("1"))="1"</formula>
    </cfRule>
  </conditionalFormatting>
  <conditionalFormatting sqref="J34:J35">
    <cfRule type="endsWith" dxfId="21" priority="22" operator="endsWith" text="경비">
      <formula>RIGHT(J34,LEN("경비"))="경비"</formula>
    </cfRule>
    <cfRule type="endsWith" dxfId="20" priority="23" operator="endsWith" text="인건비">
      <formula>RIGHT(J34,LEN("인건비"))="인건비"</formula>
    </cfRule>
    <cfRule type="endsWith" dxfId="19" priority="24" operator="endsWith" text="기자재구입비">
      <formula>RIGHT(J34,LEN("기자재구입비"))="기자재구입비"</formula>
    </cfRule>
    <cfRule type="endsWith" dxfId="18" priority="25" operator="endsWith" text="환경개선비">
      <formula>RIGHT(J34,LEN("환경개선비"))="환경개선비"</formula>
    </cfRule>
    <cfRule type="endsWith" dxfId="17" priority="26" operator="endsWith" text="장학금">
      <formula>RIGHT(J34,LEN("장학금"))="장학금"</formula>
    </cfRule>
  </conditionalFormatting>
  <conditionalFormatting sqref="V476:V1048576 V179:V186 V190:V310 V312:V345 V403:V441 V1:V177 V349:V401">
    <cfRule type="colorScale" priority="370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N33">
    <cfRule type="endsWith" dxfId="16" priority="15" operator="endsWith" text="6">
      <formula>RIGHT(N33,LEN("6"))="6"</formula>
    </cfRule>
    <cfRule type="endsWith" dxfId="15" priority="16" operator="endsWith" text="5">
      <formula>RIGHT(N33,LEN("5"))="5"</formula>
    </cfRule>
    <cfRule type="endsWith" dxfId="14" priority="17" operator="endsWith" text="4">
      <formula>RIGHT(N33,LEN("4"))="4"</formula>
    </cfRule>
    <cfRule type="endsWith" dxfId="13" priority="18" operator="endsWith" text="3">
      <formula>RIGHT(N33,LEN("3"))="3"</formula>
    </cfRule>
    <cfRule type="endsWith" dxfId="12" priority="19" operator="endsWith" text="2">
      <formula>RIGHT(N33,LEN("2"))="2"</formula>
    </cfRule>
    <cfRule type="endsWith" dxfId="11" priority="20" operator="endsWith" text="1">
      <formula>RIGHT(N33,LEN("1"))="1"</formula>
    </cfRule>
  </conditionalFormatting>
  <conditionalFormatting sqref="V178">
    <cfRule type="colorScale" priority="14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V402">
    <cfRule type="colorScale" priority="13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V187:V189">
    <cfRule type="colorScale" priority="12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V451:V475">
    <cfRule type="colorScale" priority="371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N440">
    <cfRule type="endsWith" dxfId="10" priority="1" operator="endsWith" text="6">
      <formula>RIGHT(N440,LEN("6"))="6"</formula>
    </cfRule>
    <cfRule type="endsWith" dxfId="9" priority="7" operator="endsWith" text="5">
      <formula>RIGHT(N440,LEN("5"))="5"</formula>
    </cfRule>
    <cfRule type="endsWith" dxfId="8" priority="8" operator="endsWith" text="4">
      <formula>RIGHT(N440,LEN("4"))="4"</formula>
    </cfRule>
    <cfRule type="endsWith" dxfId="7" priority="9" operator="endsWith" text="3">
      <formula>RIGHT(N440,LEN("3"))="3"</formula>
    </cfRule>
    <cfRule type="endsWith" dxfId="6" priority="10" operator="endsWith" text="2">
      <formula>RIGHT(N440,LEN("2"))="2"</formula>
    </cfRule>
    <cfRule type="endsWith" dxfId="5" priority="11" operator="endsWith" text="1">
      <formula>RIGHT(N440,LEN("1"))="1"</formula>
    </cfRule>
  </conditionalFormatting>
  <conditionalFormatting sqref="J440">
    <cfRule type="endsWith" dxfId="4" priority="2" operator="endsWith" text="경비">
      <formula>RIGHT(J440,LEN("경비"))="경비"</formula>
    </cfRule>
    <cfRule type="endsWith" dxfId="3" priority="3" operator="endsWith" text="인건비">
      <formula>RIGHT(J440,LEN("인건비"))="인건비"</formula>
    </cfRule>
    <cfRule type="endsWith" dxfId="2" priority="4" operator="endsWith" text="기자재구입비">
      <formula>RIGHT(J440,LEN("기자재구입비"))="기자재구입비"</formula>
    </cfRule>
    <cfRule type="endsWith" dxfId="1" priority="5" operator="endsWith" text="환경개선비">
      <formula>RIGHT(J440,LEN("환경개선비"))="환경개선비"</formula>
    </cfRule>
    <cfRule type="endsWith" dxfId="0" priority="6" operator="endsWith" text="장학금">
      <formula>RIGHT(J440,LEN("장학금"))="장학금"</formula>
    </cfRule>
  </conditionalFormatting>
  <pageMargins left="0" right="0" top="0" bottom="0.74803149606299213" header="0" footer="0.31496062992125984"/>
  <pageSetup paperSize="9" scale="2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6815-708F-467F-9E21-6D8A5D6FC7F8}">
  <sheetPr>
    <tabColor rgb="FFFFC000"/>
    <pageSetUpPr fitToPage="1"/>
  </sheetPr>
  <dimension ref="A1:P33"/>
  <sheetViews>
    <sheetView zoomScaleNormal="100" workbookViewId="0">
      <selection activeCell="K24" sqref="K24"/>
    </sheetView>
  </sheetViews>
  <sheetFormatPr defaultRowHeight="16.5"/>
  <cols>
    <col min="1" max="1" width="2.75" customWidth="1"/>
    <col min="2" max="2" width="21.625" style="267" customWidth="1"/>
    <col min="3" max="3" width="19.75" style="267" customWidth="1"/>
    <col min="4" max="4" width="8.5" customWidth="1"/>
    <col min="5" max="5" width="14.75" customWidth="1"/>
    <col min="6" max="6" width="14.875" style="1" customWidth="1"/>
    <col min="7" max="7" width="17.875" style="1" customWidth="1"/>
    <col min="8" max="8" width="13.125" customWidth="1"/>
    <col min="9" max="9" width="1.375" customWidth="1"/>
    <col min="10" max="10" width="7.375" customWidth="1"/>
    <col min="14" max="14" width="9.5" bestFit="1" customWidth="1"/>
    <col min="16" max="16" width="13" style="1" bestFit="1" customWidth="1"/>
  </cols>
  <sheetData>
    <row r="1" spans="1:16" ht="22.5">
      <c r="B1" s="397" t="s">
        <v>1123</v>
      </c>
      <c r="C1" s="397"/>
      <c r="D1" s="397"/>
      <c r="E1" s="397"/>
      <c r="F1" s="397"/>
      <c r="G1" s="397"/>
      <c r="H1" s="397"/>
    </row>
    <row r="2" spans="1:16" ht="19.5">
      <c r="A2" s="277"/>
      <c r="B2" s="307"/>
      <c r="C2" s="307"/>
      <c r="D2" s="307"/>
      <c r="E2" s="307"/>
      <c r="F2" s="307"/>
      <c r="G2" s="307"/>
      <c r="H2" s="306" t="s">
        <v>1122</v>
      </c>
    </row>
    <row r="3" spans="1:16">
      <c r="A3" s="277"/>
      <c r="B3" s="284" t="s">
        <v>1121</v>
      </c>
      <c r="C3" s="284" t="s">
        <v>1086</v>
      </c>
      <c r="D3" s="284" t="s">
        <v>1087</v>
      </c>
      <c r="E3" s="284" t="s">
        <v>1119</v>
      </c>
      <c r="F3" s="305" t="s">
        <v>1120</v>
      </c>
      <c r="G3" s="305" t="s">
        <v>1078</v>
      </c>
      <c r="H3" s="305" t="s">
        <v>1119</v>
      </c>
      <c r="J3" s="304" t="s">
        <v>1118</v>
      </c>
    </row>
    <row r="4" spans="1:16">
      <c r="A4" s="277"/>
      <c r="B4" s="290" t="s">
        <v>1117</v>
      </c>
      <c r="C4" s="290" t="s">
        <v>1083</v>
      </c>
      <c r="D4" s="289">
        <v>4</v>
      </c>
      <c r="E4" s="290"/>
      <c r="F4" s="298">
        <v>31200000</v>
      </c>
      <c r="G4" s="298">
        <f t="shared" ref="G4:G16" si="0">D4*F4</f>
        <v>124800000</v>
      </c>
      <c r="H4" s="300" t="s">
        <v>1116</v>
      </c>
      <c r="J4" t="s">
        <v>1115</v>
      </c>
      <c r="K4">
        <v>4</v>
      </c>
      <c r="L4" t="s">
        <v>1111</v>
      </c>
      <c r="N4">
        <v>20260811</v>
      </c>
      <c r="P4" s="1">
        <v>300000000</v>
      </c>
    </row>
    <row r="5" spans="1:16">
      <c r="A5" s="277"/>
      <c r="B5" s="398" t="s">
        <v>1114</v>
      </c>
      <c r="C5" s="290" t="s">
        <v>1083</v>
      </c>
      <c r="D5" s="289">
        <v>2</v>
      </c>
      <c r="E5" s="290"/>
      <c r="F5" s="298">
        <v>30000000</v>
      </c>
      <c r="G5" s="298">
        <f t="shared" si="0"/>
        <v>60000000</v>
      </c>
      <c r="H5" s="300"/>
      <c r="J5" t="s">
        <v>1113</v>
      </c>
      <c r="K5">
        <v>4</v>
      </c>
      <c r="L5" t="s">
        <v>1112</v>
      </c>
    </row>
    <row r="6" spans="1:16">
      <c r="A6" s="277"/>
      <c r="B6" s="399"/>
      <c r="C6" s="303" t="s">
        <v>1081</v>
      </c>
      <c r="D6" s="289">
        <v>2</v>
      </c>
      <c r="E6" s="290" t="s">
        <v>1100</v>
      </c>
      <c r="F6" s="301">
        <v>34968600</v>
      </c>
      <c r="G6" s="301">
        <f t="shared" si="0"/>
        <v>69937200</v>
      </c>
      <c r="H6" s="300"/>
      <c r="J6" t="s">
        <v>1111</v>
      </c>
      <c r="K6">
        <v>4</v>
      </c>
      <c r="L6" t="s">
        <v>1102</v>
      </c>
    </row>
    <row r="7" spans="1:16">
      <c r="A7" s="277"/>
      <c r="B7" s="400"/>
      <c r="C7" s="303" t="s">
        <v>1081</v>
      </c>
      <c r="D7" s="289">
        <v>1</v>
      </c>
      <c r="E7" s="290" t="s">
        <v>1099</v>
      </c>
      <c r="F7" s="301">
        <v>38018400</v>
      </c>
      <c r="G7" s="301">
        <f t="shared" si="0"/>
        <v>38018400</v>
      </c>
      <c r="H7" s="302" t="s">
        <v>1110</v>
      </c>
      <c r="J7" t="s">
        <v>1109</v>
      </c>
      <c r="K7">
        <v>6</v>
      </c>
      <c r="L7" t="s">
        <v>1108</v>
      </c>
    </row>
    <row r="8" spans="1:16">
      <c r="A8" s="277"/>
      <c r="B8" s="398" t="s">
        <v>152</v>
      </c>
      <c r="C8" s="290" t="s">
        <v>1083</v>
      </c>
      <c r="D8" s="289">
        <v>1</v>
      </c>
      <c r="E8" s="290"/>
      <c r="F8" s="301">
        <v>31200000</v>
      </c>
      <c r="G8" s="301">
        <f t="shared" si="0"/>
        <v>31200000</v>
      </c>
      <c r="H8" s="300" t="s">
        <v>1105</v>
      </c>
      <c r="J8" t="s">
        <v>1107</v>
      </c>
      <c r="K8">
        <v>6</v>
      </c>
      <c r="L8" t="s">
        <v>1106</v>
      </c>
    </row>
    <row r="9" spans="1:16">
      <c r="A9" s="277"/>
      <c r="B9" s="400"/>
      <c r="C9" s="290" t="s">
        <v>1081</v>
      </c>
      <c r="D9" s="289">
        <v>2</v>
      </c>
      <c r="E9" s="290" t="s">
        <v>1100</v>
      </c>
      <c r="F9" s="301">
        <v>34968600</v>
      </c>
      <c r="G9" s="301">
        <f t="shared" si="0"/>
        <v>69937200</v>
      </c>
      <c r="H9" s="300" t="s">
        <v>1105</v>
      </c>
      <c r="J9" t="s">
        <v>1104</v>
      </c>
      <c r="K9">
        <v>7</v>
      </c>
      <c r="L9" t="s">
        <v>1103</v>
      </c>
    </row>
    <row r="10" spans="1:16">
      <c r="A10" s="277"/>
      <c r="B10" s="398" t="s">
        <v>255</v>
      </c>
      <c r="C10" s="290" t="s">
        <v>1083</v>
      </c>
      <c r="D10" s="289">
        <v>1</v>
      </c>
      <c r="E10" s="290"/>
      <c r="F10" s="301">
        <v>30000000</v>
      </c>
      <c r="G10" s="301">
        <f t="shared" si="0"/>
        <v>30000000</v>
      </c>
      <c r="H10" s="300" t="s">
        <v>1098</v>
      </c>
      <c r="J10" t="s">
        <v>1102</v>
      </c>
      <c r="K10">
        <v>8</v>
      </c>
      <c r="L10" t="s">
        <v>1101</v>
      </c>
    </row>
    <row r="11" spans="1:16">
      <c r="A11" s="277"/>
      <c r="B11" s="399"/>
      <c r="C11" s="290" t="s">
        <v>1081</v>
      </c>
      <c r="D11" s="289">
        <v>1</v>
      </c>
      <c r="E11" s="290" t="s">
        <v>1100</v>
      </c>
      <c r="F11" s="301">
        <v>34968600</v>
      </c>
      <c r="G11" s="301">
        <f t="shared" si="0"/>
        <v>34968600</v>
      </c>
      <c r="H11" s="300"/>
    </row>
    <row r="12" spans="1:16">
      <c r="A12" s="277"/>
      <c r="B12" s="400"/>
      <c r="C12" s="290" t="s">
        <v>1081</v>
      </c>
      <c r="D12" s="289">
        <v>1</v>
      </c>
      <c r="E12" s="290" t="s">
        <v>1099</v>
      </c>
      <c r="F12" s="301">
        <v>38018400</v>
      </c>
      <c r="G12" s="301">
        <f t="shared" si="0"/>
        <v>38018400</v>
      </c>
      <c r="H12" s="300"/>
    </row>
    <row r="13" spans="1:16">
      <c r="A13" s="277"/>
      <c r="B13" s="290" t="s">
        <v>904</v>
      </c>
      <c r="C13" s="290" t="s">
        <v>1083</v>
      </c>
      <c r="D13" s="289">
        <v>1</v>
      </c>
      <c r="E13" s="290"/>
      <c r="F13" s="298">
        <v>30000000</v>
      </c>
      <c r="G13" s="298">
        <f t="shared" si="0"/>
        <v>30000000</v>
      </c>
      <c r="H13" s="300" t="s">
        <v>1098</v>
      </c>
    </row>
    <row r="14" spans="1:16">
      <c r="A14" s="277"/>
      <c r="B14" s="290" t="s">
        <v>247</v>
      </c>
      <c r="C14" s="290" t="s">
        <v>1083</v>
      </c>
      <c r="D14" s="289">
        <v>2</v>
      </c>
      <c r="E14" s="290"/>
      <c r="F14" s="298">
        <v>31200000</v>
      </c>
      <c r="G14" s="298">
        <f t="shared" si="0"/>
        <v>62400000</v>
      </c>
      <c r="H14" s="300" t="s">
        <v>1097</v>
      </c>
    </row>
    <row r="15" spans="1:16">
      <c r="A15" s="277"/>
      <c r="B15" s="290" t="s">
        <v>943</v>
      </c>
      <c r="C15" s="290" t="s">
        <v>1083</v>
      </c>
      <c r="D15" s="289">
        <v>1</v>
      </c>
      <c r="E15" s="290"/>
      <c r="F15" s="298">
        <v>30000000</v>
      </c>
      <c r="G15" s="298">
        <f t="shared" si="0"/>
        <v>30000000</v>
      </c>
      <c r="H15" s="300"/>
    </row>
    <row r="16" spans="1:16">
      <c r="A16" s="277"/>
      <c r="B16" s="290" t="s">
        <v>714</v>
      </c>
      <c r="C16" s="290" t="s">
        <v>1083</v>
      </c>
      <c r="D16" s="289">
        <v>1</v>
      </c>
      <c r="E16" s="290"/>
      <c r="F16" s="298">
        <v>31200000</v>
      </c>
      <c r="G16" s="298">
        <f t="shared" si="0"/>
        <v>31200000</v>
      </c>
      <c r="H16" s="300" t="s">
        <v>1096</v>
      </c>
    </row>
    <row r="17" spans="1:12">
      <c r="A17" s="277"/>
      <c r="B17" s="391" t="s">
        <v>1095</v>
      </c>
      <c r="C17" s="392"/>
      <c r="D17" s="290" t="s">
        <v>1092</v>
      </c>
      <c r="E17" s="290"/>
      <c r="F17" s="298"/>
      <c r="G17" s="298">
        <f>SUM(G4:G16)/12</f>
        <v>54206650</v>
      </c>
      <c r="H17" s="290"/>
    </row>
    <row r="18" spans="1:12">
      <c r="A18" s="277"/>
      <c r="B18" s="391" t="s">
        <v>1094</v>
      </c>
      <c r="C18" s="392"/>
      <c r="D18" s="290" t="s">
        <v>1092</v>
      </c>
      <c r="E18" s="290"/>
      <c r="F18" s="298"/>
      <c r="G18" s="298">
        <f>SUM(G4:G16)*11.2%</f>
        <v>72853737.599999994</v>
      </c>
      <c r="H18" s="290"/>
    </row>
    <row r="19" spans="1:12">
      <c r="A19" s="277"/>
      <c r="B19" s="391" t="s">
        <v>1093</v>
      </c>
      <c r="C19" s="392"/>
      <c r="D19" s="289"/>
      <c r="E19" s="290"/>
      <c r="F19" s="298"/>
      <c r="G19" s="298">
        <v>35000000</v>
      </c>
      <c r="H19" s="290"/>
    </row>
    <row r="20" spans="1:12">
      <c r="A20" s="277"/>
      <c r="B20" s="393" t="s">
        <v>89</v>
      </c>
      <c r="C20" s="299" t="s">
        <v>1077</v>
      </c>
      <c r="D20" s="290" t="s">
        <v>1092</v>
      </c>
      <c r="E20" s="290"/>
      <c r="F20" s="298"/>
      <c r="G20" s="298">
        <v>60000000</v>
      </c>
      <c r="H20" s="290"/>
    </row>
    <row r="21" spans="1:12">
      <c r="A21" s="277"/>
      <c r="B21" s="393"/>
      <c r="C21" s="299" t="s">
        <v>1091</v>
      </c>
      <c r="D21" s="290" t="s">
        <v>1090</v>
      </c>
      <c r="E21" s="290"/>
      <c r="F21" s="298"/>
      <c r="G21" s="298">
        <v>70000000</v>
      </c>
      <c r="H21" s="290" t="s">
        <v>1089</v>
      </c>
    </row>
    <row r="22" spans="1:12">
      <c r="A22" s="277"/>
      <c r="B22" s="394" t="s">
        <v>1078</v>
      </c>
      <c r="C22" s="394"/>
      <c r="D22" s="394"/>
      <c r="E22" s="394"/>
      <c r="F22" s="394"/>
      <c r="G22" s="297">
        <f>SUM(G4:G21)</f>
        <v>942540187.60000002</v>
      </c>
      <c r="H22" s="297"/>
      <c r="J22" t="s">
        <v>1088</v>
      </c>
    </row>
    <row r="23" spans="1:12" ht="9.75" customHeight="1">
      <c r="A23" s="277"/>
      <c r="B23" s="278"/>
      <c r="C23" s="278"/>
      <c r="D23" s="277"/>
      <c r="E23" s="296"/>
      <c r="F23" s="295"/>
      <c r="G23" s="295"/>
    </row>
    <row r="24" spans="1:12">
      <c r="A24" s="277"/>
      <c r="B24" s="284" t="s">
        <v>1086</v>
      </c>
      <c r="C24" s="284" t="s">
        <v>1087</v>
      </c>
      <c r="D24" s="277"/>
      <c r="E24" s="294" t="s">
        <v>1086</v>
      </c>
      <c r="F24" s="294" t="s">
        <v>1085</v>
      </c>
      <c r="G24" s="294" t="s">
        <v>1084</v>
      </c>
    </row>
    <row r="25" spans="1:12">
      <c r="A25" s="277"/>
      <c r="B25" s="290" t="s">
        <v>1083</v>
      </c>
      <c r="C25" s="289">
        <f>SUMIFS(D4:D16,C4:C16,B25)</f>
        <v>13</v>
      </c>
      <c r="D25" s="277"/>
      <c r="E25" s="293" t="s">
        <v>1082</v>
      </c>
      <c r="F25" s="292">
        <v>7663000000</v>
      </c>
      <c r="G25" s="291">
        <v>6862000000</v>
      </c>
    </row>
    <row r="26" spans="1:12" ht="17.25" thickBot="1">
      <c r="A26" s="277"/>
      <c r="B26" s="290" t="s">
        <v>1081</v>
      </c>
      <c r="C26" s="289">
        <f>SUMIFS(D4:D16,C4:C16,B26)</f>
        <v>7</v>
      </c>
      <c r="D26" s="277"/>
      <c r="E26" s="288" t="s">
        <v>1080</v>
      </c>
      <c r="F26" s="287">
        <v>1915750000</v>
      </c>
      <c r="G26" s="286">
        <f>G25*25%</f>
        <v>1715500000</v>
      </c>
      <c r="H26" s="285" t="s">
        <v>1079</v>
      </c>
    </row>
    <row r="27" spans="1:12">
      <c r="A27" s="277"/>
      <c r="B27" s="284" t="s">
        <v>1078</v>
      </c>
      <c r="C27" s="283">
        <f>SUM(C25:C26)</f>
        <v>20</v>
      </c>
      <c r="D27" s="277"/>
      <c r="E27" s="282" t="s">
        <v>1077</v>
      </c>
      <c r="F27" s="281">
        <v>486245331</v>
      </c>
      <c r="G27" s="280"/>
    </row>
    <row r="28" spans="1:12">
      <c r="A28" s="277"/>
      <c r="B28" s="279" t="s">
        <v>1076</v>
      </c>
      <c r="C28" s="278"/>
      <c r="D28" s="277"/>
      <c r="E28" s="276" t="s">
        <v>1075</v>
      </c>
      <c r="F28" s="275">
        <v>1412881580</v>
      </c>
      <c r="G28" s="274"/>
    </row>
    <row r="29" spans="1:12" ht="17.25" thickBot="1">
      <c r="B29"/>
      <c r="C29"/>
      <c r="E29" s="273" t="s">
        <v>1074</v>
      </c>
      <c r="F29" s="272">
        <f>SUM(F27:F28)</f>
        <v>1899126911</v>
      </c>
      <c r="G29" s="271"/>
    </row>
    <row r="30" spans="1:12">
      <c r="B30"/>
      <c r="C30"/>
      <c r="E30" s="395" t="s">
        <v>1073</v>
      </c>
      <c r="F30" s="395"/>
      <c r="G30" s="395"/>
    </row>
    <row r="31" spans="1:12">
      <c r="B31"/>
      <c r="C31"/>
      <c r="E31" s="270" t="s">
        <v>1072</v>
      </c>
      <c r="F31" s="270"/>
      <c r="G31" s="270"/>
      <c r="K31" s="1"/>
      <c r="L31" s="1"/>
    </row>
    <row r="32" spans="1:12">
      <c r="E32" s="396" t="s">
        <v>1071</v>
      </c>
      <c r="F32" s="396"/>
      <c r="G32" s="396"/>
    </row>
    <row r="33" spans="5:12">
      <c r="E33" s="269" t="s">
        <v>1070</v>
      </c>
      <c r="F33" s="268"/>
      <c r="G33" s="268"/>
      <c r="K33" s="1"/>
      <c r="L33" s="1"/>
    </row>
  </sheetData>
  <mergeCells count="11">
    <mergeCell ref="B18:C18"/>
    <mergeCell ref="B1:H1"/>
    <mergeCell ref="B5:B7"/>
    <mergeCell ref="B8:B9"/>
    <mergeCell ref="B10:B12"/>
    <mergeCell ref="B17:C17"/>
    <mergeCell ref="B19:C19"/>
    <mergeCell ref="B20:B21"/>
    <mergeCell ref="B22:F22"/>
    <mergeCell ref="E30:G30"/>
    <mergeCell ref="E32:G32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AD7D-BF34-404D-B59C-FE1C9BDDF56A}">
  <sheetPr>
    <pageSetUpPr fitToPage="1"/>
  </sheetPr>
  <dimension ref="B2:W116"/>
  <sheetViews>
    <sheetView zoomScale="55" zoomScaleNormal="55" workbookViewId="0">
      <selection activeCell="K24" sqref="K24"/>
    </sheetView>
  </sheetViews>
  <sheetFormatPr defaultRowHeight="16.5"/>
  <cols>
    <col min="2" max="2" width="20.375" bestFit="1" customWidth="1"/>
    <col min="4" max="4" width="3.375" customWidth="1"/>
    <col min="5" max="5" width="20.375" style="267" bestFit="1" customWidth="1"/>
    <col min="6" max="6" width="9" style="267"/>
    <col min="7" max="7" width="3" customWidth="1"/>
    <col min="8" max="8" width="43.75" customWidth="1"/>
    <col min="9" max="9" width="3.75" customWidth="1"/>
    <col min="10" max="10" width="43.75" customWidth="1"/>
    <col min="11" max="11" width="3.875" customWidth="1"/>
    <col min="12" max="12" width="4.5" customWidth="1"/>
    <col min="13" max="13" width="5.5" bestFit="1" customWidth="1"/>
    <col min="14" max="14" width="27.625" bestFit="1" customWidth="1"/>
    <col min="15" max="16" width="9.25" bestFit="1" customWidth="1"/>
    <col min="17" max="17" width="5.5" bestFit="1" customWidth="1"/>
    <col min="18" max="18" width="9.25" bestFit="1" customWidth="1"/>
    <col min="19" max="19" width="5.5" bestFit="1" customWidth="1"/>
    <col min="20" max="20" width="11.5" bestFit="1" customWidth="1"/>
    <col min="21" max="21" width="36.75" bestFit="1" customWidth="1"/>
    <col min="22" max="22" width="43.75" bestFit="1" customWidth="1"/>
    <col min="23" max="23" width="13" bestFit="1" customWidth="1"/>
  </cols>
  <sheetData>
    <row r="2" spans="2:23" s="318" customFormat="1">
      <c r="B2" s="40" t="s">
        <v>1339</v>
      </c>
      <c r="C2" s="40" t="s">
        <v>38</v>
      </c>
      <c r="E2" s="40" t="s">
        <v>1338</v>
      </c>
      <c r="F2" s="40" t="s">
        <v>1337</v>
      </c>
      <c r="H2" s="322" t="s">
        <v>1336</v>
      </c>
      <c r="I2" s="321"/>
      <c r="J2" s="313" t="s">
        <v>1335</v>
      </c>
      <c r="K2" s="321"/>
      <c r="M2" s="320" t="s">
        <v>1086</v>
      </c>
      <c r="N2" s="320" t="s">
        <v>1332</v>
      </c>
      <c r="O2" s="320" t="s">
        <v>1333</v>
      </c>
      <c r="P2" s="320" t="s">
        <v>1334</v>
      </c>
      <c r="Q2" s="320" t="s">
        <v>1059</v>
      </c>
      <c r="R2" s="320" t="s">
        <v>1333</v>
      </c>
      <c r="S2" s="320" t="s">
        <v>1332</v>
      </c>
      <c r="T2" s="320" t="s">
        <v>1046</v>
      </c>
      <c r="U2" s="320" t="s">
        <v>1331</v>
      </c>
      <c r="V2" s="320" t="s">
        <v>1330</v>
      </c>
      <c r="W2" s="319" t="s">
        <v>1119</v>
      </c>
    </row>
    <row r="3" spans="2:23">
      <c r="B3" s="24" t="s">
        <v>1329</v>
      </c>
      <c r="C3" s="24">
        <v>4323101</v>
      </c>
      <c r="E3" s="24" t="s">
        <v>1328</v>
      </c>
      <c r="F3" s="24" t="s">
        <v>1327</v>
      </c>
      <c r="H3" s="317" t="s">
        <v>1023</v>
      </c>
      <c r="I3" s="316"/>
      <c r="J3" s="312" t="s">
        <v>1031</v>
      </c>
      <c r="K3" s="316"/>
      <c r="M3" s="308" t="s">
        <v>1127</v>
      </c>
      <c r="N3" s="312" t="s">
        <v>60</v>
      </c>
      <c r="O3" s="308" t="s">
        <v>1311</v>
      </c>
      <c r="P3" s="308">
        <v>251</v>
      </c>
      <c r="Q3" s="308">
        <v>1</v>
      </c>
      <c r="R3" s="308" t="s">
        <v>1155</v>
      </c>
      <c r="S3" s="308">
        <v>1</v>
      </c>
      <c r="T3" s="308" t="str">
        <f t="shared" ref="T3:T34" si="0">"NDZ251"&amp;Q3&amp;R3&amp;S3</f>
        <v>NDZ251111</v>
      </c>
      <c r="U3" s="312" t="s">
        <v>1326</v>
      </c>
      <c r="V3" s="312" t="s">
        <v>1023</v>
      </c>
      <c r="W3" s="308"/>
    </row>
    <row r="4" spans="2:23">
      <c r="B4" s="24" t="s">
        <v>9</v>
      </c>
      <c r="C4" s="24">
        <v>4321701</v>
      </c>
      <c r="E4" s="24" t="s">
        <v>1325</v>
      </c>
      <c r="F4" s="24" t="s">
        <v>1324</v>
      </c>
      <c r="H4" s="317" t="s">
        <v>973</v>
      </c>
      <c r="I4" s="316"/>
      <c r="J4" s="312" t="s">
        <v>1014</v>
      </c>
      <c r="K4" s="316"/>
      <c r="M4" s="308" t="s">
        <v>1127</v>
      </c>
      <c r="N4" s="312" t="s">
        <v>41</v>
      </c>
      <c r="O4" s="308" t="s">
        <v>1311</v>
      </c>
      <c r="P4" s="308">
        <v>251</v>
      </c>
      <c r="Q4" s="308">
        <v>1</v>
      </c>
      <c r="R4" s="308" t="s">
        <v>1155</v>
      </c>
      <c r="S4" s="308">
        <v>2</v>
      </c>
      <c r="T4" s="308" t="str">
        <f t="shared" si="0"/>
        <v>NDZ251112</v>
      </c>
      <c r="U4" s="312" t="s">
        <v>1323</v>
      </c>
      <c r="V4" s="312" t="s">
        <v>1023</v>
      </c>
      <c r="W4" s="308"/>
    </row>
    <row r="5" spans="2:23">
      <c r="B5" s="24" t="s">
        <v>17</v>
      </c>
      <c r="C5" s="24">
        <v>4241130</v>
      </c>
      <c r="E5" s="24" t="s">
        <v>1322</v>
      </c>
      <c r="F5" s="24" t="s">
        <v>1321</v>
      </c>
      <c r="H5" s="317" t="s">
        <v>918</v>
      </c>
      <c r="I5" s="316"/>
      <c r="J5" s="312" t="s">
        <v>994</v>
      </c>
      <c r="K5" s="316"/>
      <c r="M5" s="308" t="s">
        <v>1127</v>
      </c>
      <c r="N5" s="312" t="s">
        <v>58</v>
      </c>
      <c r="O5" s="308" t="s">
        <v>1311</v>
      </c>
      <c r="P5" s="308">
        <v>251</v>
      </c>
      <c r="Q5" s="308">
        <v>1</v>
      </c>
      <c r="R5" s="308" t="s">
        <v>1155</v>
      </c>
      <c r="S5" s="308">
        <v>3</v>
      </c>
      <c r="T5" s="308" t="str">
        <f t="shared" si="0"/>
        <v>NDZ251113</v>
      </c>
      <c r="U5" s="312" t="s">
        <v>1320</v>
      </c>
      <c r="V5" s="312" t="s">
        <v>1023</v>
      </c>
      <c r="W5" s="308"/>
    </row>
    <row r="6" spans="2:23">
      <c r="B6" s="24" t="s">
        <v>33</v>
      </c>
      <c r="C6" s="24">
        <v>1314903</v>
      </c>
      <c r="E6" s="24" t="s">
        <v>1319</v>
      </c>
      <c r="F6" s="24" t="s">
        <v>1318</v>
      </c>
      <c r="H6" s="317" t="s">
        <v>883</v>
      </c>
      <c r="I6" s="316"/>
      <c r="J6" s="312" t="s">
        <v>972</v>
      </c>
      <c r="K6" s="316"/>
      <c r="M6" s="314" t="s">
        <v>1127</v>
      </c>
      <c r="N6" s="315" t="s">
        <v>84</v>
      </c>
      <c r="O6" s="314" t="s">
        <v>1311</v>
      </c>
      <c r="P6" s="314">
        <v>251</v>
      </c>
      <c r="Q6" s="314">
        <v>1</v>
      </c>
      <c r="R6" s="314" t="s">
        <v>1155</v>
      </c>
      <c r="S6" s="314">
        <v>4</v>
      </c>
      <c r="T6" s="314" t="str">
        <f t="shared" si="0"/>
        <v>NDZ251114</v>
      </c>
      <c r="U6" s="315" t="s">
        <v>1317</v>
      </c>
      <c r="V6" s="315" t="s">
        <v>1023</v>
      </c>
      <c r="W6" s="314" t="s">
        <v>1136</v>
      </c>
    </row>
    <row r="7" spans="2:23">
      <c r="B7" s="24" t="s">
        <v>32</v>
      </c>
      <c r="C7" s="24">
        <v>1315903</v>
      </c>
      <c r="E7" s="24" t="s">
        <v>1316</v>
      </c>
      <c r="F7" s="24" t="s">
        <v>1315</v>
      </c>
      <c r="H7" s="317" t="s">
        <v>830</v>
      </c>
      <c r="I7" s="316"/>
      <c r="J7" s="312" t="s">
        <v>958</v>
      </c>
      <c r="K7" s="316"/>
      <c r="M7" s="308" t="s">
        <v>1127</v>
      </c>
      <c r="N7" s="312" t="s">
        <v>42</v>
      </c>
      <c r="O7" s="308" t="s">
        <v>1311</v>
      </c>
      <c r="P7" s="308">
        <v>251</v>
      </c>
      <c r="Q7" s="308">
        <v>1</v>
      </c>
      <c r="R7" s="308" t="s">
        <v>1155</v>
      </c>
      <c r="S7" s="308">
        <v>5</v>
      </c>
      <c r="T7" s="308" t="str">
        <f t="shared" si="0"/>
        <v>NDZ251115</v>
      </c>
      <c r="U7" s="312" t="s">
        <v>1314</v>
      </c>
      <c r="V7" s="312" t="s">
        <v>1023</v>
      </c>
      <c r="W7" s="308"/>
    </row>
    <row r="8" spans="2:23">
      <c r="B8" s="24" t="s">
        <v>29</v>
      </c>
      <c r="C8" s="24">
        <v>4113401</v>
      </c>
      <c r="E8" s="24" t="s">
        <v>1313</v>
      </c>
      <c r="F8" s="24" t="s">
        <v>1312</v>
      </c>
      <c r="H8" s="317" t="s">
        <v>713</v>
      </c>
      <c r="I8" s="316"/>
      <c r="J8" s="312" t="s">
        <v>941</v>
      </c>
      <c r="K8" s="316"/>
      <c r="M8" s="314" t="s">
        <v>1127</v>
      </c>
      <c r="N8" s="315" t="s">
        <v>53</v>
      </c>
      <c r="O8" s="314" t="s">
        <v>1311</v>
      </c>
      <c r="P8" s="314">
        <v>251</v>
      </c>
      <c r="Q8" s="314">
        <v>1</v>
      </c>
      <c r="R8" s="314" t="s">
        <v>1155</v>
      </c>
      <c r="S8" s="314">
        <v>6</v>
      </c>
      <c r="T8" s="314" t="str">
        <f t="shared" si="0"/>
        <v>NDZ251116</v>
      </c>
      <c r="U8" s="315" t="s">
        <v>1310</v>
      </c>
      <c r="V8" s="315" t="s">
        <v>1023</v>
      </c>
      <c r="W8" s="314" t="s">
        <v>1136</v>
      </c>
    </row>
    <row r="9" spans="2:23">
      <c r="B9" s="24" t="s">
        <v>26</v>
      </c>
      <c r="C9" s="24">
        <v>4123802</v>
      </c>
      <c r="E9" s="24" t="s">
        <v>1309</v>
      </c>
      <c r="F9" s="24" t="s">
        <v>1308</v>
      </c>
      <c r="H9" s="317" t="s">
        <v>688</v>
      </c>
      <c r="I9" s="316"/>
      <c r="J9" s="312" t="s">
        <v>931</v>
      </c>
      <c r="K9" s="316"/>
      <c r="M9" s="308" t="s">
        <v>1127</v>
      </c>
      <c r="N9" s="312" t="s">
        <v>60</v>
      </c>
      <c r="O9" s="308" t="s">
        <v>1290</v>
      </c>
      <c r="P9" s="308">
        <v>251</v>
      </c>
      <c r="Q9" s="308">
        <v>1</v>
      </c>
      <c r="R9" s="308" t="s">
        <v>1147</v>
      </c>
      <c r="S9" s="308">
        <v>1</v>
      </c>
      <c r="T9" s="308" t="str">
        <f t="shared" si="0"/>
        <v>NDZ251121</v>
      </c>
      <c r="U9" s="312" t="s">
        <v>1307</v>
      </c>
      <c r="V9" s="312" t="s">
        <v>942</v>
      </c>
      <c r="W9" s="308"/>
    </row>
    <row r="10" spans="2:23">
      <c r="B10" s="24" t="s">
        <v>29</v>
      </c>
      <c r="C10" s="24">
        <v>4113401</v>
      </c>
      <c r="E10" s="24" t="s">
        <v>1306</v>
      </c>
      <c r="F10" s="24" t="s">
        <v>1305</v>
      </c>
      <c r="H10" s="317" t="s">
        <v>577</v>
      </c>
      <c r="I10" s="316"/>
      <c r="J10" s="312" t="s">
        <v>922</v>
      </c>
      <c r="K10" s="316"/>
      <c r="M10" s="308" t="s">
        <v>1127</v>
      </c>
      <c r="N10" s="312" t="s">
        <v>41</v>
      </c>
      <c r="O10" s="308" t="s">
        <v>1290</v>
      </c>
      <c r="P10" s="308">
        <v>251</v>
      </c>
      <c r="Q10" s="308">
        <v>1</v>
      </c>
      <c r="R10" s="308" t="s">
        <v>1147</v>
      </c>
      <c r="S10" s="308">
        <v>2</v>
      </c>
      <c r="T10" s="308" t="str">
        <f t="shared" si="0"/>
        <v>NDZ251122</v>
      </c>
      <c r="U10" s="312" t="s">
        <v>1304</v>
      </c>
      <c r="V10" s="312" t="s">
        <v>942</v>
      </c>
      <c r="W10" s="308"/>
    </row>
    <row r="11" spans="2:23">
      <c r="B11" s="24" t="s">
        <v>20</v>
      </c>
      <c r="C11" s="24">
        <v>4211402</v>
      </c>
      <c r="E11" s="24" t="s">
        <v>1303</v>
      </c>
      <c r="F11" s="24" t="s">
        <v>1302</v>
      </c>
      <c r="H11" s="317" t="s">
        <v>1301</v>
      </c>
      <c r="I11" s="316"/>
      <c r="J11" s="312" t="s">
        <v>902</v>
      </c>
      <c r="K11" s="316"/>
      <c r="M11" s="308" t="s">
        <v>1127</v>
      </c>
      <c r="N11" s="312" t="s">
        <v>58</v>
      </c>
      <c r="O11" s="308" t="s">
        <v>1290</v>
      </c>
      <c r="P11" s="308">
        <v>251</v>
      </c>
      <c r="Q11" s="308">
        <v>1</v>
      </c>
      <c r="R11" s="308" t="s">
        <v>1147</v>
      </c>
      <c r="S11" s="308">
        <v>3</v>
      </c>
      <c r="T11" s="308" t="str">
        <f t="shared" si="0"/>
        <v>NDZ251123</v>
      </c>
      <c r="U11" s="312" t="s">
        <v>1300</v>
      </c>
      <c r="V11" s="312" t="s">
        <v>942</v>
      </c>
      <c r="W11" s="308"/>
    </row>
    <row r="12" spans="2:23">
      <c r="B12" s="24" t="s">
        <v>1299</v>
      </c>
      <c r="C12" s="24">
        <v>4329701</v>
      </c>
      <c r="E12" s="24" t="s">
        <v>1298</v>
      </c>
      <c r="F12" s="24" t="s">
        <v>1297</v>
      </c>
      <c r="H12" s="317" t="s">
        <v>455</v>
      </c>
      <c r="I12" s="316"/>
      <c r="J12" s="312" t="s">
        <v>887</v>
      </c>
      <c r="K12" s="316"/>
      <c r="M12" s="314" t="s">
        <v>1127</v>
      </c>
      <c r="N12" s="315" t="s">
        <v>84</v>
      </c>
      <c r="O12" s="314" t="s">
        <v>1290</v>
      </c>
      <c r="P12" s="314">
        <v>251</v>
      </c>
      <c r="Q12" s="314">
        <v>1</v>
      </c>
      <c r="R12" s="314" t="s">
        <v>1147</v>
      </c>
      <c r="S12" s="314">
        <v>4</v>
      </c>
      <c r="T12" s="314" t="str">
        <f t="shared" si="0"/>
        <v>NDZ251124</v>
      </c>
      <c r="U12" s="315" t="s">
        <v>1296</v>
      </c>
      <c r="V12" s="315" t="s">
        <v>942</v>
      </c>
      <c r="W12" s="314" t="s">
        <v>1136</v>
      </c>
    </row>
    <row r="13" spans="2:23">
      <c r="B13" s="24" t="s">
        <v>19</v>
      </c>
      <c r="C13" s="24">
        <v>4226101</v>
      </c>
      <c r="E13" s="24" t="s">
        <v>1295</v>
      </c>
      <c r="F13" s="24" t="s">
        <v>1294</v>
      </c>
      <c r="H13" s="317" t="s">
        <v>1293</v>
      </c>
      <c r="I13" s="316"/>
      <c r="J13" s="312" t="s">
        <v>882</v>
      </c>
      <c r="K13" s="316"/>
      <c r="M13" s="308" t="s">
        <v>1127</v>
      </c>
      <c r="N13" s="312" t="s">
        <v>42</v>
      </c>
      <c r="O13" s="308" t="s">
        <v>1290</v>
      </c>
      <c r="P13" s="308">
        <v>251</v>
      </c>
      <c r="Q13" s="308">
        <v>1</v>
      </c>
      <c r="R13" s="308" t="s">
        <v>1147</v>
      </c>
      <c r="S13" s="308">
        <v>5</v>
      </c>
      <c r="T13" s="308" t="str">
        <f t="shared" si="0"/>
        <v>NDZ251125</v>
      </c>
      <c r="U13" s="312" t="s">
        <v>1292</v>
      </c>
      <c r="V13" s="312" t="s">
        <v>942</v>
      </c>
      <c r="W13" s="308"/>
    </row>
    <row r="14" spans="2:23">
      <c r="B14" s="24" t="s">
        <v>34</v>
      </c>
      <c r="C14" s="24">
        <v>1314901</v>
      </c>
      <c r="E14" s="24" t="s">
        <v>337</v>
      </c>
      <c r="F14" s="24" t="s">
        <v>1291</v>
      </c>
      <c r="H14" s="317" t="s">
        <v>336</v>
      </c>
      <c r="I14" s="316"/>
      <c r="J14" s="312" t="s">
        <v>873</v>
      </c>
      <c r="K14" s="316"/>
      <c r="M14" s="314" t="s">
        <v>1127</v>
      </c>
      <c r="N14" s="315" t="s">
        <v>53</v>
      </c>
      <c r="O14" s="314" t="s">
        <v>1290</v>
      </c>
      <c r="P14" s="314">
        <v>251</v>
      </c>
      <c r="Q14" s="314">
        <v>1</v>
      </c>
      <c r="R14" s="314" t="s">
        <v>1147</v>
      </c>
      <c r="S14" s="314">
        <v>6</v>
      </c>
      <c r="T14" s="314" t="str">
        <f t="shared" si="0"/>
        <v>NDZ251126</v>
      </c>
      <c r="U14" s="315" t="s">
        <v>1289</v>
      </c>
      <c r="V14" s="315" t="s">
        <v>942</v>
      </c>
      <c r="W14" s="314" t="s">
        <v>1136</v>
      </c>
    </row>
    <row r="15" spans="2:23">
      <c r="B15" s="24" t="s">
        <v>28</v>
      </c>
      <c r="C15" s="24">
        <v>4116101</v>
      </c>
      <c r="E15" s="24" t="s">
        <v>1288</v>
      </c>
      <c r="F15" s="24" t="s">
        <v>1287</v>
      </c>
      <c r="H15" s="317" t="s">
        <v>330</v>
      </c>
      <c r="I15" s="316"/>
      <c r="J15" s="312" t="s">
        <v>855</v>
      </c>
      <c r="K15" s="316"/>
      <c r="M15" s="308" t="s">
        <v>1127</v>
      </c>
      <c r="N15" s="312" t="s">
        <v>60</v>
      </c>
      <c r="O15" s="308" t="s">
        <v>1269</v>
      </c>
      <c r="P15" s="308">
        <v>251</v>
      </c>
      <c r="Q15" s="308">
        <v>1</v>
      </c>
      <c r="R15" s="308" t="s">
        <v>1139</v>
      </c>
      <c r="S15" s="308">
        <v>1</v>
      </c>
      <c r="T15" s="308" t="str">
        <f t="shared" si="0"/>
        <v>NDZ251131</v>
      </c>
      <c r="U15" s="312" t="s">
        <v>1286</v>
      </c>
      <c r="V15" s="312" t="s">
        <v>918</v>
      </c>
      <c r="W15" s="308"/>
    </row>
    <row r="16" spans="2:23">
      <c r="B16" s="24" t="s">
        <v>1285</v>
      </c>
      <c r="C16" s="24">
        <v>4118509</v>
      </c>
      <c r="E16" s="24" t="s">
        <v>1284</v>
      </c>
      <c r="F16" s="24" t="s">
        <v>1283</v>
      </c>
      <c r="H16" s="317" t="s">
        <v>1282</v>
      </c>
      <c r="I16" s="316"/>
      <c r="J16" s="312" t="s">
        <v>848</v>
      </c>
      <c r="K16" s="316"/>
      <c r="M16" s="308" t="s">
        <v>1127</v>
      </c>
      <c r="N16" s="312" t="s">
        <v>41</v>
      </c>
      <c r="O16" s="308" t="s">
        <v>1269</v>
      </c>
      <c r="P16" s="308">
        <v>251</v>
      </c>
      <c r="Q16" s="308">
        <v>1</v>
      </c>
      <c r="R16" s="308" t="s">
        <v>1139</v>
      </c>
      <c r="S16" s="308">
        <v>2</v>
      </c>
      <c r="T16" s="308" t="str">
        <f t="shared" si="0"/>
        <v>NDZ251132</v>
      </c>
      <c r="U16" s="312" t="s">
        <v>1281</v>
      </c>
      <c r="V16" s="312" t="s">
        <v>918</v>
      </c>
      <c r="W16" s="308"/>
    </row>
    <row r="17" spans="2:23">
      <c r="B17" s="24" t="s">
        <v>23</v>
      </c>
      <c r="C17" s="24">
        <v>4125509</v>
      </c>
      <c r="E17" s="24" t="s">
        <v>167</v>
      </c>
      <c r="F17" s="24" t="s">
        <v>1280</v>
      </c>
      <c r="H17" s="317" t="s">
        <v>254</v>
      </c>
      <c r="I17" s="316"/>
      <c r="J17" s="312" t="s">
        <v>801</v>
      </c>
      <c r="K17" s="316"/>
      <c r="M17" s="308" t="s">
        <v>1127</v>
      </c>
      <c r="N17" s="312" t="s">
        <v>58</v>
      </c>
      <c r="O17" s="308" t="s">
        <v>1269</v>
      </c>
      <c r="P17" s="308">
        <v>251</v>
      </c>
      <c r="Q17" s="308">
        <v>1</v>
      </c>
      <c r="R17" s="308" t="s">
        <v>1139</v>
      </c>
      <c r="S17" s="308">
        <v>3</v>
      </c>
      <c r="T17" s="308" t="str">
        <f t="shared" si="0"/>
        <v>NDZ251133</v>
      </c>
      <c r="U17" s="312" t="s">
        <v>1279</v>
      </c>
      <c r="V17" s="312" t="s">
        <v>918</v>
      </c>
      <c r="W17" s="308"/>
    </row>
    <row r="18" spans="2:23">
      <c r="B18" s="24" t="s">
        <v>18</v>
      </c>
      <c r="C18" s="24">
        <v>4233201</v>
      </c>
      <c r="E18" s="24" t="s">
        <v>1278</v>
      </c>
      <c r="F18" s="24" t="s">
        <v>1277</v>
      </c>
      <c r="H18" s="317" t="s">
        <v>230</v>
      </c>
      <c r="I18" s="316"/>
      <c r="J18" s="312" t="s">
        <v>786</v>
      </c>
      <c r="K18" s="316"/>
      <c r="M18" s="314" t="s">
        <v>1127</v>
      </c>
      <c r="N18" s="315" t="s">
        <v>84</v>
      </c>
      <c r="O18" s="314" t="s">
        <v>1269</v>
      </c>
      <c r="P18" s="314">
        <v>251</v>
      </c>
      <c r="Q18" s="314">
        <v>1</v>
      </c>
      <c r="R18" s="314" t="s">
        <v>1139</v>
      </c>
      <c r="S18" s="314">
        <v>4</v>
      </c>
      <c r="T18" s="314" t="str">
        <f t="shared" si="0"/>
        <v>NDZ251134</v>
      </c>
      <c r="U18" s="315" t="s">
        <v>1276</v>
      </c>
      <c r="V18" s="315" t="s">
        <v>918</v>
      </c>
      <c r="W18" s="314" t="s">
        <v>1136</v>
      </c>
    </row>
    <row r="19" spans="2:23">
      <c r="B19" s="24" t="s">
        <v>1275</v>
      </c>
      <c r="C19" s="24">
        <v>4241130</v>
      </c>
      <c r="E19" s="24" t="s">
        <v>1274</v>
      </c>
      <c r="F19" s="24" t="s">
        <v>1273</v>
      </c>
      <c r="H19" s="317" t="s">
        <v>166</v>
      </c>
      <c r="I19" s="316"/>
      <c r="J19" s="312" t="s">
        <v>749</v>
      </c>
      <c r="K19" s="316"/>
      <c r="M19" s="308" t="s">
        <v>1127</v>
      </c>
      <c r="N19" s="312" t="s">
        <v>42</v>
      </c>
      <c r="O19" s="308" t="s">
        <v>1269</v>
      </c>
      <c r="P19" s="308">
        <v>251</v>
      </c>
      <c r="Q19" s="308">
        <v>1</v>
      </c>
      <c r="R19" s="308" t="s">
        <v>1139</v>
      </c>
      <c r="S19" s="308">
        <v>5</v>
      </c>
      <c r="T19" s="308" t="str">
        <f t="shared" si="0"/>
        <v>NDZ251135</v>
      </c>
      <c r="U19" s="312" t="s">
        <v>1272</v>
      </c>
      <c r="V19" s="312" t="s">
        <v>918</v>
      </c>
      <c r="W19" s="308"/>
    </row>
    <row r="20" spans="2:23">
      <c r="B20" s="24" t="s">
        <v>30</v>
      </c>
      <c r="C20" s="24">
        <v>4111101</v>
      </c>
      <c r="E20" s="24" t="s">
        <v>1271</v>
      </c>
      <c r="F20" s="24" t="s">
        <v>1270</v>
      </c>
      <c r="H20" s="317" t="s">
        <v>1137</v>
      </c>
      <c r="I20" s="316"/>
      <c r="J20" s="312" t="s">
        <v>712</v>
      </c>
      <c r="K20" s="316"/>
      <c r="M20" s="314" t="s">
        <v>1127</v>
      </c>
      <c r="N20" s="315" t="s">
        <v>53</v>
      </c>
      <c r="O20" s="314" t="s">
        <v>1269</v>
      </c>
      <c r="P20" s="314">
        <v>251</v>
      </c>
      <c r="Q20" s="314">
        <v>1</v>
      </c>
      <c r="R20" s="314" t="s">
        <v>1139</v>
      </c>
      <c r="S20" s="314">
        <v>6</v>
      </c>
      <c r="T20" s="314" t="str">
        <f t="shared" si="0"/>
        <v>NDZ251136</v>
      </c>
      <c r="U20" s="315" t="s">
        <v>1268</v>
      </c>
      <c r="V20" s="315" t="s">
        <v>918</v>
      </c>
      <c r="W20" s="314" t="s">
        <v>1136</v>
      </c>
    </row>
    <row r="21" spans="2:23">
      <c r="B21" s="24" t="s">
        <v>1267</v>
      </c>
      <c r="C21" s="24">
        <v>4118701</v>
      </c>
      <c r="E21" s="308" t="s">
        <v>314</v>
      </c>
      <c r="F21" s="308">
        <v>8693</v>
      </c>
      <c r="H21" s="317" t="s">
        <v>73</v>
      </c>
      <c r="I21" s="316"/>
      <c r="J21" s="312" t="s">
        <v>698</v>
      </c>
      <c r="K21" s="316"/>
      <c r="M21" s="308" t="s">
        <v>1127</v>
      </c>
      <c r="N21" s="312" t="s">
        <v>60</v>
      </c>
      <c r="O21" s="308" t="s">
        <v>1250</v>
      </c>
      <c r="P21" s="308">
        <v>251</v>
      </c>
      <c r="Q21" s="308">
        <v>2</v>
      </c>
      <c r="R21" s="308" t="s">
        <v>1155</v>
      </c>
      <c r="S21" s="308">
        <v>1</v>
      </c>
      <c r="T21" s="308" t="str">
        <f t="shared" si="0"/>
        <v>NDZ251211</v>
      </c>
      <c r="U21" s="312" t="s">
        <v>1266</v>
      </c>
      <c r="V21" s="312" t="s">
        <v>874</v>
      </c>
      <c r="W21" s="308"/>
    </row>
    <row r="22" spans="2:23">
      <c r="B22" s="24" t="s">
        <v>1265</v>
      </c>
      <c r="C22" s="24">
        <v>4118702</v>
      </c>
      <c r="E22" s="24" t="s">
        <v>605</v>
      </c>
      <c r="F22" s="24" t="s">
        <v>1264</v>
      </c>
      <c r="J22" s="312" t="s">
        <v>687</v>
      </c>
      <c r="M22" s="308" t="s">
        <v>1127</v>
      </c>
      <c r="N22" s="312" t="s">
        <v>41</v>
      </c>
      <c r="O22" s="308" t="s">
        <v>1250</v>
      </c>
      <c r="P22" s="308">
        <v>251</v>
      </c>
      <c r="Q22" s="308">
        <v>2</v>
      </c>
      <c r="R22" s="308" t="s">
        <v>1155</v>
      </c>
      <c r="S22" s="308">
        <v>2</v>
      </c>
      <c r="T22" s="308" t="str">
        <f t="shared" si="0"/>
        <v>NDZ251212</v>
      </c>
      <c r="U22" s="312" t="s">
        <v>1263</v>
      </c>
      <c r="V22" s="312" t="s">
        <v>874</v>
      </c>
      <c r="W22" s="308"/>
    </row>
    <row r="23" spans="2:23">
      <c r="B23" s="24" t="s">
        <v>1262</v>
      </c>
      <c r="C23" s="24">
        <v>4123301</v>
      </c>
      <c r="E23" s="24" t="s">
        <v>1261</v>
      </c>
      <c r="F23" s="24" t="s">
        <v>1260</v>
      </c>
      <c r="J23" s="312" t="s">
        <v>684</v>
      </c>
      <c r="M23" s="308" t="s">
        <v>1127</v>
      </c>
      <c r="N23" s="312" t="s">
        <v>58</v>
      </c>
      <c r="O23" s="308" t="s">
        <v>1250</v>
      </c>
      <c r="P23" s="308">
        <v>251</v>
      </c>
      <c r="Q23" s="308">
        <v>2</v>
      </c>
      <c r="R23" s="308" t="s">
        <v>1155</v>
      </c>
      <c r="S23" s="308">
        <v>3</v>
      </c>
      <c r="T23" s="308" t="str">
        <f t="shared" si="0"/>
        <v>NDZ251213</v>
      </c>
      <c r="U23" s="312" t="s">
        <v>1259</v>
      </c>
      <c r="V23" s="312" t="s">
        <v>874</v>
      </c>
      <c r="W23" s="308"/>
    </row>
    <row r="24" spans="2:23">
      <c r="B24" s="24" t="s">
        <v>90</v>
      </c>
      <c r="C24" s="24">
        <v>4123801</v>
      </c>
      <c r="E24" s="24" t="s">
        <v>1258</v>
      </c>
      <c r="F24" s="24" t="s">
        <v>1257</v>
      </c>
      <c r="J24" s="312" t="s">
        <v>628</v>
      </c>
      <c r="M24" s="314" t="s">
        <v>1127</v>
      </c>
      <c r="N24" s="315" t="s">
        <v>84</v>
      </c>
      <c r="O24" s="314" t="s">
        <v>1250</v>
      </c>
      <c r="P24" s="314">
        <v>251</v>
      </c>
      <c r="Q24" s="314">
        <v>2</v>
      </c>
      <c r="R24" s="314" t="s">
        <v>1155</v>
      </c>
      <c r="S24" s="314">
        <v>4</v>
      </c>
      <c r="T24" s="314" t="str">
        <f t="shared" si="0"/>
        <v>NDZ251214</v>
      </c>
      <c r="U24" s="315" t="s">
        <v>1256</v>
      </c>
      <c r="V24" s="315" t="s">
        <v>874</v>
      </c>
      <c r="W24" s="314" t="s">
        <v>1136</v>
      </c>
    </row>
    <row r="25" spans="2:23">
      <c r="B25" s="24" t="s">
        <v>25</v>
      </c>
      <c r="C25" s="24">
        <v>4125101</v>
      </c>
      <c r="E25" s="24" t="s">
        <v>1255</v>
      </c>
      <c r="F25" s="24" t="s">
        <v>1254</v>
      </c>
      <c r="J25" s="312" t="s">
        <v>601</v>
      </c>
      <c r="M25" s="308" t="s">
        <v>1127</v>
      </c>
      <c r="N25" s="312" t="s">
        <v>42</v>
      </c>
      <c r="O25" s="308" t="s">
        <v>1250</v>
      </c>
      <c r="P25" s="308">
        <v>251</v>
      </c>
      <c r="Q25" s="308">
        <v>2</v>
      </c>
      <c r="R25" s="308" t="s">
        <v>1155</v>
      </c>
      <c r="S25" s="308">
        <v>5</v>
      </c>
      <c r="T25" s="308" t="str">
        <f t="shared" si="0"/>
        <v>NDZ251215</v>
      </c>
      <c r="U25" s="312" t="s">
        <v>1253</v>
      </c>
      <c r="V25" s="312" t="s">
        <v>874</v>
      </c>
      <c r="W25" s="308"/>
    </row>
    <row r="26" spans="2:23">
      <c r="B26" s="24" t="s">
        <v>21</v>
      </c>
      <c r="C26" s="24">
        <v>4125301</v>
      </c>
      <c r="E26" s="24" t="s">
        <v>1252</v>
      </c>
      <c r="F26" s="24" t="s">
        <v>1251</v>
      </c>
      <c r="J26" s="312" t="s">
        <v>581</v>
      </c>
      <c r="M26" s="314" t="s">
        <v>1127</v>
      </c>
      <c r="N26" s="315" t="s">
        <v>53</v>
      </c>
      <c r="O26" s="314" t="s">
        <v>1250</v>
      </c>
      <c r="P26" s="314">
        <v>251</v>
      </c>
      <c r="Q26" s="314">
        <v>2</v>
      </c>
      <c r="R26" s="314" t="s">
        <v>1155</v>
      </c>
      <c r="S26" s="314">
        <v>6</v>
      </c>
      <c r="T26" s="314" t="str">
        <f t="shared" si="0"/>
        <v>NDZ251216</v>
      </c>
      <c r="U26" s="315" t="s">
        <v>1249</v>
      </c>
      <c r="V26" s="315" t="s">
        <v>874</v>
      </c>
      <c r="W26" s="314" t="s">
        <v>1136</v>
      </c>
    </row>
    <row r="27" spans="2:23">
      <c r="B27" s="24" t="s">
        <v>24</v>
      </c>
      <c r="C27" s="24">
        <v>4125302</v>
      </c>
      <c r="E27" s="24" t="s">
        <v>1248</v>
      </c>
      <c r="F27" s="24" t="s">
        <v>1247</v>
      </c>
      <c r="J27" s="312" t="s">
        <v>558</v>
      </c>
      <c r="M27" s="308" t="s">
        <v>1127</v>
      </c>
      <c r="N27" s="312" t="s">
        <v>60</v>
      </c>
      <c r="O27" s="308" t="s">
        <v>1236</v>
      </c>
      <c r="P27" s="308">
        <v>251</v>
      </c>
      <c r="Q27" s="308">
        <v>2</v>
      </c>
      <c r="R27" s="308" t="s">
        <v>1147</v>
      </c>
      <c r="S27" s="308">
        <v>1</v>
      </c>
      <c r="T27" s="308" t="str">
        <f t="shared" si="0"/>
        <v>NDZ251221</v>
      </c>
      <c r="U27" s="312" t="s">
        <v>1246</v>
      </c>
      <c r="V27" s="312" t="s">
        <v>830</v>
      </c>
      <c r="W27" s="308"/>
    </row>
    <row r="28" spans="2:23">
      <c r="B28" s="24" t="s">
        <v>1245</v>
      </c>
      <c r="C28" s="24">
        <v>4125602</v>
      </c>
      <c r="E28" s="24" t="s">
        <v>88</v>
      </c>
      <c r="F28" s="24">
        <v>8719</v>
      </c>
      <c r="J28" s="312" t="s">
        <v>553</v>
      </c>
      <c r="M28" s="308" t="s">
        <v>1127</v>
      </c>
      <c r="N28" s="312" t="s">
        <v>41</v>
      </c>
      <c r="O28" s="308" t="s">
        <v>1236</v>
      </c>
      <c r="P28" s="308">
        <v>251</v>
      </c>
      <c r="Q28" s="308">
        <v>2</v>
      </c>
      <c r="R28" s="308" t="s">
        <v>1147</v>
      </c>
      <c r="S28" s="308">
        <v>2</v>
      </c>
      <c r="T28" s="308" t="str">
        <f t="shared" si="0"/>
        <v>NDZ251222</v>
      </c>
      <c r="U28" s="312" t="s">
        <v>1244</v>
      </c>
      <c r="V28" s="312" t="s">
        <v>830</v>
      </c>
      <c r="W28" s="308"/>
    </row>
    <row r="29" spans="2:23">
      <c r="B29" s="21" t="s">
        <v>135</v>
      </c>
      <c r="C29" s="21" t="s">
        <v>135</v>
      </c>
      <c r="E29" s="24" t="s">
        <v>1243</v>
      </c>
      <c r="F29" s="24" t="s">
        <v>1242</v>
      </c>
      <c r="J29" s="312" t="s">
        <v>524</v>
      </c>
      <c r="M29" s="308" t="s">
        <v>1127</v>
      </c>
      <c r="N29" s="312" t="s">
        <v>58</v>
      </c>
      <c r="O29" s="308" t="s">
        <v>1236</v>
      </c>
      <c r="P29" s="308">
        <v>251</v>
      </c>
      <c r="Q29" s="308">
        <v>2</v>
      </c>
      <c r="R29" s="308" t="s">
        <v>1147</v>
      </c>
      <c r="S29" s="308">
        <v>3</v>
      </c>
      <c r="T29" s="308" t="str">
        <f t="shared" si="0"/>
        <v>NDZ251223</v>
      </c>
      <c r="U29" s="312" t="s">
        <v>1241</v>
      </c>
      <c r="V29" s="312" t="s">
        <v>830</v>
      </c>
      <c r="W29" s="308"/>
    </row>
    <row r="30" spans="2:23">
      <c r="E30" s="24" t="s">
        <v>1240</v>
      </c>
      <c r="F30" s="24" t="s">
        <v>1239</v>
      </c>
      <c r="J30" s="312" t="s">
        <v>507</v>
      </c>
      <c r="M30" s="314" t="s">
        <v>1127</v>
      </c>
      <c r="N30" s="315" t="s">
        <v>84</v>
      </c>
      <c r="O30" s="314" t="s">
        <v>1236</v>
      </c>
      <c r="P30" s="314">
        <v>251</v>
      </c>
      <c r="Q30" s="314">
        <v>2</v>
      </c>
      <c r="R30" s="314" t="s">
        <v>1147</v>
      </c>
      <c r="S30" s="314">
        <v>4</v>
      </c>
      <c r="T30" s="314" t="str">
        <f t="shared" si="0"/>
        <v>NDZ251224</v>
      </c>
      <c r="U30" s="315" t="s">
        <v>1238</v>
      </c>
      <c r="V30" s="315" t="s">
        <v>830</v>
      </c>
      <c r="W30" s="314" t="s">
        <v>1136</v>
      </c>
    </row>
    <row r="31" spans="2:23">
      <c r="J31" s="312" t="s">
        <v>468</v>
      </c>
      <c r="M31" s="308" t="s">
        <v>1127</v>
      </c>
      <c r="N31" s="312" t="s">
        <v>42</v>
      </c>
      <c r="O31" s="308" t="s">
        <v>1236</v>
      </c>
      <c r="P31" s="308">
        <v>251</v>
      </c>
      <c r="Q31" s="308">
        <v>2</v>
      </c>
      <c r="R31" s="308" t="s">
        <v>1147</v>
      </c>
      <c r="S31" s="308">
        <v>5</v>
      </c>
      <c r="T31" s="308" t="str">
        <f t="shared" si="0"/>
        <v>NDZ251225</v>
      </c>
      <c r="U31" s="312" t="s">
        <v>1237</v>
      </c>
      <c r="V31" s="312" t="s">
        <v>830</v>
      </c>
      <c r="W31" s="308"/>
    </row>
    <row r="32" spans="2:23">
      <c r="J32" s="312" t="s">
        <v>457</v>
      </c>
      <c r="M32" s="314" t="s">
        <v>1127</v>
      </c>
      <c r="N32" s="315" t="s">
        <v>53</v>
      </c>
      <c r="O32" s="314" t="s">
        <v>1236</v>
      </c>
      <c r="P32" s="314">
        <v>251</v>
      </c>
      <c r="Q32" s="314">
        <v>2</v>
      </c>
      <c r="R32" s="314" t="s">
        <v>1147</v>
      </c>
      <c r="S32" s="314">
        <v>6</v>
      </c>
      <c r="T32" s="314" t="str">
        <f t="shared" si="0"/>
        <v>NDZ251226</v>
      </c>
      <c r="U32" s="315" t="s">
        <v>1235</v>
      </c>
      <c r="V32" s="315" t="s">
        <v>830</v>
      </c>
      <c r="W32" s="314" t="s">
        <v>1136</v>
      </c>
    </row>
    <row r="33" spans="10:23">
      <c r="J33" s="312" t="s">
        <v>445</v>
      </c>
      <c r="M33" s="308" t="s">
        <v>1127</v>
      </c>
      <c r="N33" s="312" t="s">
        <v>60</v>
      </c>
      <c r="O33" s="308" t="s">
        <v>1229</v>
      </c>
      <c r="P33" s="308">
        <v>251</v>
      </c>
      <c r="Q33" s="308">
        <v>2</v>
      </c>
      <c r="R33" s="308" t="s">
        <v>1139</v>
      </c>
      <c r="S33" s="308">
        <v>1</v>
      </c>
      <c r="T33" s="308" t="str">
        <f t="shared" si="0"/>
        <v>NDZ251231</v>
      </c>
      <c r="U33" s="312" t="s">
        <v>1234</v>
      </c>
      <c r="V33" s="312" t="s">
        <v>1227</v>
      </c>
      <c r="W33" s="308"/>
    </row>
    <row r="34" spans="10:23">
      <c r="J34" s="312" t="s">
        <v>416</v>
      </c>
      <c r="M34" s="308" t="s">
        <v>1127</v>
      </c>
      <c r="N34" s="312" t="s">
        <v>41</v>
      </c>
      <c r="O34" s="308" t="s">
        <v>1229</v>
      </c>
      <c r="P34" s="308">
        <v>251</v>
      </c>
      <c r="Q34" s="308">
        <v>2</v>
      </c>
      <c r="R34" s="308" t="s">
        <v>1139</v>
      </c>
      <c r="S34" s="308">
        <v>2</v>
      </c>
      <c r="T34" s="308" t="str">
        <f t="shared" si="0"/>
        <v>NDZ251232</v>
      </c>
      <c r="U34" s="312" t="s">
        <v>1233</v>
      </c>
      <c r="V34" s="312" t="s">
        <v>1227</v>
      </c>
      <c r="W34" s="308"/>
    </row>
    <row r="35" spans="10:23">
      <c r="J35" s="312" t="s">
        <v>401</v>
      </c>
      <c r="M35" s="308" t="s">
        <v>1127</v>
      </c>
      <c r="N35" s="312" t="s">
        <v>58</v>
      </c>
      <c r="O35" s="308" t="s">
        <v>1229</v>
      </c>
      <c r="P35" s="308">
        <v>251</v>
      </c>
      <c r="Q35" s="308">
        <v>2</v>
      </c>
      <c r="R35" s="308" t="s">
        <v>1139</v>
      </c>
      <c r="S35" s="308">
        <v>3</v>
      </c>
      <c r="T35" s="308" t="str">
        <f t="shared" ref="T35:T66" si="1">"NDZ251"&amp;Q35&amp;R35&amp;S35</f>
        <v>NDZ251233</v>
      </c>
      <c r="U35" s="312" t="s">
        <v>1232</v>
      </c>
      <c r="V35" s="312" t="s">
        <v>1227</v>
      </c>
      <c r="W35" s="308"/>
    </row>
    <row r="36" spans="10:23">
      <c r="J36" s="312" t="s">
        <v>374</v>
      </c>
      <c r="M36" s="314" t="s">
        <v>1127</v>
      </c>
      <c r="N36" s="315" t="s">
        <v>84</v>
      </c>
      <c r="O36" s="314" t="s">
        <v>1229</v>
      </c>
      <c r="P36" s="314">
        <v>251</v>
      </c>
      <c r="Q36" s="314">
        <v>2</v>
      </c>
      <c r="R36" s="314" t="s">
        <v>1139</v>
      </c>
      <c r="S36" s="314">
        <v>4</v>
      </c>
      <c r="T36" s="314" t="str">
        <f t="shared" si="1"/>
        <v>NDZ251234</v>
      </c>
      <c r="U36" s="315" t="s">
        <v>1231</v>
      </c>
      <c r="V36" s="315" t="s">
        <v>1227</v>
      </c>
      <c r="W36" s="314" t="s">
        <v>1136</v>
      </c>
    </row>
    <row r="37" spans="10:23">
      <c r="J37" s="312" t="s">
        <v>347</v>
      </c>
      <c r="M37" s="308" t="s">
        <v>1127</v>
      </c>
      <c r="N37" s="312" t="s">
        <v>42</v>
      </c>
      <c r="O37" s="308" t="s">
        <v>1229</v>
      </c>
      <c r="P37" s="308">
        <v>251</v>
      </c>
      <c r="Q37" s="308">
        <v>2</v>
      </c>
      <c r="R37" s="308" t="s">
        <v>1139</v>
      </c>
      <c r="S37" s="308">
        <v>5</v>
      </c>
      <c r="T37" s="308" t="str">
        <f t="shared" si="1"/>
        <v>NDZ251235</v>
      </c>
      <c r="U37" s="312" t="s">
        <v>1230</v>
      </c>
      <c r="V37" s="312" t="s">
        <v>1227</v>
      </c>
      <c r="W37" s="308"/>
    </row>
    <row r="38" spans="10:23">
      <c r="J38" s="312" t="s">
        <v>335</v>
      </c>
      <c r="M38" s="314" t="s">
        <v>1127</v>
      </c>
      <c r="N38" s="315" t="s">
        <v>53</v>
      </c>
      <c r="O38" s="314" t="s">
        <v>1229</v>
      </c>
      <c r="P38" s="314">
        <v>251</v>
      </c>
      <c r="Q38" s="314">
        <v>2</v>
      </c>
      <c r="R38" s="314" t="s">
        <v>1139</v>
      </c>
      <c r="S38" s="314">
        <v>6</v>
      </c>
      <c r="T38" s="314" t="str">
        <f t="shared" si="1"/>
        <v>NDZ251236</v>
      </c>
      <c r="U38" s="315" t="s">
        <v>1228</v>
      </c>
      <c r="V38" s="315" t="s">
        <v>1227</v>
      </c>
      <c r="W38" s="314" t="s">
        <v>1136</v>
      </c>
    </row>
    <row r="39" spans="10:23">
      <c r="J39" s="312" t="s">
        <v>1226</v>
      </c>
      <c r="M39" s="308" t="s">
        <v>1127</v>
      </c>
      <c r="N39" s="312" t="s">
        <v>60</v>
      </c>
      <c r="O39" s="308" t="s">
        <v>1220</v>
      </c>
      <c r="P39" s="308">
        <v>251</v>
      </c>
      <c r="Q39" s="308">
        <v>3</v>
      </c>
      <c r="R39" s="308" t="s">
        <v>1155</v>
      </c>
      <c r="S39" s="308">
        <v>1</v>
      </c>
      <c r="T39" s="308" t="str">
        <f t="shared" si="1"/>
        <v>NDZ251311</v>
      </c>
      <c r="U39" s="312" t="s">
        <v>1225</v>
      </c>
      <c r="V39" s="312" t="s">
        <v>688</v>
      </c>
      <c r="W39" s="308"/>
    </row>
    <row r="40" spans="10:23">
      <c r="J40" s="312" t="s">
        <v>324</v>
      </c>
      <c r="M40" s="308" t="s">
        <v>1127</v>
      </c>
      <c r="N40" s="312" t="s">
        <v>41</v>
      </c>
      <c r="O40" s="308" t="s">
        <v>1220</v>
      </c>
      <c r="P40" s="308">
        <v>251</v>
      </c>
      <c r="Q40" s="308">
        <v>3</v>
      </c>
      <c r="R40" s="308" t="s">
        <v>1155</v>
      </c>
      <c r="S40" s="308">
        <v>2</v>
      </c>
      <c r="T40" s="308" t="str">
        <f t="shared" si="1"/>
        <v>NDZ251312</v>
      </c>
      <c r="U40" s="312" t="s">
        <v>1224</v>
      </c>
      <c r="V40" s="312" t="s">
        <v>688</v>
      </c>
      <c r="W40" s="308"/>
    </row>
    <row r="41" spans="10:23">
      <c r="J41" s="312" t="s">
        <v>322</v>
      </c>
      <c r="M41" s="308" t="s">
        <v>1127</v>
      </c>
      <c r="N41" s="312" t="s">
        <v>58</v>
      </c>
      <c r="O41" s="308" t="s">
        <v>1220</v>
      </c>
      <c r="P41" s="308">
        <v>251</v>
      </c>
      <c r="Q41" s="308">
        <v>3</v>
      </c>
      <c r="R41" s="308" t="s">
        <v>1155</v>
      </c>
      <c r="S41" s="308">
        <v>3</v>
      </c>
      <c r="T41" s="308" t="str">
        <f t="shared" si="1"/>
        <v>NDZ251313</v>
      </c>
      <c r="U41" s="312" t="s">
        <v>1223</v>
      </c>
      <c r="V41" s="312" t="s">
        <v>688</v>
      </c>
      <c r="W41" s="308"/>
    </row>
    <row r="42" spans="10:23">
      <c r="J42" s="312" t="s">
        <v>318</v>
      </c>
      <c r="M42" s="314" t="s">
        <v>1127</v>
      </c>
      <c r="N42" s="315" t="s">
        <v>84</v>
      </c>
      <c r="O42" s="314" t="s">
        <v>1220</v>
      </c>
      <c r="P42" s="314">
        <v>251</v>
      </c>
      <c r="Q42" s="314">
        <v>3</v>
      </c>
      <c r="R42" s="314" t="s">
        <v>1155</v>
      </c>
      <c r="S42" s="314">
        <v>4</v>
      </c>
      <c r="T42" s="314" t="str">
        <f t="shared" si="1"/>
        <v>NDZ251314</v>
      </c>
      <c r="U42" s="315" t="s">
        <v>1222</v>
      </c>
      <c r="V42" s="315" t="s">
        <v>688</v>
      </c>
      <c r="W42" s="314" t="s">
        <v>1136</v>
      </c>
    </row>
    <row r="43" spans="10:23">
      <c r="J43" s="312" t="s">
        <v>296</v>
      </c>
      <c r="M43" s="308" t="s">
        <v>1127</v>
      </c>
      <c r="N43" s="312" t="s">
        <v>42</v>
      </c>
      <c r="O43" s="308" t="s">
        <v>1220</v>
      </c>
      <c r="P43" s="308">
        <v>251</v>
      </c>
      <c r="Q43" s="308">
        <v>3</v>
      </c>
      <c r="R43" s="308" t="s">
        <v>1155</v>
      </c>
      <c r="S43" s="308">
        <v>5</v>
      </c>
      <c r="T43" s="308" t="str">
        <f t="shared" si="1"/>
        <v>NDZ251315</v>
      </c>
      <c r="U43" s="312" t="s">
        <v>1221</v>
      </c>
      <c r="V43" s="312" t="s">
        <v>688</v>
      </c>
      <c r="W43" s="308"/>
    </row>
    <row r="44" spans="10:23">
      <c r="J44" s="312" t="s">
        <v>253</v>
      </c>
      <c r="M44" s="314" t="s">
        <v>1127</v>
      </c>
      <c r="N44" s="315" t="s">
        <v>53</v>
      </c>
      <c r="O44" s="314" t="s">
        <v>1220</v>
      </c>
      <c r="P44" s="314">
        <v>251</v>
      </c>
      <c r="Q44" s="314">
        <v>3</v>
      </c>
      <c r="R44" s="314" t="s">
        <v>1155</v>
      </c>
      <c r="S44" s="314">
        <v>6</v>
      </c>
      <c r="T44" s="314" t="str">
        <f t="shared" si="1"/>
        <v>NDZ251316</v>
      </c>
      <c r="U44" s="315" t="s">
        <v>1219</v>
      </c>
      <c r="V44" s="315" t="s">
        <v>688</v>
      </c>
      <c r="W44" s="314" t="s">
        <v>1136</v>
      </c>
    </row>
    <row r="45" spans="10:23">
      <c r="J45" s="312" t="s">
        <v>249</v>
      </c>
      <c r="M45" s="308" t="s">
        <v>1127</v>
      </c>
      <c r="N45" s="312" t="s">
        <v>60</v>
      </c>
      <c r="O45" s="308" t="s">
        <v>1213</v>
      </c>
      <c r="P45" s="308">
        <v>251</v>
      </c>
      <c r="Q45" s="308">
        <v>3</v>
      </c>
      <c r="R45" s="308" t="s">
        <v>1147</v>
      </c>
      <c r="S45" s="308">
        <v>1</v>
      </c>
      <c r="T45" s="308" t="str">
        <f t="shared" si="1"/>
        <v>NDZ251321</v>
      </c>
      <c r="U45" s="312" t="s">
        <v>1218</v>
      </c>
      <c r="V45" s="312" t="s">
        <v>577</v>
      </c>
      <c r="W45" s="308"/>
    </row>
    <row r="46" spans="10:23">
      <c r="J46" s="312" t="s">
        <v>248</v>
      </c>
      <c r="M46" s="308" t="s">
        <v>1127</v>
      </c>
      <c r="N46" s="312" t="s">
        <v>41</v>
      </c>
      <c r="O46" s="308" t="s">
        <v>1213</v>
      </c>
      <c r="P46" s="308">
        <v>251</v>
      </c>
      <c r="Q46" s="308">
        <v>3</v>
      </c>
      <c r="R46" s="308" t="s">
        <v>1147</v>
      </c>
      <c r="S46" s="308">
        <v>2</v>
      </c>
      <c r="T46" s="308" t="str">
        <f t="shared" si="1"/>
        <v>NDZ251322</v>
      </c>
      <c r="U46" s="312" t="s">
        <v>1217</v>
      </c>
      <c r="V46" s="312" t="s">
        <v>577</v>
      </c>
      <c r="W46" s="308"/>
    </row>
    <row r="47" spans="10:23">
      <c r="J47" s="312" t="s">
        <v>229</v>
      </c>
      <c r="M47" s="308" t="s">
        <v>1127</v>
      </c>
      <c r="N47" s="312" t="s">
        <v>58</v>
      </c>
      <c r="O47" s="308" t="s">
        <v>1213</v>
      </c>
      <c r="P47" s="308">
        <v>251</v>
      </c>
      <c r="Q47" s="308">
        <v>3</v>
      </c>
      <c r="R47" s="308" t="s">
        <v>1147</v>
      </c>
      <c r="S47" s="308">
        <v>3</v>
      </c>
      <c r="T47" s="308" t="str">
        <f t="shared" si="1"/>
        <v>NDZ251323</v>
      </c>
      <c r="U47" s="312" t="s">
        <v>1216</v>
      </c>
      <c r="V47" s="312" t="s">
        <v>577</v>
      </c>
      <c r="W47" s="308"/>
    </row>
    <row r="48" spans="10:23">
      <c r="J48" s="312" t="s">
        <v>208</v>
      </c>
      <c r="M48" s="314" t="s">
        <v>1127</v>
      </c>
      <c r="N48" s="315" t="s">
        <v>84</v>
      </c>
      <c r="O48" s="314" t="s">
        <v>1213</v>
      </c>
      <c r="P48" s="314">
        <v>251</v>
      </c>
      <c r="Q48" s="314">
        <v>3</v>
      </c>
      <c r="R48" s="314" t="s">
        <v>1147</v>
      </c>
      <c r="S48" s="314">
        <v>4</v>
      </c>
      <c r="T48" s="314" t="str">
        <f t="shared" si="1"/>
        <v>NDZ251324</v>
      </c>
      <c r="U48" s="315" t="s">
        <v>1215</v>
      </c>
      <c r="V48" s="315" t="s">
        <v>577</v>
      </c>
      <c r="W48" s="314" t="s">
        <v>1136</v>
      </c>
    </row>
    <row r="49" spans="10:23">
      <c r="J49" s="312" t="s">
        <v>191</v>
      </c>
      <c r="M49" s="308" t="s">
        <v>1127</v>
      </c>
      <c r="N49" s="312" t="s">
        <v>42</v>
      </c>
      <c r="O49" s="308" t="s">
        <v>1213</v>
      </c>
      <c r="P49" s="308">
        <v>251</v>
      </c>
      <c r="Q49" s="308">
        <v>3</v>
      </c>
      <c r="R49" s="308" t="s">
        <v>1147</v>
      </c>
      <c r="S49" s="308">
        <v>5</v>
      </c>
      <c r="T49" s="308" t="str">
        <f t="shared" si="1"/>
        <v>NDZ251325</v>
      </c>
      <c r="U49" s="312" t="s">
        <v>1214</v>
      </c>
      <c r="V49" s="312" t="s">
        <v>577</v>
      </c>
      <c r="W49" s="308"/>
    </row>
    <row r="50" spans="10:23">
      <c r="J50" s="312" t="s">
        <v>165</v>
      </c>
      <c r="M50" s="314" t="s">
        <v>1127</v>
      </c>
      <c r="N50" s="315" t="s">
        <v>53</v>
      </c>
      <c r="O50" s="314" t="s">
        <v>1213</v>
      </c>
      <c r="P50" s="314">
        <v>251</v>
      </c>
      <c r="Q50" s="314">
        <v>3</v>
      </c>
      <c r="R50" s="314" t="s">
        <v>1147</v>
      </c>
      <c r="S50" s="314">
        <v>6</v>
      </c>
      <c r="T50" s="314" t="str">
        <f t="shared" si="1"/>
        <v>NDZ251326</v>
      </c>
      <c r="U50" s="315" t="s">
        <v>1212</v>
      </c>
      <c r="V50" s="315" t="s">
        <v>577</v>
      </c>
      <c r="W50" s="314" t="s">
        <v>1136</v>
      </c>
    </row>
    <row r="51" spans="10:23">
      <c r="J51" s="312" t="s">
        <v>1211</v>
      </c>
      <c r="M51" s="308" t="s">
        <v>1127</v>
      </c>
      <c r="N51" s="312" t="s">
        <v>60</v>
      </c>
      <c r="O51" s="308" t="s">
        <v>1205</v>
      </c>
      <c r="P51" s="308">
        <v>251</v>
      </c>
      <c r="Q51" s="308">
        <v>3</v>
      </c>
      <c r="R51" s="308" t="s">
        <v>1139</v>
      </c>
      <c r="S51" s="308">
        <v>1</v>
      </c>
      <c r="T51" s="308" t="str">
        <f t="shared" si="1"/>
        <v>NDZ251331</v>
      </c>
      <c r="U51" s="312" t="s">
        <v>1210</v>
      </c>
      <c r="V51" s="312" t="s">
        <v>525</v>
      </c>
      <c r="W51" s="308"/>
    </row>
    <row r="52" spans="10:23">
      <c r="J52" s="312" t="s">
        <v>139</v>
      </c>
      <c r="M52" s="308" t="s">
        <v>1127</v>
      </c>
      <c r="N52" s="312" t="s">
        <v>41</v>
      </c>
      <c r="O52" s="308" t="s">
        <v>1205</v>
      </c>
      <c r="P52" s="308">
        <v>251</v>
      </c>
      <c r="Q52" s="308">
        <v>3</v>
      </c>
      <c r="R52" s="308" t="s">
        <v>1139</v>
      </c>
      <c r="S52" s="308">
        <v>2</v>
      </c>
      <c r="T52" s="308" t="str">
        <f t="shared" si="1"/>
        <v>NDZ251332</v>
      </c>
      <c r="U52" s="312" t="s">
        <v>1209</v>
      </c>
      <c r="V52" s="312" t="s">
        <v>525</v>
      </c>
      <c r="W52" s="308"/>
    </row>
    <row r="53" spans="10:23">
      <c r="J53" s="312" t="s">
        <v>131</v>
      </c>
      <c r="M53" s="308" t="s">
        <v>1127</v>
      </c>
      <c r="N53" s="312" t="s">
        <v>58</v>
      </c>
      <c r="O53" s="308" t="s">
        <v>1205</v>
      </c>
      <c r="P53" s="308">
        <v>251</v>
      </c>
      <c r="Q53" s="308">
        <v>3</v>
      </c>
      <c r="R53" s="308" t="s">
        <v>1139</v>
      </c>
      <c r="S53" s="308">
        <v>3</v>
      </c>
      <c r="T53" s="308" t="str">
        <f t="shared" si="1"/>
        <v>NDZ251333</v>
      </c>
      <c r="U53" s="312" t="s">
        <v>1208</v>
      </c>
      <c r="V53" s="312" t="s">
        <v>525</v>
      </c>
      <c r="W53" s="308"/>
    </row>
    <row r="54" spans="10:23">
      <c r="J54" s="308" t="s">
        <v>73</v>
      </c>
      <c r="M54" s="314" t="s">
        <v>1127</v>
      </c>
      <c r="N54" s="315" t="s">
        <v>84</v>
      </c>
      <c r="O54" s="314" t="s">
        <v>1205</v>
      </c>
      <c r="P54" s="314">
        <v>251</v>
      </c>
      <c r="Q54" s="314">
        <v>3</v>
      </c>
      <c r="R54" s="314" t="s">
        <v>1139</v>
      </c>
      <c r="S54" s="314">
        <v>4</v>
      </c>
      <c r="T54" s="314" t="str">
        <f t="shared" si="1"/>
        <v>NDZ251334</v>
      </c>
      <c r="U54" s="315" t="s">
        <v>1207</v>
      </c>
      <c r="V54" s="315" t="s">
        <v>525</v>
      </c>
      <c r="W54" s="314" t="s">
        <v>1136</v>
      </c>
    </row>
    <row r="55" spans="10:23">
      <c r="J55" s="308" t="s">
        <v>0</v>
      </c>
      <c r="M55" s="308" t="s">
        <v>1127</v>
      </c>
      <c r="N55" s="312" t="s">
        <v>42</v>
      </c>
      <c r="O55" s="308" t="s">
        <v>1205</v>
      </c>
      <c r="P55" s="308">
        <v>251</v>
      </c>
      <c r="Q55" s="308">
        <v>3</v>
      </c>
      <c r="R55" s="308" t="s">
        <v>1139</v>
      </c>
      <c r="S55" s="308">
        <v>5</v>
      </c>
      <c r="T55" s="308" t="str">
        <f t="shared" si="1"/>
        <v>NDZ251335</v>
      </c>
      <c r="U55" s="312" t="s">
        <v>1206</v>
      </c>
      <c r="V55" s="312" t="s">
        <v>525</v>
      </c>
      <c r="W55" s="308"/>
    </row>
    <row r="56" spans="10:23">
      <c r="M56" s="314" t="s">
        <v>1127</v>
      </c>
      <c r="N56" s="315" t="s">
        <v>53</v>
      </c>
      <c r="O56" s="314" t="s">
        <v>1205</v>
      </c>
      <c r="P56" s="314">
        <v>251</v>
      </c>
      <c r="Q56" s="314">
        <v>3</v>
      </c>
      <c r="R56" s="314" t="s">
        <v>1139</v>
      </c>
      <c r="S56" s="314">
        <v>6</v>
      </c>
      <c r="T56" s="314" t="str">
        <f t="shared" si="1"/>
        <v>NDZ251336</v>
      </c>
      <c r="U56" s="315" t="s">
        <v>1204</v>
      </c>
      <c r="V56" s="315" t="s">
        <v>525</v>
      </c>
      <c r="W56" s="314" t="s">
        <v>1136</v>
      </c>
    </row>
    <row r="57" spans="10:23">
      <c r="M57" s="308" t="s">
        <v>1127</v>
      </c>
      <c r="N57" s="312" t="s">
        <v>60</v>
      </c>
      <c r="O57" s="308" t="s">
        <v>1198</v>
      </c>
      <c r="P57" s="308">
        <v>251</v>
      </c>
      <c r="Q57" s="308">
        <v>4</v>
      </c>
      <c r="R57" s="308" t="s">
        <v>1155</v>
      </c>
      <c r="S57" s="308">
        <v>1</v>
      </c>
      <c r="T57" s="308" t="str">
        <f t="shared" si="1"/>
        <v>NDZ251411</v>
      </c>
      <c r="U57" s="312" t="s">
        <v>1203</v>
      </c>
      <c r="V57" s="312" t="s">
        <v>455</v>
      </c>
      <c r="W57" s="308"/>
    </row>
    <row r="58" spans="10:23">
      <c r="M58" s="308" t="s">
        <v>1127</v>
      </c>
      <c r="N58" s="312" t="s">
        <v>41</v>
      </c>
      <c r="O58" s="308" t="s">
        <v>1198</v>
      </c>
      <c r="P58" s="308">
        <v>251</v>
      </c>
      <c r="Q58" s="308">
        <v>4</v>
      </c>
      <c r="R58" s="308" t="s">
        <v>1155</v>
      </c>
      <c r="S58" s="308">
        <v>2</v>
      </c>
      <c r="T58" s="308" t="str">
        <f t="shared" si="1"/>
        <v>NDZ251412</v>
      </c>
      <c r="U58" s="312" t="s">
        <v>1202</v>
      </c>
      <c r="V58" s="312" t="s">
        <v>455</v>
      </c>
      <c r="W58" s="308"/>
    </row>
    <row r="59" spans="10:23">
      <c r="M59" s="308" t="s">
        <v>1127</v>
      </c>
      <c r="N59" s="312" t="s">
        <v>58</v>
      </c>
      <c r="O59" s="308" t="s">
        <v>1198</v>
      </c>
      <c r="P59" s="308">
        <v>251</v>
      </c>
      <c r="Q59" s="308">
        <v>4</v>
      </c>
      <c r="R59" s="308" t="s">
        <v>1155</v>
      </c>
      <c r="S59" s="308">
        <v>3</v>
      </c>
      <c r="T59" s="308" t="str">
        <f t="shared" si="1"/>
        <v>NDZ251413</v>
      </c>
      <c r="U59" s="312" t="s">
        <v>1201</v>
      </c>
      <c r="V59" s="312" t="s">
        <v>455</v>
      </c>
      <c r="W59" s="308"/>
    </row>
    <row r="60" spans="10:23">
      <c r="M60" s="314" t="s">
        <v>1127</v>
      </c>
      <c r="N60" s="315" t="s">
        <v>84</v>
      </c>
      <c r="O60" s="314" t="s">
        <v>1198</v>
      </c>
      <c r="P60" s="314">
        <v>251</v>
      </c>
      <c r="Q60" s="314">
        <v>4</v>
      </c>
      <c r="R60" s="314" t="s">
        <v>1155</v>
      </c>
      <c r="S60" s="314">
        <v>4</v>
      </c>
      <c r="T60" s="314" t="str">
        <f t="shared" si="1"/>
        <v>NDZ251414</v>
      </c>
      <c r="U60" s="315" t="s">
        <v>1200</v>
      </c>
      <c r="V60" s="315" t="s">
        <v>455</v>
      </c>
      <c r="W60" s="314" t="s">
        <v>1136</v>
      </c>
    </row>
    <row r="61" spans="10:23">
      <c r="M61" s="308" t="s">
        <v>1127</v>
      </c>
      <c r="N61" s="312" t="s">
        <v>42</v>
      </c>
      <c r="O61" s="308" t="s">
        <v>1198</v>
      </c>
      <c r="P61" s="308">
        <v>251</v>
      </c>
      <c r="Q61" s="308">
        <v>4</v>
      </c>
      <c r="R61" s="308" t="s">
        <v>1155</v>
      </c>
      <c r="S61" s="308">
        <v>5</v>
      </c>
      <c r="T61" s="308" t="str">
        <f t="shared" si="1"/>
        <v>NDZ251415</v>
      </c>
      <c r="U61" s="312" t="s">
        <v>1199</v>
      </c>
      <c r="V61" s="312" t="s">
        <v>455</v>
      </c>
      <c r="W61" s="308"/>
    </row>
    <row r="62" spans="10:23">
      <c r="M62" s="314" t="s">
        <v>1127</v>
      </c>
      <c r="N62" s="315" t="s">
        <v>53</v>
      </c>
      <c r="O62" s="314" t="s">
        <v>1198</v>
      </c>
      <c r="P62" s="314">
        <v>251</v>
      </c>
      <c r="Q62" s="314">
        <v>4</v>
      </c>
      <c r="R62" s="314" t="s">
        <v>1155</v>
      </c>
      <c r="S62" s="314">
        <v>6</v>
      </c>
      <c r="T62" s="314" t="str">
        <f t="shared" si="1"/>
        <v>NDZ251416</v>
      </c>
      <c r="U62" s="315" t="s">
        <v>1197</v>
      </c>
      <c r="V62" s="315" t="s">
        <v>455</v>
      </c>
      <c r="W62" s="314" t="s">
        <v>1136</v>
      </c>
    </row>
    <row r="63" spans="10:23">
      <c r="M63" s="308" t="s">
        <v>1127</v>
      </c>
      <c r="N63" s="312" t="s">
        <v>60</v>
      </c>
      <c r="O63" s="308" t="s">
        <v>1191</v>
      </c>
      <c r="P63" s="308">
        <v>251</v>
      </c>
      <c r="Q63" s="308">
        <v>4</v>
      </c>
      <c r="R63" s="308" t="s">
        <v>1147</v>
      </c>
      <c r="S63" s="308">
        <v>1</v>
      </c>
      <c r="T63" s="308" t="str">
        <f t="shared" si="1"/>
        <v>NDZ251421</v>
      </c>
      <c r="U63" s="312" t="s">
        <v>1196</v>
      </c>
      <c r="V63" s="312" t="s">
        <v>402</v>
      </c>
      <c r="W63" s="308"/>
    </row>
    <row r="64" spans="10:23">
      <c r="M64" s="308" t="s">
        <v>1127</v>
      </c>
      <c r="N64" s="312" t="s">
        <v>41</v>
      </c>
      <c r="O64" s="308" t="s">
        <v>1191</v>
      </c>
      <c r="P64" s="308">
        <v>251</v>
      </c>
      <c r="Q64" s="308">
        <v>4</v>
      </c>
      <c r="R64" s="308" t="s">
        <v>1147</v>
      </c>
      <c r="S64" s="308">
        <v>2</v>
      </c>
      <c r="T64" s="308" t="str">
        <f t="shared" si="1"/>
        <v>NDZ251422</v>
      </c>
      <c r="U64" s="312" t="s">
        <v>1195</v>
      </c>
      <c r="V64" s="312" t="s">
        <v>402</v>
      </c>
      <c r="W64" s="308"/>
    </row>
    <row r="65" spans="13:23">
      <c r="M65" s="308" t="s">
        <v>1127</v>
      </c>
      <c r="N65" s="312" t="s">
        <v>58</v>
      </c>
      <c r="O65" s="308" t="s">
        <v>1191</v>
      </c>
      <c r="P65" s="308">
        <v>251</v>
      </c>
      <c r="Q65" s="308">
        <v>4</v>
      </c>
      <c r="R65" s="308" t="s">
        <v>1147</v>
      </c>
      <c r="S65" s="308">
        <v>3</v>
      </c>
      <c r="T65" s="308" t="str">
        <f t="shared" si="1"/>
        <v>NDZ251423</v>
      </c>
      <c r="U65" s="312" t="s">
        <v>1194</v>
      </c>
      <c r="V65" s="312" t="s">
        <v>402</v>
      </c>
      <c r="W65" s="308"/>
    </row>
    <row r="66" spans="13:23">
      <c r="M66" s="314" t="s">
        <v>1127</v>
      </c>
      <c r="N66" s="315" t="s">
        <v>84</v>
      </c>
      <c r="O66" s="314" t="s">
        <v>1191</v>
      </c>
      <c r="P66" s="314">
        <v>251</v>
      </c>
      <c r="Q66" s="314">
        <v>4</v>
      </c>
      <c r="R66" s="314" t="s">
        <v>1147</v>
      </c>
      <c r="S66" s="314">
        <v>4</v>
      </c>
      <c r="T66" s="314" t="str">
        <f t="shared" si="1"/>
        <v>NDZ251424</v>
      </c>
      <c r="U66" s="315" t="s">
        <v>1193</v>
      </c>
      <c r="V66" s="315" t="s">
        <v>402</v>
      </c>
      <c r="W66" s="314" t="s">
        <v>1136</v>
      </c>
    </row>
    <row r="67" spans="13:23">
      <c r="M67" s="308" t="s">
        <v>1127</v>
      </c>
      <c r="N67" s="312" t="s">
        <v>42</v>
      </c>
      <c r="O67" s="308" t="s">
        <v>1191</v>
      </c>
      <c r="P67" s="308">
        <v>251</v>
      </c>
      <c r="Q67" s="308">
        <v>4</v>
      </c>
      <c r="R67" s="308" t="s">
        <v>1147</v>
      </c>
      <c r="S67" s="308">
        <v>5</v>
      </c>
      <c r="T67" s="308" t="str">
        <f t="shared" ref="T67:T98" si="2">"NDZ251"&amp;Q67&amp;R67&amp;S67</f>
        <v>NDZ251425</v>
      </c>
      <c r="U67" s="312" t="s">
        <v>1192</v>
      </c>
      <c r="V67" s="312" t="s">
        <v>402</v>
      </c>
      <c r="W67" s="308"/>
    </row>
    <row r="68" spans="13:23">
      <c r="M68" s="314" t="s">
        <v>1127</v>
      </c>
      <c r="N68" s="315" t="s">
        <v>53</v>
      </c>
      <c r="O68" s="314" t="s">
        <v>1191</v>
      </c>
      <c r="P68" s="314">
        <v>251</v>
      </c>
      <c r="Q68" s="314">
        <v>4</v>
      </c>
      <c r="R68" s="314" t="s">
        <v>1147</v>
      </c>
      <c r="S68" s="314">
        <v>6</v>
      </c>
      <c r="T68" s="314" t="str">
        <f t="shared" si="2"/>
        <v>NDZ251426</v>
      </c>
      <c r="U68" s="315" t="s">
        <v>1190</v>
      </c>
      <c r="V68" s="315" t="s">
        <v>402</v>
      </c>
      <c r="W68" s="314" t="s">
        <v>1136</v>
      </c>
    </row>
    <row r="69" spans="13:23">
      <c r="M69" s="308" t="s">
        <v>1127</v>
      </c>
      <c r="N69" s="312" t="s">
        <v>60</v>
      </c>
      <c r="O69" s="308" t="s">
        <v>1184</v>
      </c>
      <c r="P69" s="308">
        <v>251</v>
      </c>
      <c r="Q69" s="308">
        <v>4</v>
      </c>
      <c r="R69" s="308" t="s">
        <v>1139</v>
      </c>
      <c r="S69" s="308">
        <v>1</v>
      </c>
      <c r="T69" s="308" t="str">
        <f t="shared" si="2"/>
        <v>NDZ251431</v>
      </c>
      <c r="U69" s="312" t="s">
        <v>1189</v>
      </c>
      <c r="V69" s="312" t="s">
        <v>336</v>
      </c>
      <c r="W69" s="308"/>
    </row>
    <row r="70" spans="13:23">
      <c r="M70" s="308" t="s">
        <v>1127</v>
      </c>
      <c r="N70" s="312" t="s">
        <v>41</v>
      </c>
      <c r="O70" s="308" t="s">
        <v>1184</v>
      </c>
      <c r="P70" s="308">
        <v>251</v>
      </c>
      <c r="Q70" s="308">
        <v>4</v>
      </c>
      <c r="R70" s="308" t="s">
        <v>1139</v>
      </c>
      <c r="S70" s="308">
        <v>2</v>
      </c>
      <c r="T70" s="308" t="str">
        <f t="shared" si="2"/>
        <v>NDZ251432</v>
      </c>
      <c r="U70" s="312" t="s">
        <v>1188</v>
      </c>
      <c r="V70" s="312" t="s">
        <v>336</v>
      </c>
      <c r="W70" s="308"/>
    </row>
    <row r="71" spans="13:23">
      <c r="M71" s="308" t="s">
        <v>1127</v>
      </c>
      <c r="N71" s="312" t="s">
        <v>58</v>
      </c>
      <c r="O71" s="308" t="s">
        <v>1184</v>
      </c>
      <c r="P71" s="308">
        <v>251</v>
      </c>
      <c r="Q71" s="308">
        <v>4</v>
      </c>
      <c r="R71" s="308" t="s">
        <v>1139</v>
      </c>
      <c r="S71" s="308">
        <v>3</v>
      </c>
      <c r="T71" s="308" t="str">
        <f t="shared" si="2"/>
        <v>NDZ251433</v>
      </c>
      <c r="U71" s="312" t="s">
        <v>1187</v>
      </c>
      <c r="V71" s="312" t="s">
        <v>336</v>
      </c>
      <c r="W71" s="308"/>
    </row>
    <row r="72" spans="13:23">
      <c r="M72" s="314" t="s">
        <v>1127</v>
      </c>
      <c r="N72" s="315" t="s">
        <v>84</v>
      </c>
      <c r="O72" s="314" t="s">
        <v>1184</v>
      </c>
      <c r="P72" s="314">
        <v>251</v>
      </c>
      <c r="Q72" s="314">
        <v>4</v>
      </c>
      <c r="R72" s="314" t="s">
        <v>1139</v>
      </c>
      <c r="S72" s="314">
        <v>4</v>
      </c>
      <c r="T72" s="314" t="str">
        <f t="shared" si="2"/>
        <v>NDZ251434</v>
      </c>
      <c r="U72" s="315" t="s">
        <v>1186</v>
      </c>
      <c r="V72" s="315" t="s">
        <v>336</v>
      </c>
      <c r="W72" s="314" t="s">
        <v>1136</v>
      </c>
    </row>
    <row r="73" spans="13:23">
      <c r="M73" s="308" t="s">
        <v>1127</v>
      </c>
      <c r="N73" s="312" t="s">
        <v>42</v>
      </c>
      <c r="O73" s="308" t="s">
        <v>1184</v>
      </c>
      <c r="P73" s="308">
        <v>251</v>
      </c>
      <c r="Q73" s="308">
        <v>4</v>
      </c>
      <c r="R73" s="308" t="s">
        <v>1139</v>
      </c>
      <c r="S73" s="308">
        <v>5</v>
      </c>
      <c r="T73" s="308" t="str">
        <f t="shared" si="2"/>
        <v>NDZ251435</v>
      </c>
      <c r="U73" s="312" t="s">
        <v>1185</v>
      </c>
      <c r="V73" s="312" t="s">
        <v>336</v>
      </c>
      <c r="W73" s="308"/>
    </row>
    <row r="74" spans="13:23">
      <c r="M74" s="314" t="s">
        <v>1127</v>
      </c>
      <c r="N74" s="315" t="s">
        <v>53</v>
      </c>
      <c r="O74" s="314" t="s">
        <v>1184</v>
      </c>
      <c r="P74" s="314">
        <v>251</v>
      </c>
      <c r="Q74" s="314">
        <v>4</v>
      </c>
      <c r="R74" s="314" t="s">
        <v>1139</v>
      </c>
      <c r="S74" s="314">
        <v>6</v>
      </c>
      <c r="T74" s="314" t="str">
        <f t="shared" si="2"/>
        <v>NDZ251436</v>
      </c>
      <c r="U74" s="315" t="s">
        <v>1183</v>
      </c>
      <c r="V74" s="315" t="s">
        <v>336</v>
      </c>
      <c r="W74" s="314" t="s">
        <v>1136</v>
      </c>
    </row>
    <row r="75" spans="13:23">
      <c r="M75" s="308" t="s">
        <v>1127</v>
      </c>
      <c r="N75" s="312" t="s">
        <v>60</v>
      </c>
      <c r="O75" s="308" t="s">
        <v>1177</v>
      </c>
      <c r="P75" s="308">
        <v>251</v>
      </c>
      <c r="Q75" s="308">
        <v>5</v>
      </c>
      <c r="R75" s="308" t="s">
        <v>1155</v>
      </c>
      <c r="S75" s="308">
        <v>1</v>
      </c>
      <c r="T75" s="308" t="str">
        <f t="shared" si="2"/>
        <v>NDZ251511</v>
      </c>
      <c r="U75" s="312" t="s">
        <v>1182</v>
      </c>
      <c r="V75" s="312" t="s">
        <v>325</v>
      </c>
      <c r="W75" s="308"/>
    </row>
    <row r="76" spans="13:23">
      <c r="M76" s="308" t="s">
        <v>1127</v>
      </c>
      <c r="N76" s="312" t="s">
        <v>41</v>
      </c>
      <c r="O76" s="308" t="s">
        <v>1177</v>
      </c>
      <c r="P76" s="308">
        <v>251</v>
      </c>
      <c r="Q76" s="308">
        <v>5</v>
      </c>
      <c r="R76" s="308" t="s">
        <v>1155</v>
      </c>
      <c r="S76" s="308">
        <v>2</v>
      </c>
      <c r="T76" s="308" t="str">
        <f t="shared" si="2"/>
        <v>NDZ251512</v>
      </c>
      <c r="U76" s="312" t="s">
        <v>1181</v>
      </c>
      <c r="V76" s="312" t="s">
        <v>325</v>
      </c>
      <c r="W76" s="308"/>
    </row>
    <row r="77" spans="13:23">
      <c r="M77" s="308" t="s">
        <v>1127</v>
      </c>
      <c r="N77" s="312" t="s">
        <v>58</v>
      </c>
      <c r="O77" s="308" t="s">
        <v>1177</v>
      </c>
      <c r="P77" s="308">
        <v>251</v>
      </c>
      <c r="Q77" s="308">
        <v>5</v>
      </c>
      <c r="R77" s="308" t="s">
        <v>1155</v>
      </c>
      <c r="S77" s="308">
        <v>3</v>
      </c>
      <c r="T77" s="308" t="str">
        <f t="shared" si="2"/>
        <v>NDZ251513</v>
      </c>
      <c r="U77" s="312" t="s">
        <v>1180</v>
      </c>
      <c r="V77" s="312" t="s">
        <v>325</v>
      </c>
      <c r="W77" s="308"/>
    </row>
    <row r="78" spans="13:23">
      <c r="M78" s="314" t="s">
        <v>1127</v>
      </c>
      <c r="N78" s="315" t="s">
        <v>84</v>
      </c>
      <c r="O78" s="314" t="s">
        <v>1177</v>
      </c>
      <c r="P78" s="314">
        <v>251</v>
      </c>
      <c r="Q78" s="314">
        <v>5</v>
      </c>
      <c r="R78" s="314" t="s">
        <v>1155</v>
      </c>
      <c r="S78" s="314">
        <v>4</v>
      </c>
      <c r="T78" s="314" t="str">
        <f t="shared" si="2"/>
        <v>NDZ251514</v>
      </c>
      <c r="U78" s="315" t="s">
        <v>1179</v>
      </c>
      <c r="V78" s="315" t="s">
        <v>325</v>
      </c>
      <c r="W78" s="314" t="s">
        <v>1136</v>
      </c>
    </row>
    <row r="79" spans="13:23">
      <c r="M79" s="308" t="s">
        <v>1127</v>
      </c>
      <c r="N79" s="312" t="s">
        <v>42</v>
      </c>
      <c r="O79" s="308" t="s">
        <v>1177</v>
      </c>
      <c r="P79" s="308">
        <v>251</v>
      </c>
      <c r="Q79" s="308">
        <v>5</v>
      </c>
      <c r="R79" s="308" t="s">
        <v>1155</v>
      </c>
      <c r="S79" s="308">
        <v>5</v>
      </c>
      <c r="T79" s="308" t="str">
        <f t="shared" si="2"/>
        <v>NDZ251515</v>
      </c>
      <c r="U79" s="312" t="s">
        <v>1178</v>
      </c>
      <c r="V79" s="312" t="s">
        <v>325</v>
      </c>
      <c r="W79" s="308"/>
    </row>
    <row r="80" spans="13:23">
      <c r="M80" s="314" t="s">
        <v>1127</v>
      </c>
      <c r="N80" s="315" t="s">
        <v>53</v>
      </c>
      <c r="O80" s="314" t="s">
        <v>1177</v>
      </c>
      <c r="P80" s="314">
        <v>251</v>
      </c>
      <c r="Q80" s="314">
        <v>5</v>
      </c>
      <c r="R80" s="314" t="s">
        <v>1155</v>
      </c>
      <c r="S80" s="314">
        <v>6</v>
      </c>
      <c r="T80" s="314" t="str">
        <f t="shared" si="2"/>
        <v>NDZ251516</v>
      </c>
      <c r="U80" s="315" t="s">
        <v>1176</v>
      </c>
      <c r="V80" s="315" t="s">
        <v>325</v>
      </c>
      <c r="W80" s="314" t="s">
        <v>1136</v>
      </c>
    </row>
    <row r="81" spans="13:23">
      <c r="M81" s="308" t="s">
        <v>1127</v>
      </c>
      <c r="N81" s="312" t="s">
        <v>60</v>
      </c>
      <c r="O81" s="308" t="s">
        <v>1170</v>
      </c>
      <c r="P81" s="308">
        <v>251</v>
      </c>
      <c r="Q81" s="308">
        <v>5</v>
      </c>
      <c r="R81" s="308" t="s">
        <v>1147</v>
      </c>
      <c r="S81" s="308">
        <v>1</v>
      </c>
      <c r="T81" s="308" t="str">
        <f t="shared" si="2"/>
        <v>NDZ251521</v>
      </c>
      <c r="U81" s="312" t="s">
        <v>1175</v>
      </c>
      <c r="V81" s="312" t="s">
        <v>301</v>
      </c>
      <c r="W81" s="308"/>
    </row>
    <row r="82" spans="13:23">
      <c r="M82" s="308" t="s">
        <v>1127</v>
      </c>
      <c r="N82" s="312" t="s">
        <v>41</v>
      </c>
      <c r="O82" s="308" t="s">
        <v>1170</v>
      </c>
      <c r="P82" s="308">
        <v>251</v>
      </c>
      <c r="Q82" s="308">
        <v>5</v>
      </c>
      <c r="R82" s="308" t="s">
        <v>1147</v>
      </c>
      <c r="S82" s="308">
        <v>2</v>
      </c>
      <c r="T82" s="308" t="str">
        <f t="shared" si="2"/>
        <v>NDZ251522</v>
      </c>
      <c r="U82" s="312" t="s">
        <v>1174</v>
      </c>
      <c r="V82" s="312" t="s">
        <v>301</v>
      </c>
      <c r="W82" s="308"/>
    </row>
    <row r="83" spans="13:23">
      <c r="M83" s="308" t="s">
        <v>1127</v>
      </c>
      <c r="N83" s="312" t="s">
        <v>58</v>
      </c>
      <c r="O83" s="308" t="s">
        <v>1170</v>
      </c>
      <c r="P83" s="308">
        <v>251</v>
      </c>
      <c r="Q83" s="308">
        <v>5</v>
      </c>
      <c r="R83" s="308" t="s">
        <v>1147</v>
      </c>
      <c r="S83" s="308">
        <v>3</v>
      </c>
      <c r="T83" s="308" t="str">
        <f t="shared" si="2"/>
        <v>NDZ251523</v>
      </c>
      <c r="U83" s="312" t="s">
        <v>1173</v>
      </c>
      <c r="V83" s="312" t="s">
        <v>301</v>
      </c>
      <c r="W83" s="308"/>
    </row>
    <row r="84" spans="13:23">
      <c r="M84" s="314" t="s">
        <v>1127</v>
      </c>
      <c r="N84" s="315" t="s">
        <v>84</v>
      </c>
      <c r="O84" s="314" t="s">
        <v>1170</v>
      </c>
      <c r="P84" s="314">
        <v>251</v>
      </c>
      <c r="Q84" s="314">
        <v>5</v>
      </c>
      <c r="R84" s="314" t="s">
        <v>1147</v>
      </c>
      <c r="S84" s="314">
        <v>4</v>
      </c>
      <c r="T84" s="314" t="str">
        <f t="shared" si="2"/>
        <v>NDZ251524</v>
      </c>
      <c r="U84" s="315" t="s">
        <v>1172</v>
      </c>
      <c r="V84" s="315" t="s">
        <v>301</v>
      </c>
      <c r="W84" s="314" t="s">
        <v>1136</v>
      </c>
    </row>
    <row r="85" spans="13:23">
      <c r="M85" s="308" t="s">
        <v>1127</v>
      </c>
      <c r="N85" s="312" t="s">
        <v>42</v>
      </c>
      <c r="O85" s="308" t="s">
        <v>1170</v>
      </c>
      <c r="P85" s="308">
        <v>251</v>
      </c>
      <c r="Q85" s="308">
        <v>5</v>
      </c>
      <c r="R85" s="308" t="s">
        <v>1147</v>
      </c>
      <c r="S85" s="308">
        <v>5</v>
      </c>
      <c r="T85" s="308" t="str">
        <f t="shared" si="2"/>
        <v>NDZ251525</v>
      </c>
      <c r="U85" s="312" t="s">
        <v>1171</v>
      </c>
      <c r="V85" s="312" t="s">
        <v>301</v>
      </c>
      <c r="W85" s="308"/>
    </row>
    <row r="86" spans="13:23">
      <c r="M86" s="314" t="s">
        <v>1127</v>
      </c>
      <c r="N86" s="315" t="s">
        <v>53</v>
      </c>
      <c r="O86" s="314" t="s">
        <v>1170</v>
      </c>
      <c r="P86" s="314">
        <v>251</v>
      </c>
      <c r="Q86" s="314">
        <v>5</v>
      </c>
      <c r="R86" s="314" t="s">
        <v>1147</v>
      </c>
      <c r="S86" s="314">
        <v>6</v>
      </c>
      <c r="T86" s="314" t="str">
        <f t="shared" si="2"/>
        <v>NDZ251526</v>
      </c>
      <c r="U86" s="315" t="s">
        <v>1169</v>
      </c>
      <c r="V86" s="315" t="s">
        <v>301</v>
      </c>
      <c r="W86" s="314" t="s">
        <v>1136</v>
      </c>
    </row>
    <row r="87" spans="13:23">
      <c r="M87" s="308" t="s">
        <v>1127</v>
      </c>
      <c r="N87" s="312" t="s">
        <v>60</v>
      </c>
      <c r="O87" s="308" t="s">
        <v>1163</v>
      </c>
      <c r="P87" s="308">
        <v>251</v>
      </c>
      <c r="Q87" s="308">
        <v>5</v>
      </c>
      <c r="R87" s="308" t="s">
        <v>1139</v>
      </c>
      <c r="S87" s="308">
        <v>1</v>
      </c>
      <c r="T87" s="308" t="str">
        <f t="shared" si="2"/>
        <v>NDZ251531</v>
      </c>
      <c r="U87" s="312" t="s">
        <v>1168</v>
      </c>
      <c r="V87" s="312" t="s">
        <v>254</v>
      </c>
      <c r="W87" s="308"/>
    </row>
    <row r="88" spans="13:23">
      <c r="M88" s="308" t="s">
        <v>1127</v>
      </c>
      <c r="N88" s="312" t="s">
        <v>41</v>
      </c>
      <c r="O88" s="308" t="s">
        <v>1163</v>
      </c>
      <c r="P88" s="308">
        <v>251</v>
      </c>
      <c r="Q88" s="308">
        <v>5</v>
      </c>
      <c r="R88" s="308" t="s">
        <v>1139</v>
      </c>
      <c r="S88" s="308">
        <v>2</v>
      </c>
      <c r="T88" s="308" t="str">
        <f t="shared" si="2"/>
        <v>NDZ251532</v>
      </c>
      <c r="U88" s="312" t="s">
        <v>1167</v>
      </c>
      <c r="V88" s="312" t="s">
        <v>254</v>
      </c>
      <c r="W88" s="308"/>
    </row>
    <row r="89" spans="13:23">
      <c r="M89" s="308" t="s">
        <v>1127</v>
      </c>
      <c r="N89" s="312" t="s">
        <v>58</v>
      </c>
      <c r="O89" s="308" t="s">
        <v>1163</v>
      </c>
      <c r="P89" s="308">
        <v>251</v>
      </c>
      <c r="Q89" s="308">
        <v>5</v>
      </c>
      <c r="R89" s="308" t="s">
        <v>1139</v>
      </c>
      <c r="S89" s="308">
        <v>3</v>
      </c>
      <c r="T89" s="308" t="str">
        <f t="shared" si="2"/>
        <v>NDZ251533</v>
      </c>
      <c r="U89" s="312" t="s">
        <v>1166</v>
      </c>
      <c r="V89" s="312" t="s">
        <v>254</v>
      </c>
      <c r="W89" s="308"/>
    </row>
    <row r="90" spans="13:23">
      <c r="M90" s="314" t="s">
        <v>1127</v>
      </c>
      <c r="N90" s="315" t="s">
        <v>84</v>
      </c>
      <c r="O90" s="314" t="s">
        <v>1163</v>
      </c>
      <c r="P90" s="314">
        <v>251</v>
      </c>
      <c r="Q90" s="314">
        <v>5</v>
      </c>
      <c r="R90" s="314" t="s">
        <v>1139</v>
      </c>
      <c r="S90" s="314">
        <v>4</v>
      </c>
      <c r="T90" s="314" t="str">
        <f t="shared" si="2"/>
        <v>NDZ251534</v>
      </c>
      <c r="U90" s="315" t="s">
        <v>1165</v>
      </c>
      <c r="V90" s="315" t="s">
        <v>254</v>
      </c>
      <c r="W90" s="314" t="s">
        <v>1136</v>
      </c>
    </row>
    <row r="91" spans="13:23">
      <c r="M91" s="308" t="s">
        <v>1127</v>
      </c>
      <c r="N91" s="312" t="s">
        <v>42</v>
      </c>
      <c r="O91" s="308" t="s">
        <v>1163</v>
      </c>
      <c r="P91" s="308">
        <v>251</v>
      </c>
      <c r="Q91" s="308">
        <v>5</v>
      </c>
      <c r="R91" s="308" t="s">
        <v>1139</v>
      </c>
      <c r="S91" s="308">
        <v>5</v>
      </c>
      <c r="T91" s="308" t="str">
        <f t="shared" si="2"/>
        <v>NDZ251535</v>
      </c>
      <c r="U91" s="312" t="s">
        <v>1164</v>
      </c>
      <c r="V91" s="312" t="s">
        <v>254</v>
      </c>
      <c r="W91" s="308"/>
    </row>
    <row r="92" spans="13:23">
      <c r="M92" s="314" t="s">
        <v>1127</v>
      </c>
      <c r="N92" s="315" t="s">
        <v>53</v>
      </c>
      <c r="O92" s="314" t="s">
        <v>1163</v>
      </c>
      <c r="P92" s="314">
        <v>251</v>
      </c>
      <c r="Q92" s="314">
        <v>5</v>
      </c>
      <c r="R92" s="314" t="s">
        <v>1139</v>
      </c>
      <c r="S92" s="314">
        <v>6</v>
      </c>
      <c r="T92" s="314" t="str">
        <f t="shared" si="2"/>
        <v>NDZ251536</v>
      </c>
      <c r="U92" s="315" t="s">
        <v>1162</v>
      </c>
      <c r="V92" s="315" t="s">
        <v>254</v>
      </c>
      <c r="W92" s="314" t="s">
        <v>1136</v>
      </c>
    </row>
    <row r="93" spans="13:23">
      <c r="M93" s="308" t="s">
        <v>1127</v>
      </c>
      <c r="N93" s="312" t="s">
        <v>60</v>
      </c>
      <c r="O93" s="308" t="s">
        <v>1156</v>
      </c>
      <c r="P93" s="308">
        <v>251</v>
      </c>
      <c r="Q93" s="308">
        <v>6</v>
      </c>
      <c r="R93" s="308" t="s">
        <v>1155</v>
      </c>
      <c r="S93" s="308">
        <v>1</v>
      </c>
      <c r="T93" s="308" t="str">
        <f t="shared" si="2"/>
        <v>NDZ251611</v>
      </c>
      <c r="U93" s="312" t="s">
        <v>1161</v>
      </c>
      <c r="V93" s="312" t="s">
        <v>230</v>
      </c>
      <c r="W93" s="308"/>
    </row>
    <row r="94" spans="13:23">
      <c r="M94" s="308" t="s">
        <v>1127</v>
      </c>
      <c r="N94" s="312" t="s">
        <v>41</v>
      </c>
      <c r="O94" s="308" t="s">
        <v>1156</v>
      </c>
      <c r="P94" s="308">
        <v>251</v>
      </c>
      <c r="Q94" s="308">
        <v>6</v>
      </c>
      <c r="R94" s="308" t="s">
        <v>1155</v>
      </c>
      <c r="S94" s="308">
        <v>2</v>
      </c>
      <c r="T94" s="308" t="str">
        <f t="shared" si="2"/>
        <v>NDZ251612</v>
      </c>
      <c r="U94" s="312" t="s">
        <v>1160</v>
      </c>
      <c r="V94" s="312" t="s">
        <v>230</v>
      </c>
      <c r="W94" s="308"/>
    </row>
    <row r="95" spans="13:23">
      <c r="M95" s="308" t="s">
        <v>1127</v>
      </c>
      <c r="N95" s="312" t="s">
        <v>58</v>
      </c>
      <c r="O95" s="308" t="s">
        <v>1156</v>
      </c>
      <c r="P95" s="308">
        <v>251</v>
      </c>
      <c r="Q95" s="308">
        <v>6</v>
      </c>
      <c r="R95" s="308" t="s">
        <v>1155</v>
      </c>
      <c r="S95" s="308">
        <v>3</v>
      </c>
      <c r="T95" s="308" t="str">
        <f t="shared" si="2"/>
        <v>NDZ251613</v>
      </c>
      <c r="U95" s="312" t="s">
        <v>1159</v>
      </c>
      <c r="V95" s="312" t="s">
        <v>230</v>
      </c>
      <c r="W95" s="308"/>
    </row>
    <row r="96" spans="13:23">
      <c r="M96" s="314" t="s">
        <v>1127</v>
      </c>
      <c r="N96" s="315" t="s">
        <v>84</v>
      </c>
      <c r="O96" s="314" t="s">
        <v>1156</v>
      </c>
      <c r="P96" s="314">
        <v>251</v>
      </c>
      <c r="Q96" s="314">
        <v>6</v>
      </c>
      <c r="R96" s="314" t="s">
        <v>1155</v>
      </c>
      <c r="S96" s="314">
        <v>4</v>
      </c>
      <c r="T96" s="314" t="str">
        <f t="shared" si="2"/>
        <v>NDZ251614</v>
      </c>
      <c r="U96" s="315" t="s">
        <v>1158</v>
      </c>
      <c r="V96" s="315" t="s">
        <v>230</v>
      </c>
      <c r="W96" s="314" t="s">
        <v>1136</v>
      </c>
    </row>
    <row r="97" spans="13:23">
      <c r="M97" s="308" t="s">
        <v>1127</v>
      </c>
      <c r="N97" s="312" t="s">
        <v>42</v>
      </c>
      <c r="O97" s="308" t="s">
        <v>1156</v>
      </c>
      <c r="P97" s="308">
        <v>251</v>
      </c>
      <c r="Q97" s="308">
        <v>6</v>
      </c>
      <c r="R97" s="308" t="s">
        <v>1155</v>
      </c>
      <c r="S97" s="308">
        <v>5</v>
      </c>
      <c r="T97" s="308" t="str">
        <f t="shared" si="2"/>
        <v>NDZ251615</v>
      </c>
      <c r="U97" s="312" t="s">
        <v>1157</v>
      </c>
      <c r="V97" s="312" t="s">
        <v>230</v>
      </c>
      <c r="W97" s="308"/>
    </row>
    <row r="98" spans="13:23">
      <c r="M98" s="314" t="s">
        <v>1127</v>
      </c>
      <c r="N98" s="315" t="s">
        <v>53</v>
      </c>
      <c r="O98" s="314" t="s">
        <v>1156</v>
      </c>
      <c r="P98" s="314">
        <v>251</v>
      </c>
      <c r="Q98" s="314">
        <v>6</v>
      </c>
      <c r="R98" s="314" t="s">
        <v>1155</v>
      </c>
      <c r="S98" s="314">
        <v>6</v>
      </c>
      <c r="T98" s="314" t="str">
        <f t="shared" si="2"/>
        <v>NDZ251616</v>
      </c>
      <c r="U98" s="315" t="s">
        <v>1154</v>
      </c>
      <c r="V98" s="315" t="s">
        <v>230</v>
      </c>
      <c r="W98" s="314" t="s">
        <v>1136</v>
      </c>
    </row>
    <row r="99" spans="13:23">
      <c r="M99" s="308" t="s">
        <v>1127</v>
      </c>
      <c r="N99" s="312" t="s">
        <v>60</v>
      </c>
      <c r="O99" s="308" t="s">
        <v>1148</v>
      </c>
      <c r="P99" s="308">
        <v>251</v>
      </c>
      <c r="Q99" s="308">
        <v>6</v>
      </c>
      <c r="R99" s="308" t="s">
        <v>1147</v>
      </c>
      <c r="S99" s="308">
        <v>1</v>
      </c>
      <c r="T99" s="308" t="str">
        <f t="shared" ref="T99:T110" si="3">"NDZ251"&amp;Q99&amp;R99&amp;S99</f>
        <v>NDZ251621</v>
      </c>
      <c r="U99" s="312" t="s">
        <v>1153</v>
      </c>
      <c r="V99" s="312" t="s">
        <v>166</v>
      </c>
      <c r="W99" s="308"/>
    </row>
    <row r="100" spans="13:23">
      <c r="M100" s="308" t="s">
        <v>1127</v>
      </c>
      <c r="N100" s="312" t="s">
        <v>41</v>
      </c>
      <c r="O100" s="308" t="s">
        <v>1148</v>
      </c>
      <c r="P100" s="308">
        <v>251</v>
      </c>
      <c r="Q100" s="308">
        <v>6</v>
      </c>
      <c r="R100" s="308" t="s">
        <v>1147</v>
      </c>
      <c r="S100" s="308">
        <v>2</v>
      </c>
      <c r="T100" s="308" t="str">
        <f t="shared" si="3"/>
        <v>NDZ251622</v>
      </c>
      <c r="U100" s="312" t="s">
        <v>1152</v>
      </c>
      <c r="V100" s="312" t="s">
        <v>166</v>
      </c>
      <c r="W100" s="308"/>
    </row>
    <row r="101" spans="13:23">
      <c r="M101" s="308" t="s">
        <v>1127</v>
      </c>
      <c r="N101" s="312" t="s">
        <v>58</v>
      </c>
      <c r="O101" s="308" t="s">
        <v>1148</v>
      </c>
      <c r="P101" s="308">
        <v>251</v>
      </c>
      <c r="Q101" s="308">
        <v>6</v>
      </c>
      <c r="R101" s="308" t="s">
        <v>1147</v>
      </c>
      <c r="S101" s="308">
        <v>3</v>
      </c>
      <c r="T101" s="308" t="str">
        <f t="shared" si="3"/>
        <v>NDZ251623</v>
      </c>
      <c r="U101" s="312" t="s">
        <v>1151</v>
      </c>
      <c r="V101" s="312" t="s">
        <v>166</v>
      </c>
      <c r="W101" s="308"/>
    </row>
    <row r="102" spans="13:23">
      <c r="M102" s="314" t="s">
        <v>1127</v>
      </c>
      <c r="N102" s="315" t="s">
        <v>84</v>
      </c>
      <c r="O102" s="314" t="s">
        <v>1148</v>
      </c>
      <c r="P102" s="314">
        <v>251</v>
      </c>
      <c r="Q102" s="314">
        <v>6</v>
      </c>
      <c r="R102" s="314" t="s">
        <v>1147</v>
      </c>
      <c r="S102" s="314">
        <v>4</v>
      </c>
      <c r="T102" s="314" t="str">
        <f t="shared" si="3"/>
        <v>NDZ251624</v>
      </c>
      <c r="U102" s="315" t="s">
        <v>1150</v>
      </c>
      <c r="V102" s="315" t="s">
        <v>166</v>
      </c>
      <c r="W102" s="314" t="s">
        <v>1136</v>
      </c>
    </row>
    <row r="103" spans="13:23">
      <c r="M103" s="308" t="s">
        <v>1127</v>
      </c>
      <c r="N103" s="312" t="s">
        <v>42</v>
      </c>
      <c r="O103" s="308" t="s">
        <v>1148</v>
      </c>
      <c r="P103" s="308">
        <v>251</v>
      </c>
      <c r="Q103" s="308">
        <v>6</v>
      </c>
      <c r="R103" s="308" t="s">
        <v>1147</v>
      </c>
      <c r="S103" s="308">
        <v>5</v>
      </c>
      <c r="T103" s="308" t="str">
        <f t="shared" si="3"/>
        <v>NDZ251625</v>
      </c>
      <c r="U103" s="312" t="s">
        <v>1149</v>
      </c>
      <c r="V103" s="312" t="s">
        <v>166</v>
      </c>
      <c r="W103" s="308"/>
    </row>
    <row r="104" spans="13:23">
      <c r="M104" s="314" t="s">
        <v>1127</v>
      </c>
      <c r="N104" s="315" t="s">
        <v>53</v>
      </c>
      <c r="O104" s="314" t="s">
        <v>1148</v>
      </c>
      <c r="P104" s="314">
        <v>251</v>
      </c>
      <c r="Q104" s="314">
        <v>6</v>
      </c>
      <c r="R104" s="314" t="s">
        <v>1147</v>
      </c>
      <c r="S104" s="314">
        <v>6</v>
      </c>
      <c r="T104" s="314" t="str">
        <f t="shared" si="3"/>
        <v>NDZ251626</v>
      </c>
      <c r="U104" s="315" t="s">
        <v>1146</v>
      </c>
      <c r="V104" s="315" t="s">
        <v>166</v>
      </c>
      <c r="W104" s="314" t="s">
        <v>1136</v>
      </c>
    </row>
    <row r="105" spans="13:23">
      <c r="M105" s="308" t="s">
        <v>1127</v>
      </c>
      <c r="N105" s="312" t="s">
        <v>60</v>
      </c>
      <c r="O105" s="308" t="s">
        <v>1140</v>
      </c>
      <c r="P105" s="308">
        <v>251</v>
      </c>
      <c r="Q105" s="308">
        <v>6</v>
      </c>
      <c r="R105" s="308" t="s">
        <v>1139</v>
      </c>
      <c r="S105" s="308">
        <v>1</v>
      </c>
      <c r="T105" s="308" t="str">
        <f t="shared" si="3"/>
        <v>NDZ251631</v>
      </c>
      <c r="U105" s="312" t="s">
        <v>1145</v>
      </c>
      <c r="V105" s="312" t="s">
        <v>1137</v>
      </c>
      <c r="W105" s="308"/>
    </row>
    <row r="106" spans="13:23">
      <c r="M106" s="308" t="s">
        <v>1127</v>
      </c>
      <c r="N106" s="312" t="s">
        <v>41</v>
      </c>
      <c r="O106" s="308" t="s">
        <v>1140</v>
      </c>
      <c r="P106" s="308">
        <v>251</v>
      </c>
      <c r="Q106" s="308">
        <v>6</v>
      </c>
      <c r="R106" s="308" t="s">
        <v>1139</v>
      </c>
      <c r="S106" s="308">
        <v>2</v>
      </c>
      <c r="T106" s="308" t="str">
        <f t="shared" si="3"/>
        <v>NDZ251632</v>
      </c>
      <c r="U106" s="312" t="s">
        <v>1144</v>
      </c>
      <c r="V106" s="312" t="s">
        <v>1137</v>
      </c>
      <c r="W106" s="308"/>
    </row>
    <row r="107" spans="13:23">
      <c r="M107" s="308" t="s">
        <v>1127</v>
      </c>
      <c r="N107" s="312" t="s">
        <v>58</v>
      </c>
      <c r="O107" s="308" t="s">
        <v>1140</v>
      </c>
      <c r="P107" s="308">
        <v>251</v>
      </c>
      <c r="Q107" s="308">
        <v>6</v>
      </c>
      <c r="R107" s="308" t="s">
        <v>1139</v>
      </c>
      <c r="S107" s="308">
        <v>3</v>
      </c>
      <c r="T107" s="308" t="str">
        <f t="shared" si="3"/>
        <v>NDZ251633</v>
      </c>
      <c r="U107" s="312" t="s">
        <v>1143</v>
      </c>
      <c r="V107" s="312" t="s">
        <v>1137</v>
      </c>
      <c r="W107" s="308"/>
    </row>
    <row r="108" spans="13:23">
      <c r="M108" s="314" t="s">
        <v>1127</v>
      </c>
      <c r="N108" s="315" t="s">
        <v>84</v>
      </c>
      <c r="O108" s="314" t="s">
        <v>1140</v>
      </c>
      <c r="P108" s="314">
        <v>251</v>
      </c>
      <c r="Q108" s="314">
        <v>6</v>
      </c>
      <c r="R108" s="314" t="s">
        <v>1139</v>
      </c>
      <c r="S108" s="314">
        <v>4</v>
      </c>
      <c r="T108" s="314" t="str">
        <f t="shared" si="3"/>
        <v>NDZ251634</v>
      </c>
      <c r="U108" s="315" t="s">
        <v>1142</v>
      </c>
      <c r="V108" s="315" t="s">
        <v>1137</v>
      </c>
      <c r="W108" s="314" t="s">
        <v>1136</v>
      </c>
    </row>
    <row r="109" spans="13:23">
      <c r="M109" s="308" t="s">
        <v>1127</v>
      </c>
      <c r="N109" s="312" t="s">
        <v>42</v>
      </c>
      <c r="O109" s="308" t="s">
        <v>1140</v>
      </c>
      <c r="P109" s="308">
        <v>251</v>
      </c>
      <c r="Q109" s="308">
        <v>6</v>
      </c>
      <c r="R109" s="308" t="s">
        <v>1139</v>
      </c>
      <c r="S109" s="308">
        <v>5</v>
      </c>
      <c r="T109" s="308" t="str">
        <f t="shared" si="3"/>
        <v>NDZ251635</v>
      </c>
      <c r="U109" s="312" t="s">
        <v>1141</v>
      </c>
      <c r="V109" s="312" t="s">
        <v>1137</v>
      </c>
      <c r="W109" s="308"/>
    </row>
    <row r="110" spans="13:23">
      <c r="M110" s="314" t="s">
        <v>1127</v>
      </c>
      <c r="N110" s="315" t="s">
        <v>53</v>
      </c>
      <c r="O110" s="314" t="s">
        <v>1140</v>
      </c>
      <c r="P110" s="314">
        <v>251</v>
      </c>
      <c r="Q110" s="314">
        <v>6</v>
      </c>
      <c r="R110" s="314" t="s">
        <v>1139</v>
      </c>
      <c r="S110" s="314">
        <v>6</v>
      </c>
      <c r="T110" s="314" t="str">
        <f t="shared" si="3"/>
        <v>NDZ251636</v>
      </c>
      <c r="U110" s="315" t="s">
        <v>1138</v>
      </c>
      <c r="V110" s="315" t="s">
        <v>1137</v>
      </c>
      <c r="W110" s="314" t="s">
        <v>1136</v>
      </c>
    </row>
    <row r="111" spans="13:23">
      <c r="M111" s="308" t="s">
        <v>1127</v>
      </c>
      <c r="N111" s="312" t="s">
        <v>60</v>
      </c>
      <c r="O111" s="313" t="s">
        <v>1126</v>
      </c>
      <c r="P111" s="313">
        <v>251</v>
      </c>
      <c r="Q111" s="313">
        <v>0</v>
      </c>
      <c r="R111" s="313">
        <v>0</v>
      </c>
      <c r="S111" s="313">
        <v>1</v>
      </c>
      <c r="T111" s="308" t="s">
        <v>1065</v>
      </c>
      <c r="U111" s="312" t="s">
        <v>1135</v>
      </c>
      <c r="V111" s="312" t="s">
        <v>1124</v>
      </c>
      <c r="W111" s="308"/>
    </row>
    <row r="112" spans="13:23">
      <c r="M112" s="308" t="s">
        <v>1127</v>
      </c>
      <c r="N112" s="312" t="s">
        <v>41</v>
      </c>
      <c r="O112" s="313" t="s">
        <v>1126</v>
      </c>
      <c r="P112" s="313">
        <v>251</v>
      </c>
      <c r="Q112" s="313">
        <v>0</v>
      </c>
      <c r="R112" s="313">
        <v>0</v>
      </c>
      <c r="S112" s="313">
        <v>2</v>
      </c>
      <c r="T112" s="308" t="s">
        <v>1064</v>
      </c>
      <c r="U112" s="312" t="s">
        <v>1134</v>
      </c>
      <c r="V112" s="312" t="s">
        <v>1124</v>
      </c>
      <c r="W112" s="308"/>
    </row>
    <row r="113" spans="13:23">
      <c r="M113" s="308" t="s">
        <v>1127</v>
      </c>
      <c r="N113" s="312" t="s">
        <v>58</v>
      </c>
      <c r="O113" s="313" t="s">
        <v>1126</v>
      </c>
      <c r="P113" s="313">
        <v>251</v>
      </c>
      <c r="Q113" s="313">
        <v>0</v>
      </c>
      <c r="R113" s="313">
        <v>0</v>
      </c>
      <c r="S113" s="313">
        <v>3</v>
      </c>
      <c r="T113" s="308" t="s">
        <v>1133</v>
      </c>
      <c r="U113" s="312" t="s">
        <v>1132</v>
      </c>
      <c r="V113" s="312" t="s">
        <v>1124</v>
      </c>
      <c r="W113" s="308"/>
    </row>
    <row r="114" spans="13:23">
      <c r="M114" s="308" t="s">
        <v>1127</v>
      </c>
      <c r="N114" s="312" t="s">
        <v>84</v>
      </c>
      <c r="O114" s="313" t="s">
        <v>1126</v>
      </c>
      <c r="P114" s="313">
        <v>251</v>
      </c>
      <c r="Q114" s="313">
        <v>0</v>
      </c>
      <c r="R114" s="313">
        <v>0</v>
      </c>
      <c r="S114" s="313">
        <v>4</v>
      </c>
      <c r="T114" s="308" t="s">
        <v>1131</v>
      </c>
      <c r="U114" s="312" t="s">
        <v>1130</v>
      </c>
      <c r="V114" s="312" t="s">
        <v>1124</v>
      </c>
      <c r="W114" s="308"/>
    </row>
    <row r="115" spans="13:23">
      <c r="M115" s="308" t="s">
        <v>1127</v>
      </c>
      <c r="N115" s="312" t="s">
        <v>42</v>
      </c>
      <c r="O115" s="313" t="s">
        <v>1126</v>
      </c>
      <c r="P115" s="313">
        <v>251</v>
      </c>
      <c r="Q115" s="313">
        <v>0</v>
      </c>
      <c r="R115" s="313">
        <v>0</v>
      </c>
      <c r="S115" s="313">
        <v>5</v>
      </c>
      <c r="T115" s="308" t="s">
        <v>1129</v>
      </c>
      <c r="U115" s="312" t="s">
        <v>1128</v>
      </c>
      <c r="V115" s="312" t="s">
        <v>1124</v>
      </c>
      <c r="W115" s="308"/>
    </row>
    <row r="116" spans="13:23">
      <c r="M116" s="310" t="s">
        <v>1127</v>
      </c>
      <c r="N116" s="309" t="s">
        <v>53</v>
      </c>
      <c r="O116" s="311" t="s">
        <v>1126</v>
      </c>
      <c r="P116" s="311">
        <v>251</v>
      </c>
      <c r="Q116" s="311">
        <v>0</v>
      </c>
      <c r="R116" s="311">
        <v>0</v>
      </c>
      <c r="S116" s="311">
        <v>6</v>
      </c>
      <c r="T116" s="310" t="s">
        <v>77</v>
      </c>
      <c r="U116" s="309" t="s">
        <v>1125</v>
      </c>
      <c r="V116" s="309" t="s">
        <v>1124</v>
      </c>
      <c r="W116" s="308"/>
    </row>
  </sheetData>
  <phoneticPr fontId="3" type="noConversion"/>
  <pageMargins left="0.7" right="0.7" top="0.75" bottom="0.75" header="0.3" footer="0.3"/>
  <pageSetup paperSize="9" scale="2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BD3E-7816-40E0-A832-940842A12351}">
  <dimension ref="A3:N37"/>
  <sheetViews>
    <sheetView workbookViewId="0">
      <selection activeCell="K24" sqref="K24"/>
    </sheetView>
  </sheetViews>
  <sheetFormatPr defaultRowHeight="16.5"/>
  <cols>
    <col min="1" max="1" width="23.5" bestFit="1" customWidth="1"/>
    <col min="2" max="2" width="16.625" style="1" bestFit="1" customWidth="1"/>
    <col min="3" max="3" width="4.875" customWidth="1"/>
    <col min="4" max="4" width="19.5" style="1" customWidth="1"/>
    <col min="5" max="5" width="25.25" style="1" customWidth="1"/>
    <col min="6" max="6" width="16.625" style="1" customWidth="1"/>
    <col min="7" max="7" width="14.625" style="1" bestFit="1" customWidth="1"/>
    <col min="8" max="8" width="4.75" customWidth="1"/>
    <col min="9" max="9" width="23.5" bestFit="1" customWidth="1"/>
    <col min="10" max="10" width="14.875" style="1" hidden="1" customWidth="1"/>
    <col min="11" max="11" width="13" style="1" bestFit="1" customWidth="1"/>
    <col min="12" max="12" width="14.625" hidden="1" customWidth="1"/>
  </cols>
  <sheetData>
    <row r="3" spans="1:14">
      <c r="A3" s="3" t="s">
        <v>6</v>
      </c>
      <c r="B3" s="1" t="s">
        <v>5</v>
      </c>
      <c r="D3" s="1" t="s">
        <v>6</v>
      </c>
      <c r="E3" s="1" t="s">
        <v>5</v>
      </c>
      <c r="G3" s="1" t="s">
        <v>1347</v>
      </c>
      <c r="I3" t="s">
        <v>1346</v>
      </c>
    </row>
    <row r="4" spans="1:14">
      <c r="A4" s="2" t="s">
        <v>20</v>
      </c>
      <c r="B4" s="1">
        <v>671500000</v>
      </c>
      <c r="D4" s="1" t="s">
        <v>20</v>
      </c>
      <c r="E4" s="1">
        <v>671500000</v>
      </c>
      <c r="G4" s="1">
        <f t="shared" ref="G4:G26" si="0">SUM(E4:F4)</f>
        <v>671500000</v>
      </c>
      <c r="I4" t="s">
        <v>6</v>
      </c>
      <c r="J4" s="1" t="s">
        <v>1345</v>
      </c>
    </row>
    <row r="5" spans="1:14">
      <c r="A5" s="2" t="s">
        <v>15</v>
      </c>
      <c r="B5" s="1">
        <v>614469520</v>
      </c>
      <c r="D5" s="1" t="s">
        <v>15</v>
      </c>
      <c r="E5" s="1">
        <v>614469520</v>
      </c>
      <c r="G5" s="1">
        <f t="shared" si="0"/>
        <v>614469520</v>
      </c>
      <c r="I5" t="s">
        <v>20</v>
      </c>
      <c r="J5" s="1">
        <v>1142840000</v>
      </c>
      <c r="K5" s="1">
        <f>G4-J5</f>
        <v>-471340000</v>
      </c>
      <c r="L5" s="324">
        <f t="shared" ref="L5:L30" si="1">SUM(J5+K5)</f>
        <v>671500000</v>
      </c>
    </row>
    <row r="6" spans="1:14">
      <c r="A6" s="2" t="s">
        <v>30</v>
      </c>
      <c r="B6" s="1">
        <v>800000000</v>
      </c>
      <c r="D6" s="1" t="s">
        <v>30</v>
      </c>
      <c r="E6" s="1">
        <v>800000000</v>
      </c>
      <c r="G6" s="1">
        <f t="shared" si="0"/>
        <v>800000000</v>
      </c>
      <c r="I6" t="s">
        <v>15</v>
      </c>
      <c r="J6" s="1">
        <v>832485760</v>
      </c>
      <c r="K6" s="1">
        <f>G5-J6</f>
        <v>-218016240</v>
      </c>
      <c r="L6" s="324">
        <f t="shared" si="1"/>
        <v>614469520</v>
      </c>
    </row>
    <row r="7" spans="1:14">
      <c r="A7" s="2" t="s">
        <v>29</v>
      </c>
      <c r="B7" s="1">
        <v>227500000</v>
      </c>
      <c r="D7" s="1" t="s">
        <v>29</v>
      </c>
      <c r="E7" s="1">
        <v>227500000</v>
      </c>
      <c r="G7" s="1">
        <f t="shared" si="0"/>
        <v>227500000</v>
      </c>
      <c r="I7" t="s">
        <v>30</v>
      </c>
      <c r="J7" s="1">
        <v>800000000</v>
      </c>
      <c r="L7" s="324">
        <f t="shared" si="1"/>
        <v>800000000</v>
      </c>
    </row>
    <row r="8" spans="1:14">
      <c r="A8" s="2" t="s">
        <v>34</v>
      </c>
      <c r="B8" s="1">
        <v>82817652</v>
      </c>
      <c r="D8" s="1" t="s">
        <v>34</v>
      </c>
      <c r="E8" s="1">
        <v>82817652</v>
      </c>
      <c r="G8" s="1">
        <f t="shared" si="0"/>
        <v>82817652</v>
      </c>
      <c r="I8" s="327" t="s">
        <v>29</v>
      </c>
      <c r="J8" s="325">
        <v>125300000</v>
      </c>
      <c r="K8" s="1">
        <v>74700000</v>
      </c>
      <c r="L8" s="324">
        <f t="shared" si="1"/>
        <v>200000000</v>
      </c>
    </row>
    <row r="9" spans="1:14">
      <c r="A9" s="2" t="s">
        <v>31</v>
      </c>
      <c r="B9" s="1">
        <v>14520000</v>
      </c>
      <c r="D9" s="1" t="s">
        <v>31</v>
      </c>
      <c r="E9" s="1">
        <v>14520000</v>
      </c>
      <c r="G9" s="1">
        <f t="shared" si="0"/>
        <v>14520000</v>
      </c>
      <c r="I9" s="327" t="s">
        <v>34</v>
      </c>
      <c r="J9" s="1">
        <v>753810000</v>
      </c>
      <c r="K9" s="1">
        <v>-650000000</v>
      </c>
      <c r="L9" s="324">
        <f t="shared" si="1"/>
        <v>103810000</v>
      </c>
    </row>
    <row r="10" spans="1:14">
      <c r="A10" s="2" t="s">
        <v>17</v>
      </c>
      <c r="B10" s="1">
        <v>1762024400</v>
      </c>
      <c r="D10" s="1" t="s">
        <v>17</v>
      </c>
      <c r="E10" s="1">
        <v>1762024400</v>
      </c>
      <c r="F10" s="1">
        <v>1727000</v>
      </c>
      <c r="G10" s="1">
        <f t="shared" si="0"/>
        <v>1763751400</v>
      </c>
      <c r="I10" t="s">
        <v>31</v>
      </c>
      <c r="J10" s="1">
        <v>14520000</v>
      </c>
      <c r="K10" s="1">
        <v>0</v>
      </c>
      <c r="L10" s="324">
        <f t="shared" si="1"/>
        <v>14520000</v>
      </c>
    </row>
    <row r="11" spans="1:14">
      <c r="A11" s="2" t="s">
        <v>16</v>
      </c>
      <c r="B11" s="1">
        <v>7160000</v>
      </c>
      <c r="D11" s="1" t="s">
        <v>16</v>
      </c>
      <c r="E11" s="1">
        <v>7160000</v>
      </c>
      <c r="G11" s="1">
        <f t="shared" si="0"/>
        <v>7160000</v>
      </c>
      <c r="I11" s="327" t="s">
        <v>17</v>
      </c>
      <c r="J11" s="1">
        <v>1133574310</v>
      </c>
      <c r="K11" s="1">
        <v>573479170</v>
      </c>
      <c r="L11" s="324">
        <f t="shared" si="1"/>
        <v>1707053480</v>
      </c>
    </row>
    <row r="12" spans="1:14">
      <c r="A12" s="2" t="s">
        <v>33</v>
      </c>
      <c r="B12" s="1">
        <v>24113000</v>
      </c>
      <c r="D12" s="1" t="s">
        <v>33</v>
      </c>
      <c r="E12" s="1">
        <v>24113000</v>
      </c>
      <c r="G12" s="1">
        <f t="shared" si="0"/>
        <v>24113000</v>
      </c>
      <c r="I12" t="s">
        <v>1285</v>
      </c>
      <c r="J12" s="325">
        <v>26790210</v>
      </c>
      <c r="L12" s="324">
        <f t="shared" si="1"/>
        <v>26790210</v>
      </c>
    </row>
    <row r="13" spans="1:14">
      <c r="A13" s="2" t="s">
        <v>32</v>
      </c>
      <c r="B13" s="1">
        <v>11000000</v>
      </c>
      <c r="D13" s="1" t="s">
        <v>32</v>
      </c>
      <c r="E13" s="1">
        <v>11000000</v>
      </c>
      <c r="G13" s="1">
        <f t="shared" si="0"/>
        <v>11000000</v>
      </c>
      <c r="I13" t="s">
        <v>1265</v>
      </c>
      <c r="J13" s="325">
        <v>10000000</v>
      </c>
      <c r="L13" s="324">
        <f t="shared" si="1"/>
        <v>10000000</v>
      </c>
    </row>
    <row r="14" spans="1:14">
      <c r="A14" s="2" t="s">
        <v>18</v>
      </c>
      <c r="B14" s="1">
        <v>1568714000</v>
      </c>
      <c r="D14" s="1" t="s">
        <v>18</v>
      </c>
      <c r="E14" s="1">
        <v>1568714000</v>
      </c>
      <c r="G14" s="1">
        <f t="shared" si="0"/>
        <v>1568714000</v>
      </c>
      <c r="I14" t="s">
        <v>1267</v>
      </c>
      <c r="J14" s="325">
        <v>135678900</v>
      </c>
      <c r="L14" s="324">
        <f t="shared" si="1"/>
        <v>135678900</v>
      </c>
    </row>
    <row r="15" spans="1:14">
      <c r="A15" s="2" t="s">
        <v>25</v>
      </c>
      <c r="B15" s="1">
        <v>665500000</v>
      </c>
      <c r="D15" s="1" t="s">
        <v>25</v>
      </c>
      <c r="E15" s="1">
        <v>665500000</v>
      </c>
      <c r="G15" s="1">
        <f t="shared" si="0"/>
        <v>665500000</v>
      </c>
      <c r="I15" t="s">
        <v>1344</v>
      </c>
      <c r="J15" s="1">
        <v>7160000</v>
      </c>
      <c r="K15" s="1">
        <v>0</v>
      </c>
      <c r="L15" s="324">
        <f t="shared" si="1"/>
        <v>7160000</v>
      </c>
    </row>
    <row r="16" spans="1:14">
      <c r="A16" s="2" t="s">
        <v>23</v>
      </c>
      <c r="B16" s="1">
        <v>120000000</v>
      </c>
      <c r="D16" s="1" t="s">
        <v>23</v>
      </c>
      <c r="E16" s="1">
        <v>120000000</v>
      </c>
      <c r="F16" s="1">
        <v>5539291</v>
      </c>
      <c r="G16" s="1">
        <f t="shared" si="0"/>
        <v>125539291</v>
      </c>
      <c r="I16" s="327" t="s">
        <v>33</v>
      </c>
      <c r="J16" s="1">
        <v>35000000</v>
      </c>
      <c r="K16" s="1">
        <v>-10000000</v>
      </c>
      <c r="L16" s="324">
        <f t="shared" si="1"/>
        <v>25000000</v>
      </c>
      <c r="M16" s="327"/>
      <c r="N16" t="s">
        <v>1343</v>
      </c>
    </row>
    <row r="17" spans="1:12">
      <c r="A17" s="2" t="s">
        <v>24</v>
      </c>
      <c r="B17" s="1">
        <v>60000000</v>
      </c>
      <c r="D17" s="1" t="s">
        <v>24</v>
      </c>
      <c r="E17" s="1">
        <v>60000000</v>
      </c>
      <c r="G17" s="1">
        <f t="shared" si="0"/>
        <v>60000000</v>
      </c>
      <c r="I17" s="327" t="s">
        <v>32</v>
      </c>
      <c r="J17" s="1">
        <v>35000000</v>
      </c>
      <c r="K17" s="1">
        <v>-10000000</v>
      </c>
      <c r="L17" s="324">
        <f t="shared" si="1"/>
        <v>25000000</v>
      </c>
    </row>
    <row r="18" spans="1:12">
      <c r="A18" s="2" t="s">
        <v>19</v>
      </c>
      <c r="B18" s="1">
        <v>530000000</v>
      </c>
      <c r="D18" s="1" t="s">
        <v>19</v>
      </c>
      <c r="E18" s="1">
        <v>530000000</v>
      </c>
      <c r="G18" s="1">
        <f t="shared" si="0"/>
        <v>530000000</v>
      </c>
      <c r="I18" t="s">
        <v>1342</v>
      </c>
      <c r="J18" s="1">
        <v>2200000</v>
      </c>
      <c r="K18" s="1">
        <v>0</v>
      </c>
      <c r="L18" s="324">
        <f t="shared" si="1"/>
        <v>2200000</v>
      </c>
    </row>
    <row r="19" spans="1:12">
      <c r="A19" s="2" t="s">
        <v>28</v>
      </c>
      <c r="B19" s="1">
        <v>8800000</v>
      </c>
      <c r="D19" s="1" t="s">
        <v>28</v>
      </c>
      <c r="E19" s="1">
        <v>8800000</v>
      </c>
      <c r="G19" s="1">
        <f t="shared" si="0"/>
        <v>8800000</v>
      </c>
      <c r="I19" t="s">
        <v>18</v>
      </c>
      <c r="J19" s="1">
        <v>1294536930</v>
      </c>
      <c r="K19" s="1">
        <f>G14-J19</f>
        <v>274177070</v>
      </c>
      <c r="L19" s="324">
        <f t="shared" si="1"/>
        <v>1568714000</v>
      </c>
    </row>
    <row r="20" spans="1:12">
      <c r="A20" s="2" t="s">
        <v>27</v>
      </c>
      <c r="B20" s="1">
        <v>70000000</v>
      </c>
      <c r="D20" s="1" t="s">
        <v>27</v>
      </c>
      <c r="E20" s="1">
        <v>70000000</v>
      </c>
      <c r="G20" s="1">
        <f t="shared" si="0"/>
        <v>70000000</v>
      </c>
      <c r="I20" s="327" t="s">
        <v>25</v>
      </c>
      <c r="J20" s="325">
        <v>557806500</v>
      </c>
      <c r="K20" s="1">
        <v>-50000000</v>
      </c>
      <c r="L20" s="324">
        <f t="shared" si="1"/>
        <v>507806500</v>
      </c>
    </row>
    <row r="21" spans="1:12">
      <c r="A21" s="2" t="s">
        <v>26</v>
      </c>
      <c r="B21" s="1">
        <v>9000000</v>
      </c>
      <c r="D21" s="1" t="s">
        <v>26</v>
      </c>
      <c r="E21" s="1">
        <v>9000000</v>
      </c>
      <c r="G21" s="1">
        <f t="shared" si="0"/>
        <v>9000000</v>
      </c>
      <c r="I21" t="s">
        <v>23</v>
      </c>
      <c r="J21" s="325">
        <v>47663980</v>
      </c>
      <c r="L21" s="324">
        <f t="shared" si="1"/>
        <v>47663980</v>
      </c>
    </row>
    <row r="22" spans="1:12">
      <c r="A22" s="2" t="s">
        <v>1</v>
      </c>
      <c r="B22" s="1">
        <v>0</v>
      </c>
      <c r="G22" s="1">
        <f t="shared" si="0"/>
        <v>0</v>
      </c>
      <c r="I22" t="s">
        <v>21</v>
      </c>
      <c r="J22" s="325">
        <v>45524773</v>
      </c>
      <c r="L22" s="324">
        <f t="shared" si="1"/>
        <v>45524773</v>
      </c>
    </row>
    <row r="23" spans="1:12">
      <c r="A23" s="2" t="s">
        <v>0</v>
      </c>
      <c r="B23" s="1">
        <v>7247118572</v>
      </c>
      <c r="G23" s="1">
        <f t="shared" si="0"/>
        <v>0</v>
      </c>
      <c r="I23" t="s">
        <v>1341</v>
      </c>
      <c r="J23" s="325">
        <v>30000000</v>
      </c>
      <c r="L23" s="324">
        <f t="shared" si="1"/>
        <v>30000000</v>
      </c>
    </row>
    <row r="24" spans="1:12">
      <c r="G24" s="1">
        <f t="shared" si="0"/>
        <v>0</v>
      </c>
      <c r="I24" t="s">
        <v>24</v>
      </c>
      <c r="J24" s="325">
        <v>30000000</v>
      </c>
      <c r="L24" s="324">
        <f t="shared" si="1"/>
        <v>30000000</v>
      </c>
    </row>
    <row r="25" spans="1:12">
      <c r="D25" s="1" t="s">
        <v>1</v>
      </c>
      <c r="E25" s="1">
        <v>0</v>
      </c>
      <c r="G25" s="1">
        <f t="shared" si="0"/>
        <v>0</v>
      </c>
      <c r="I25" t="s">
        <v>19</v>
      </c>
      <c r="J25" s="1">
        <v>500000000</v>
      </c>
      <c r="K25" s="1">
        <v>30000000</v>
      </c>
      <c r="L25" s="324">
        <f t="shared" si="1"/>
        <v>530000000</v>
      </c>
    </row>
    <row r="26" spans="1:12">
      <c r="D26" s="1" t="s">
        <v>0</v>
      </c>
      <c r="E26" s="1">
        <v>7247118572</v>
      </c>
      <c r="F26" s="1">
        <f>SUM(F4:F25)</f>
        <v>7266291</v>
      </c>
      <c r="G26" s="325">
        <f t="shared" si="0"/>
        <v>7254384863</v>
      </c>
      <c r="I26" t="s">
        <v>1262</v>
      </c>
      <c r="J26" s="325">
        <v>10000000</v>
      </c>
      <c r="L26" s="324">
        <f t="shared" si="1"/>
        <v>10000000</v>
      </c>
    </row>
    <row r="27" spans="1:12">
      <c r="I27" t="s">
        <v>1245</v>
      </c>
      <c r="J27" s="325">
        <v>12193500</v>
      </c>
      <c r="L27" s="324">
        <f t="shared" si="1"/>
        <v>12193500</v>
      </c>
    </row>
    <row r="28" spans="1:12">
      <c r="I28" t="s">
        <v>28</v>
      </c>
      <c r="J28" s="325">
        <v>49700000</v>
      </c>
      <c r="L28" s="324">
        <f t="shared" si="1"/>
        <v>49700000</v>
      </c>
    </row>
    <row r="29" spans="1:12">
      <c r="I29" t="s">
        <v>27</v>
      </c>
      <c r="J29" s="325">
        <v>60000000</v>
      </c>
      <c r="K29" s="326">
        <f>G20-J29</f>
        <v>10000000</v>
      </c>
      <c r="L29" s="324">
        <f t="shared" si="1"/>
        <v>70000000</v>
      </c>
    </row>
    <row r="30" spans="1:12">
      <c r="I30" t="s">
        <v>26</v>
      </c>
      <c r="J30" s="325"/>
      <c r="K30" s="1">
        <f>G21-J30</f>
        <v>9000000</v>
      </c>
      <c r="L30" s="324">
        <f t="shared" si="1"/>
        <v>9000000</v>
      </c>
    </row>
    <row r="31" spans="1:12">
      <c r="I31" t="s">
        <v>0</v>
      </c>
      <c r="J31" s="1">
        <f>SUM(J5:J29)</f>
        <v>7691784863</v>
      </c>
      <c r="K31" s="1">
        <f>SUM(K5:K30)</f>
        <v>-438000000</v>
      </c>
      <c r="L31" s="323">
        <f>J31+K31</f>
        <v>7253784863</v>
      </c>
    </row>
    <row r="36" spans="7:11">
      <c r="I36" t="s">
        <v>1340</v>
      </c>
      <c r="K36" s="1">
        <v>2033311</v>
      </c>
    </row>
    <row r="37" spans="7:11">
      <c r="G37" s="1">
        <f>L31-G26</f>
        <v>-600000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096C-1A89-47AC-A3AA-2FEF077F88A8}">
  <sheetPr>
    <pageSetUpPr fitToPage="1"/>
  </sheetPr>
  <dimension ref="A1:H184"/>
  <sheetViews>
    <sheetView zoomScale="85" zoomScaleNormal="85" workbookViewId="0">
      <selection activeCell="K24" sqref="K24"/>
    </sheetView>
  </sheetViews>
  <sheetFormatPr defaultRowHeight="18.75"/>
  <cols>
    <col min="1" max="1" width="39" style="331" bestFit="1" customWidth="1"/>
    <col min="2" max="2" width="22.875" style="330" bestFit="1" customWidth="1"/>
    <col min="3" max="3" width="39.375" style="330" bestFit="1" customWidth="1"/>
    <col min="4" max="4" width="14.125" style="330" bestFit="1" customWidth="1"/>
    <col min="5" max="5" width="11.625" style="330" bestFit="1" customWidth="1"/>
    <col min="6" max="6" width="26.5" style="329" bestFit="1" customWidth="1"/>
    <col min="7" max="7" width="9" style="328"/>
    <col min="8" max="8" width="11.875" style="328" bestFit="1" customWidth="1"/>
    <col min="9" max="16384" width="9" style="328"/>
  </cols>
  <sheetData>
    <row r="1" spans="1:6" ht="32.25">
      <c r="A1" s="403" t="s">
        <v>1437</v>
      </c>
      <c r="B1" s="403"/>
      <c r="C1" s="403"/>
      <c r="D1" s="403"/>
      <c r="E1" s="403"/>
      <c r="F1" s="403"/>
    </row>
    <row r="2" spans="1:6" s="366" customFormat="1">
      <c r="A2" s="381" t="s">
        <v>1436</v>
      </c>
      <c r="B2" s="380" t="s">
        <v>1435</v>
      </c>
      <c r="C2" s="380" t="s">
        <v>1434</v>
      </c>
      <c r="D2" s="375" t="s">
        <v>1433</v>
      </c>
      <c r="E2" s="375" t="s">
        <v>1432</v>
      </c>
      <c r="F2" s="379" t="s">
        <v>1431</v>
      </c>
    </row>
    <row r="3" spans="1:6" ht="17.25" customHeight="1">
      <c r="A3" s="374" t="s">
        <v>995</v>
      </c>
      <c r="B3" s="373" t="s">
        <v>1295</v>
      </c>
      <c r="C3" s="373" t="s">
        <v>1031</v>
      </c>
      <c r="D3" s="373">
        <v>15300000</v>
      </c>
      <c r="E3" s="373">
        <v>14700000</v>
      </c>
      <c r="F3" s="365" t="s">
        <v>1430</v>
      </c>
    </row>
    <row r="4" spans="1:6" ht="17.25" customHeight="1">
      <c r="A4" s="374"/>
      <c r="B4" s="373"/>
      <c r="C4" s="373" t="s">
        <v>1014</v>
      </c>
      <c r="D4" s="373">
        <v>9750000</v>
      </c>
      <c r="E4" s="373">
        <v>9750000</v>
      </c>
      <c r="F4" s="365"/>
    </row>
    <row r="5" spans="1:6" ht="17.25" customHeight="1">
      <c r="A5" s="374"/>
      <c r="B5" s="373"/>
      <c r="C5" s="373" t="s">
        <v>994</v>
      </c>
      <c r="D5" s="373">
        <v>4600000</v>
      </c>
      <c r="E5" s="373">
        <v>4600000</v>
      </c>
      <c r="F5" s="365"/>
    </row>
    <row r="6" spans="1:6" hidden="1">
      <c r="A6" s="374"/>
      <c r="B6" s="373" t="s">
        <v>1425</v>
      </c>
      <c r="C6" s="373"/>
      <c r="D6" s="373">
        <v>29650000</v>
      </c>
      <c r="E6" s="373">
        <v>29050000</v>
      </c>
      <c r="F6" s="368"/>
    </row>
    <row r="7" spans="1:6" s="366" customFormat="1">
      <c r="A7" s="372" t="s">
        <v>1370</v>
      </c>
      <c r="B7" s="372"/>
      <c r="C7" s="372"/>
      <c r="D7" s="375">
        <v>29650000</v>
      </c>
      <c r="E7" s="375">
        <v>29050000</v>
      </c>
      <c r="F7" s="367"/>
    </row>
    <row r="8" spans="1:6">
      <c r="A8" s="374" t="s">
        <v>942</v>
      </c>
      <c r="B8" s="373" t="s">
        <v>1295</v>
      </c>
      <c r="C8" s="373" t="s">
        <v>972</v>
      </c>
      <c r="D8" s="373">
        <v>16200000</v>
      </c>
      <c r="E8" s="373">
        <v>14400000</v>
      </c>
      <c r="F8" s="365" t="s">
        <v>1429</v>
      </c>
    </row>
    <row r="9" spans="1:6">
      <c r="A9" s="374"/>
      <c r="B9" s="373"/>
      <c r="C9" s="373" t="s">
        <v>958</v>
      </c>
      <c r="D9" s="373">
        <v>3300000</v>
      </c>
      <c r="E9" s="373">
        <v>2400000</v>
      </c>
      <c r="F9" s="365"/>
    </row>
    <row r="10" spans="1:6" hidden="1">
      <c r="A10" s="374"/>
      <c r="B10" s="373" t="s">
        <v>1425</v>
      </c>
      <c r="C10" s="373"/>
      <c r="D10" s="373">
        <v>19500000</v>
      </c>
      <c r="E10" s="373">
        <v>16800000</v>
      </c>
      <c r="F10" s="368"/>
    </row>
    <row r="11" spans="1:6">
      <c r="A11" s="374"/>
      <c r="B11" s="373" t="s">
        <v>1248</v>
      </c>
      <c r="C11" s="373" t="s">
        <v>941</v>
      </c>
      <c r="D11" s="373">
        <v>137000000</v>
      </c>
      <c r="E11" s="373">
        <v>126800000</v>
      </c>
      <c r="F11" s="365" t="s">
        <v>1428</v>
      </c>
    </row>
    <row r="12" spans="1:6" hidden="1">
      <c r="A12" s="374"/>
      <c r="B12" s="373" t="s">
        <v>1427</v>
      </c>
      <c r="C12" s="373"/>
      <c r="D12" s="373">
        <v>137000000</v>
      </c>
      <c r="E12" s="373">
        <v>126800000</v>
      </c>
      <c r="F12" s="368"/>
    </row>
    <row r="13" spans="1:6" s="366" customFormat="1">
      <c r="A13" s="372" t="s">
        <v>1370</v>
      </c>
      <c r="B13" s="372"/>
      <c r="C13" s="372"/>
      <c r="D13" s="375">
        <v>156500000</v>
      </c>
      <c r="E13" s="375">
        <v>143600000</v>
      </c>
      <c r="F13" s="367"/>
    </row>
    <row r="14" spans="1:6">
      <c r="A14" s="374" t="s">
        <v>903</v>
      </c>
      <c r="B14" s="373" t="s">
        <v>1295</v>
      </c>
      <c r="C14" s="373" t="s">
        <v>931</v>
      </c>
      <c r="D14" s="373">
        <v>2700000</v>
      </c>
      <c r="E14" s="373">
        <v>2700000</v>
      </c>
      <c r="F14" s="365"/>
    </row>
    <row r="15" spans="1:6">
      <c r="A15" s="374"/>
      <c r="B15" s="373"/>
      <c r="C15" s="373" t="s">
        <v>922</v>
      </c>
      <c r="D15" s="373">
        <v>2400000</v>
      </c>
      <c r="E15" s="373">
        <v>0</v>
      </c>
      <c r="F15" s="365"/>
    </row>
    <row r="16" spans="1:6">
      <c r="A16" s="374"/>
      <c r="B16" s="373"/>
      <c r="C16" s="373" t="s">
        <v>902</v>
      </c>
      <c r="D16" s="373">
        <v>273800000</v>
      </c>
      <c r="E16" s="373">
        <v>272000000</v>
      </c>
      <c r="F16" s="365" t="s">
        <v>1426</v>
      </c>
    </row>
    <row r="17" spans="1:8" hidden="1">
      <c r="A17" s="374"/>
      <c r="B17" s="373" t="s">
        <v>1425</v>
      </c>
      <c r="C17" s="373"/>
      <c r="D17" s="373">
        <v>278900000</v>
      </c>
      <c r="E17" s="373">
        <v>274700000</v>
      </c>
      <c r="F17" s="368"/>
    </row>
    <row r="18" spans="1:8" s="366" customFormat="1">
      <c r="A18" s="372" t="s">
        <v>1370</v>
      </c>
      <c r="B18" s="372"/>
      <c r="C18" s="372"/>
      <c r="D18" s="375">
        <v>278900000</v>
      </c>
      <c r="E18" s="375">
        <v>274700000</v>
      </c>
      <c r="F18" s="367"/>
    </row>
    <row r="19" spans="1:8">
      <c r="A19" s="374" t="s">
        <v>874</v>
      </c>
      <c r="B19" s="373" t="s">
        <v>1306</v>
      </c>
      <c r="C19" s="373" t="s">
        <v>887</v>
      </c>
      <c r="D19" s="373">
        <v>3925000</v>
      </c>
      <c r="E19" s="373">
        <v>3925000</v>
      </c>
      <c r="F19" s="365"/>
    </row>
    <row r="20" spans="1:8">
      <c r="A20" s="374"/>
      <c r="B20" s="373"/>
      <c r="C20" s="373" t="s">
        <v>882</v>
      </c>
      <c r="D20" s="373">
        <v>404200000</v>
      </c>
      <c r="E20" s="373">
        <v>404200000</v>
      </c>
      <c r="F20" s="365" t="s">
        <v>1424</v>
      </c>
    </row>
    <row r="21" spans="1:8">
      <c r="A21" s="374"/>
      <c r="B21" s="373"/>
      <c r="C21" s="373" t="s">
        <v>873</v>
      </c>
      <c r="D21" s="373">
        <v>2500000</v>
      </c>
      <c r="E21" s="373">
        <v>0</v>
      </c>
      <c r="F21" s="365"/>
    </row>
    <row r="22" spans="1:8" hidden="1">
      <c r="A22" s="374"/>
      <c r="B22" s="373" t="s">
        <v>1399</v>
      </c>
      <c r="C22" s="373"/>
      <c r="D22" s="373">
        <v>410625000</v>
      </c>
      <c r="E22" s="373">
        <v>408125000</v>
      </c>
      <c r="F22" s="368"/>
    </row>
    <row r="23" spans="1:8" s="366" customFormat="1">
      <c r="A23" s="372" t="s">
        <v>1370</v>
      </c>
      <c r="B23" s="372"/>
      <c r="C23" s="372"/>
      <c r="D23" s="375">
        <v>410625000</v>
      </c>
      <c r="E23" s="375">
        <v>408125000</v>
      </c>
      <c r="F23" s="367"/>
    </row>
    <row r="24" spans="1:8">
      <c r="A24" s="374" t="s">
        <v>802</v>
      </c>
      <c r="B24" s="373" t="s">
        <v>1258</v>
      </c>
      <c r="C24" s="373" t="s">
        <v>855</v>
      </c>
      <c r="D24" s="373">
        <v>47500000</v>
      </c>
      <c r="E24" s="373">
        <v>37900000</v>
      </c>
      <c r="F24" s="365" t="s">
        <v>1423</v>
      </c>
    </row>
    <row r="25" spans="1:8">
      <c r="A25" s="374"/>
      <c r="B25" s="373"/>
      <c r="C25" s="373" t="s">
        <v>848</v>
      </c>
      <c r="D25" s="373">
        <v>347044000</v>
      </c>
      <c r="E25" s="373">
        <v>328884000</v>
      </c>
      <c r="F25" s="365" t="s">
        <v>1422</v>
      </c>
    </row>
    <row r="26" spans="1:8">
      <c r="A26" s="374"/>
      <c r="B26" s="373"/>
      <c r="C26" s="373" t="s">
        <v>801</v>
      </c>
      <c r="D26" s="373">
        <v>3480000</v>
      </c>
      <c r="E26" s="373">
        <v>480000</v>
      </c>
      <c r="F26" s="365"/>
    </row>
    <row r="27" spans="1:8" hidden="1">
      <c r="A27" s="374"/>
      <c r="B27" s="373" t="s">
        <v>1398</v>
      </c>
      <c r="C27" s="373"/>
      <c r="D27" s="373">
        <v>398024000</v>
      </c>
      <c r="E27" s="373">
        <v>367264000</v>
      </c>
      <c r="F27" s="368"/>
    </row>
    <row r="28" spans="1:8" s="366" customFormat="1">
      <c r="A28" s="372" t="s">
        <v>1370</v>
      </c>
      <c r="B28" s="372"/>
      <c r="C28" s="372"/>
      <c r="D28" s="375">
        <v>398024000</v>
      </c>
      <c r="E28" s="375">
        <v>367264000</v>
      </c>
      <c r="F28" s="367"/>
      <c r="H28" s="366">
        <v>369014000</v>
      </c>
    </row>
    <row r="29" spans="1:8">
      <c r="A29" s="374" t="s">
        <v>713</v>
      </c>
      <c r="B29" s="373" t="s">
        <v>1284</v>
      </c>
      <c r="C29" s="373" t="s">
        <v>786</v>
      </c>
      <c r="D29" s="373">
        <v>9440000</v>
      </c>
      <c r="E29" s="373">
        <v>8590000</v>
      </c>
      <c r="F29" s="365"/>
      <c r="H29" s="330">
        <f>GETPIVOTDATA("선배정",$A$2,"세부과제","[B-2]AI 온디맨드 경력개발 지원체계 구축")-H28</f>
        <v>-1750000</v>
      </c>
    </row>
    <row r="30" spans="1:8">
      <c r="A30" s="374"/>
      <c r="B30" s="373"/>
      <c r="C30" s="373" t="s">
        <v>749</v>
      </c>
      <c r="D30" s="373">
        <v>110652520</v>
      </c>
      <c r="E30" s="373">
        <v>61668760</v>
      </c>
      <c r="F30" s="365" t="s">
        <v>1421</v>
      </c>
    </row>
    <row r="31" spans="1:8">
      <c r="A31" s="374"/>
      <c r="B31" s="373"/>
      <c r="C31" s="373" t="s">
        <v>712</v>
      </c>
      <c r="D31" s="373">
        <v>23177400</v>
      </c>
      <c r="E31" s="373">
        <v>14947400</v>
      </c>
      <c r="F31" s="365"/>
    </row>
    <row r="32" spans="1:8" hidden="1">
      <c r="A32" s="374"/>
      <c r="B32" s="373" t="s">
        <v>1420</v>
      </c>
      <c r="C32" s="373"/>
      <c r="D32" s="373">
        <v>143269920</v>
      </c>
      <c r="E32" s="373">
        <v>85206160</v>
      </c>
      <c r="F32" s="368"/>
    </row>
    <row r="33" spans="1:6" s="366" customFormat="1">
      <c r="A33" s="372" t="s">
        <v>1370</v>
      </c>
      <c r="B33" s="372"/>
      <c r="C33" s="372"/>
      <c r="D33" s="375">
        <v>143269920</v>
      </c>
      <c r="E33" s="375">
        <v>85206160</v>
      </c>
      <c r="F33" s="367"/>
    </row>
    <row r="34" spans="1:6" ht="18" customHeight="1">
      <c r="A34" s="374" t="s">
        <v>680</v>
      </c>
      <c r="B34" s="373" t="s">
        <v>605</v>
      </c>
      <c r="C34" s="373" t="s">
        <v>698</v>
      </c>
      <c r="D34" s="377">
        <v>33000000</v>
      </c>
      <c r="E34" s="377">
        <v>3000000</v>
      </c>
      <c r="F34" s="365"/>
    </row>
    <row r="35" spans="1:6" ht="18" customHeight="1">
      <c r="A35" s="374"/>
      <c r="B35" s="373"/>
      <c r="C35" s="373" t="s">
        <v>687</v>
      </c>
      <c r="D35" s="377">
        <v>12000000</v>
      </c>
      <c r="E35" s="377">
        <v>12000000</v>
      </c>
      <c r="F35" s="365"/>
    </row>
    <row r="36" spans="1:6" ht="18" customHeight="1">
      <c r="A36" s="374"/>
      <c r="B36" s="373"/>
      <c r="C36" s="373" t="s">
        <v>684</v>
      </c>
      <c r="D36" s="377">
        <v>34900000</v>
      </c>
      <c r="E36" s="377">
        <v>34900000</v>
      </c>
      <c r="F36" s="365" t="s">
        <v>1419</v>
      </c>
    </row>
    <row r="37" spans="1:6" hidden="1">
      <c r="A37" s="374"/>
      <c r="B37" s="373" t="s">
        <v>1381</v>
      </c>
      <c r="C37" s="373"/>
      <c r="D37" s="373">
        <v>79900000</v>
      </c>
      <c r="E37" s="373">
        <v>49900000</v>
      </c>
      <c r="F37" s="368"/>
    </row>
    <row r="38" spans="1:6" s="366" customFormat="1">
      <c r="A38" s="372" t="s">
        <v>1370</v>
      </c>
      <c r="B38" s="372"/>
      <c r="C38" s="372"/>
      <c r="D38" s="378">
        <v>79900000</v>
      </c>
      <c r="E38" s="375">
        <v>49900000</v>
      </c>
      <c r="F38" s="367"/>
    </row>
    <row r="39" spans="1:6" ht="17.25" customHeight="1">
      <c r="A39" s="374" t="s">
        <v>577</v>
      </c>
      <c r="B39" s="373" t="s">
        <v>605</v>
      </c>
      <c r="C39" s="373" t="s">
        <v>628</v>
      </c>
      <c r="D39" s="377">
        <v>213500000</v>
      </c>
      <c r="E39" s="373">
        <v>150900000</v>
      </c>
      <c r="F39" s="365" t="s">
        <v>1418</v>
      </c>
    </row>
    <row r="40" spans="1:6" ht="17.25" customHeight="1">
      <c r="A40" s="374"/>
      <c r="B40" s="373"/>
      <c r="C40" s="373" t="s">
        <v>601</v>
      </c>
      <c r="D40" s="377">
        <v>269670000</v>
      </c>
      <c r="E40" s="373">
        <v>200120000</v>
      </c>
      <c r="F40" s="365" t="s">
        <v>1417</v>
      </c>
    </row>
    <row r="41" spans="1:6" ht="17.25" customHeight="1">
      <c r="A41" s="374"/>
      <c r="B41" s="373"/>
      <c r="C41" s="373" t="s">
        <v>581</v>
      </c>
      <c r="D41" s="377">
        <v>16950000</v>
      </c>
      <c r="E41" s="373">
        <v>9650000</v>
      </c>
      <c r="F41" s="365"/>
    </row>
    <row r="42" spans="1:6" hidden="1">
      <c r="A42" s="374"/>
      <c r="B42" s="373" t="s">
        <v>1381</v>
      </c>
      <c r="C42" s="373"/>
      <c r="D42" s="373">
        <v>500120000</v>
      </c>
      <c r="E42" s="373">
        <v>360670000</v>
      </c>
      <c r="F42" s="368"/>
    </row>
    <row r="43" spans="1:6" s="366" customFormat="1" ht="15.75" customHeight="1">
      <c r="A43" s="372" t="s">
        <v>1370</v>
      </c>
      <c r="B43" s="372"/>
      <c r="C43" s="372"/>
      <c r="D43" s="378">
        <v>500120000</v>
      </c>
      <c r="E43" s="375">
        <v>360670000</v>
      </c>
      <c r="F43" s="367"/>
    </row>
    <row r="44" spans="1:6">
      <c r="A44" s="374" t="s">
        <v>525</v>
      </c>
      <c r="B44" s="373" t="s">
        <v>605</v>
      </c>
      <c r="C44" s="373" t="s">
        <v>558</v>
      </c>
      <c r="D44" s="377">
        <v>13250000</v>
      </c>
      <c r="E44" s="373">
        <v>8450000</v>
      </c>
      <c r="F44" s="365"/>
    </row>
    <row r="45" spans="1:6">
      <c r="A45" s="374"/>
      <c r="B45" s="373"/>
      <c r="C45" s="373" t="s">
        <v>553</v>
      </c>
      <c r="D45" s="377">
        <v>34806000</v>
      </c>
      <c r="E45" s="373">
        <v>30456000</v>
      </c>
      <c r="F45" s="365" t="s">
        <v>1416</v>
      </c>
    </row>
    <row r="46" spans="1:6">
      <c r="A46" s="374"/>
      <c r="B46" s="373"/>
      <c r="C46" s="373" t="s">
        <v>524</v>
      </c>
      <c r="D46" s="377">
        <v>198200000</v>
      </c>
      <c r="E46" s="373">
        <v>95700000</v>
      </c>
      <c r="F46" s="365" t="s">
        <v>1415</v>
      </c>
    </row>
    <row r="47" spans="1:6" hidden="1">
      <c r="A47" s="374"/>
      <c r="B47" s="373" t="s">
        <v>1381</v>
      </c>
      <c r="C47" s="373"/>
      <c r="D47" s="373">
        <v>246256000</v>
      </c>
      <c r="E47" s="373">
        <v>134606000</v>
      </c>
      <c r="F47" s="368"/>
    </row>
    <row r="48" spans="1:6" s="366" customFormat="1">
      <c r="A48" s="372" t="s">
        <v>1370</v>
      </c>
      <c r="B48" s="372"/>
      <c r="C48" s="372"/>
      <c r="D48" s="378">
        <v>246256000</v>
      </c>
      <c r="E48" s="375">
        <v>134606000</v>
      </c>
      <c r="F48" s="367"/>
    </row>
    <row r="49" spans="1:6">
      <c r="A49" s="374" t="s">
        <v>455</v>
      </c>
      <c r="B49" s="373" t="s">
        <v>370</v>
      </c>
      <c r="C49" s="373" t="s">
        <v>507</v>
      </c>
      <c r="D49" s="377">
        <v>67200000</v>
      </c>
      <c r="E49" s="373">
        <v>42100000</v>
      </c>
      <c r="F49" s="365" t="s">
        <v>1414</v>
      </c>
    </row>
    <row r="50" spans="1:6">
      <c r="A50" s="374"/>
      <c r="B50" s="373"/>
      <c r="C50" s="373" t="s">
        <v>468</v>
      </c>
      <c r="D50" s="377">
        <v>145000000</v>
      </c>
      <c r="E50" s="373">
        <v>83800000</v>
      </c>
      <c r="F50" s="365" t="s">
        <v>1413</v>
      </c>
    </row>
    <row r="51" spans="1:6">
      <c r="A51" s="374"/>
      <c r="B51" s="373"/>
      <c r="C51" s="373" t="s">
        <v>457</v>
      </c>
      <c r="D51" s="377">
        <v>17000000</v>
      </c>
      <c r="E51" s="373">
        <v>4400000</v>
      </c>
      <c r="F51" s="365"/>
    </row>
    <row r="52" spans="1:6" hidden="1">
      <c r="A52" s="374"/>
      <c r="B52" s="373" t="s">
        <v>1409</v>
      </c>
      <c r="C52" s="373"/>
      <c r="D52" s="373">
        <v>229200000</v>
      </c>
      <c r="E52" s="373">
        <v>130300000</v>
      </c>
      <c r="F52" s="368"/>
    </row>
    <row r="53" spans="1:6" s="366" customFormat="1">
      <c r="A53" s="372" t="s">
        <v>1370</v>
      </c>
      <c r="B53" s="372"/>
      <c r="C53" s="372"/>
      <c r="D53" s="375">
        <v>229200000</v>
      </c>
      <c r="E53" s="375">
        <v>130300000</v>
      </c>
      <c r="F53" s="367"/>
    </row>
    <row r="54" spans="1:6">
      <c r="A54" s="374" t="s">
        <v>402</v>
      </c>
      <c r="B54" s="373" t="s">
        <v>370</v>
      </c>
      <c r="C54" s="373" t="s">
        <v>445</v>
      </c>
      <c r="D54" s="373">
        <v>23000000</v>
      </c>
      <c r="E54" s="373">
        <v>23000000</v>
      </c>
      <c r="F54" s="365" t="s">
        <v>1412</v>
      </c>
    </row>
    <row r="55" spans="1:6">
      <c r="A55" s="374"/>
      <c r="B55" s="373"/>
      <c r="C55" s="373" t="s">
        <v>416</v>
      </c>
      <c r="D55" s="373">
        <v>62600000</v>
      </c>
      <c r="E55" s="373">
        <v>42100000</v>
      </c>
      <c r="F55" s="365" t="s">
        <v>1411</v>
      </c>
    </row>
    <row r="56" spans="1:6">
      <c r="A56" s="374"/>
      <c r="B56" s="373"/>
      <c r="C56" s="373" t="s">
        <v>401</v>
      </c>
      <c r="D56" s="373">
        <v>9000000</v>
      </c>
      <c r="E56" s="373">
        <v>0</v>
      </c>
      <c r="F56" s="365"/>
    </row>
    <row r="57" spans="1:6" hidden="1">
      <c r="A57" s="374"/>
      <c r="B57" s="373" t="s">
        <v>1409</v>
      </c>
      <c r="C57" s="373"/>
      <c r="D57" s="373">
        <v>94600000</v>
      </c>
      <c r="E57" s="373">
        <v>65100000</v>
      </c>
      <c r="F57" s="368"/>
    </row>
    <row r="58" spans="1:6" s="366" customFormat="1">
      <c r="A58" s="372" t="s">
        <v>1370</v>
      </c>
      <c r="B58" s="372"/>
      <c r="C58" s="372"/>
      <c r="D58" s="375">
        <v>94600000</v>
      </c>
      <c r="E58" s="375">
        <v>65100000</v>
      </c>
      <c r="F58" s="367"/>
    </row>
    <row r="59" spans="1:6">
      <c r="A59" s="374" t="s">
        <v>336</v>
      </c>
      <c r="B59" s="373" t="s">
        <v>370</v>
      </c>
      <c r="C59" s="373" t="s">
        <v>374</v>
      </c>
      <c r="D59" s="373">
        <v>25324000</v>
      </c>
      <c r="E59" s="373">
        <v>5400000</v>
      </c>
      <c r="F59" s="365"/>
    </row>
    <row r="60" spans="1:6">
      <c r="A60" s="374"/>
      <c r="B60" s="373"/>
      <c r="C60" s="373" t="s">
        <v>347</v>
      </c>
      <c r="D60" s="373">
        <v>165832000</v>
      </c>
      <c r="E60" s="373">
        <v>165832000</v>
      </c>
      <c r="F60" s="365" t="s">
        <v>1410</v>
      </c>
    </row>
    <row r="61" spans="1:6">
      <c r="A61" s="374"/>
      <c r="B61" s="373"/>
      <c r="C61" s="373" t="s">
        <v>335</v>
      </c>
      <c r="D61" s="373">
        <v>10500000</v>
      </c>
      <c r="E61" s="373">
        <v>8000000</v>
      </c>
      <c r="F61" s="365"/>
    </row>
    <row r="62" spans="1:6" hidden="1">
      <c r="A62" s="374"/>
      <c r="B62" s="373" t="s">
        <v>1409</v>
      </c>
      <c r="C62" s="373"/>
      <c r="D62" s="373">
        <v>201656000</v>
      </c>
      <c r="E62" s="373">
        <v>179232000</v>
      </c>
      <c r="F62" s="368"/>
    </row>
    <row r="63" spans="1:6" s="366" customFormat="1">
      <c r="A63" s="372" t="s">
        <v>1370</v>
      </c>
      <c r="B63" s="372"/>
      <c r="C63" s="372"/>
      <c r="D63" s="375">
        <v>201656000</v>
      </c>
      <c r="E63" s="375">
        <v>179232000</v>
      </c>
      <c r="F63" s="367"/>
    </row>
    <row r="64" spans="1:6">
      <c r="A64" s="374" t="s">
        <v>325</v>
      </c>
      <c r="B64" s="373" t="s">
        <v>1298</v>
      </c>
      <c r="C64" s="373" t="s">
        <v>1226</v>
      </c>
      <c r="D64" s="373">
        <v>2970000</v>
      </c>
      <c r="E64" s="373">
        <v>1500000</v>
      </c>
      <c r="F64" s="365" t="s">
        <v>1408</v>
      </c>
    </row>
    <row r="65" spans="1:6" hidden="1">
      <c r="A65" s="374"/>
      <c r="B65" s="373" t="s">
        <v>1407</v>
      </c>
      <c r="C65" s="373"/>
      <c r="D65" s="373">
        <v>2970000</v>
      </c>
      <c r="E65" s="373">
        <v>1500000</v>
      </c>
      <c r="F65" s="368"/>
    </row>
    <row r="66" spans="1:6">
      <c r="A66" s="374"/>
      <c r="B66" s="373" t="s">
        <v>1309</v>
      </c>
      <c r="C66" s="373" t="s">
        <v>324</v>
      </c>
      <c r="D66" s="373">
        <v>1500000</v>
      </c>
      <c r="E66" s="373">
        <v>1500000</v>
      </c>
      <c r="F66" s="365"/>
    </row>
    <row r="67" spans="1:6" hidden="1">
      <c r="A67" s="374"/>
      <c r="B67" s="373" t="s">
        <v>1380</v>
      </c>
      <c r="C67" s="373"/>
      <c r="D67" s="373">
        <v>1500000</v>
      </c>
      <c r="E67" s="373">
        <v>1500000</v>
      </c>
      <c r="F67" s="368"/>
    </row>
    <row r="68" spans="1:6" s="366" customFormat="1">
      <c r="A68" s="372" t="s">
        <v>1370</v>
      </c>
      <c r="B68" s="372"/>
      <c r="C68" s="372"/>
      <c r="D68" s="375">
        <v>4470000</v>
      </c>
      <c r="E68" s="375">
        <v>3000000</v>
      </c>
      <c r="F68" s="367"/>
    </row>
    <row r="69" spans="1:6">
      <c r="A69" s="374" t="s">
        <v>301</v>
      </c>
      <c r="B69" s="373" t="s">
        <v>74</v>
      </c>
      <c r="C69" s="373" t="s">
        <v>318</v>
      </c>
      <c r="D69" s="373">
        <v>76000000</v>
      </c>
      <c r="E69" s="373">
        <v>76000000</v>
      </c>
      <c r="F69" s="365" t="s">
        <v>1406</v>
      </c>
    </row>
    <row r="70" spans="1:6" hidden="1">
      <c r="A70" s="374"/>
      <c r="B70" s="373" t="s">
        <v>1378</v>
      </c>
      <c r="C70" s="373"/>
      <c r="D70" s="373">
        <v>76000000</v>
      </c>
      <c r="E70" s="373">
        <v>76000000</v>
      </c>
      <c r="F70" s="368"/>
    </row>
    <row r="71" spans="1:6">
      <c r="A71" s="374"/>
      <c r="B71" s="373" t="s">
        <v>1243</v>
      </c>
      <c r="C71" s="373" t="s">
        <v>318</v>
      </c>
      <c r="D71" s="373">
        <v>30000000</v>
      </c>
      <c r="E71" s="373">
        <v>0</v>
      </c>
      <c r="F71" s="365" t="s">
        <v>1405</v>
      </c>
    </row>
    <row r="72" spans="1:6" hidden="1">
      <c r="A72" s="374"/>
      <c r="B72" s="373" t="s">
        <v>1391</v>
      </c>
      <c r="C72" s="373"/>
      <c r="D72" s="373">
        <v>30000000</v>
      </c>
      <c r="E72" s="373">
        <v>0</v>
      </c>
      <c r="F72" s="368"/>
    </row>
    <row r="73" spans="1:6">
      <c r="A73" s="374"/>
      <c r="B73" s="373" t="s">
        <v>1271</v>
      </c>
      <c r="C73" s="373" t="s">
        <v>318</v>
      </c>
      <c r="D73" s="373">
        <v>27180000</v>
      </c>
      <c r="E73" s="373">
        <v>27180000</v>
      </c>
      <c r="F73" s="365" t="s">
        <v>1404</v>
      </c>
    </row>
    <row r="74" spans="1:6" hidden="1">
      <c r="A74" s="374"/>
      <c r="B74" s="373" t="s">
        <v>1387</v>
      </c>
      <c r="C74" s="373"/>
      <c r="D74" s="373">
        <v>27180000</v>
      </c>
      <c r="E74" s="373">
        <v>27180000</v>
      </c>
      <c r="F74" s="368"/>
    </row>
    <row r="75" spans="1:6">
      <c r="A75" s="374"/>
      <c r="B75" s="373" t="s">
        <v>1403</v>
      </c>
      <c r="C75" s="373" t="s">
        <v>318</v>
      </c>
      <c r="D75" s="373">
        <v>500000000</v>
      </c>
      <c r="E75" s="373">
        <v>500000000</v>
      </c>
      <c r="F75" s="365" t="s">
        <v>1402</v>
      </c>
    </row>
    <row r="76" spans="1:6" hidden="1">
      <c r="A76" s="374"/>
      <c r="B76" s="373" t="s">
        <v>1401</v>
      </c>
      <c r="C76" s="373"/>
      <c r="D76" s="373">
        <v>500000000</v>
      </c>
      <c r="E76" s="373">
        <v>500000000</v>
      </c>
      <c r="F76" s="368"/>
    </row>
    <row r="77" spans="1:6">
      <c r="A77" s="374"/>
      <c r="B77" s="373" t="s">
        <v>1309</v>
      </c>
      <c r="C77" s="373" t="s">
        <v>322</v>
      </c>
      <c r="D77" s="373"/>
      <c r="E77" s="373">
        <v>0</v>
      </c>
      <c r="F77" s="365"/>
    </row>
    <row r="78" spans="1:6" hidden="1">
      <c r="A78" s="374"/>
      <c r="B78" s="373" t="s">
        <v>1380</v>
      </c>
      <c r="C78" s="373"/>
      <c r="D78" s="373"/>
      <c r="E78" s="373">
        <v>0</v>
      </c>
      <c r="F78" s="368"/>
    </row>
    <row r="79" spans="1:6" s="366" customFormat="1">
      <c r="A79" s="372" t="s">
        <v>1370</v>
      </c>
      <c r="B79" s="372"/>
      <c r="C79" s="372"/>
      <c r="D79" s="375">
        <v>633180000</v>
      </c>
      <c r="E79" s="375">
        <v>603180000</v>
      </c>
      <c r="F79" s="367"/>
    </row>
    <row r="80" spans="1:6">
      <c r="A80" s="374" t="s">
        <v>254</v>
      </c>
      <c r="B80" s="373" t="s">
        <v>1306</v>
      </c>
      <c r="C80" s="373" t="s">
        <v>296</v>
      </c>
      <c r="D80" s="373">
        <v>1500000</v>
      </c>
      <c r="E80" s="373">
        <v>1500000</v>
      </c>
      <c r="F80" s="365"/>
    </row>
    <row r="81" spans="1:6">
      <c r="A81" s="374"/>
      <c r="B81" s="373"/>
      <c r="C81" s="373" t="s">
        <v>274</v>
      </c>
      <c r="D81" s="373">
        <v>3170000</v>
      </c>
      <c r="E81" s="373">
        <v>3170000</v>
      </c>
      <c r="F81" s="365"/>
    </row>
    <row r="82" spans="1:6">
      <c r="A82" s="374"/>
      <c r="B82" s="373"/>
      <c r="C82" s="373" t="s">
        <v>253</v>
      </c>
      <c r="D82" s="373">
        <v>25000000</v>
      </c>
      <c r="E82" s="373">
        <v>25000000</v>
      </c>
      <c r="F82" s="365" t="s">
        <v>1400</v>
      </c>
    </row>
    <row r="83" spans="1:6" hidden="1">
      <c r="A83" s="374"/>
      <c r="B83" s="373" t="s">
        <v>1399</v>
      </c>
      <c r="C83" s="373"/>
      <c r="D83" s="373">
        <v>29670000</v>
      </c>
      <c r="E83" s="373">
        <v>29670000</v>
      </c>
      <c r="F83" s="368"/>
    </row>
    <row r="84" spans="1:6" s="366" customFormat="1">
      <c r="A84" s="372" t="s">
        <v>1370</v>
      </c>
      <c r="B84" s="372"/>
      <c r="C84" s="372"/>
      <c r="D84" s="375">
        <v>29670000</v>
      </c>
      <c r="E84" s="375">
        <v>29670000</v>
      </c>
      <c r="F84" s="367"/>
    </row>
    <row r="85" spans="1:6">
      <c r="A85" s="374" t="s">
        <v>230</v>
      </c>
      <c r="B85" s="373" t="s">
        <v>1258</v>
      </c>
      <c r="C85" s="373" t="s">
        <v>229</v>
      </c>
      <c r="D85" s="373">
        <v>3000000</v>
      </c>
      <c r="E85" s="373">
        <v>0</v>
      </c>
      <c r="F85" s="365"/>
    </row>
    <row r="86" spans="1:6" hidden="1">
      <c r="A86" s="374"/>
      <c r="B86" s="373" t="s">
        <v>1398</v>
      </c>
      <c r="C86" s="373"/>
      <c r="D86" s="373">
        <v>3000000</v>
      </c>
      <c r="E86" s="373">
        <v>0</v>
      </c>
      <c r="F86" s="368"/>
    </row>
    <row r="87" spans="1:6">
      <c r="A87" s="374"/>
      <c r="B87" s="373" t="s">
        <v>74</v>
      </c>
      <c r="C87" s="373" t="s">
        <v>249</v>
      </c>
      <c r="D87" s="373">
        <v>0</v>
      </c>
      <c r="E87" s="373"/>
      <c r="F87" s="365"/>
    </row>
    <row r="88" spans="1:6">
      <c r="A88" s="374"/>
      <c r="B88" s="373"/>
      <c r="C88" s="373" t="s">
        <v>248</v>
      </c>
      <c r="D88" s="373">
        <v>0</v>
      </c>
      <c r="E88" s="373">
        <v>0</v>
      </c>
      <c r="F88" s="365"/>
    </row>
    <row r="89" spans="1:6">
      <c r="A89" s="374"/>
      <c r="B89" s="373"/>
      <c r="C89" s="373" t="s">
        <v>229</v>
      </c>
      <c r="D89" s="373">
        <v>72100000</v>
      </c>
      <c r="E89" s="373">
        <v>0</v>
      </c>
      <c r="F89" s="365" t="s">
        <v>1397</v>
      </c>
    </row>
    <row r="90" spans="1:6" hidden="1">
      <c r="A90" s="374"/>
      <c r="B90" s="373" t="s">
        <v>1378</v>
      </c>
      <c r="C90" s="373"/>
      <c r="D90" s="373">
        <v>72100000</v>
      </c>
      <c r="E90" s="373">
        <v>0</v>
      </c>
      <c r="F90" s="368"/>
    </row>
    <row r="91" spans="1:6" s="366" customFormat="1">
      <c r="A91" s="372" t="s">
        <v>1370</v>
      </c>
      <c r="B91" s="372"/>
      <c r="C91" s="372"/>
      <c r="D91" s="375">
        <v>75100000</v>
      </c>
      <c r="E91" s="375">
        <v>0</v>
      </c>
      <c r="F91" s="367"/>
    </row>
    <row r="92" spans="1:6">
      <c r="A92" s="374" t="s">
        <v>166</v>
      </c>
      <c r="B92" s="373" t="s">
        <v>1303</v>
      </c>
      <c r="C92" s="373" t="s">
        <v>191</v>
      </c>
      <c r="D92" s="373">
        <v>90000000</v>
      </c>
      <c r="E92" s="373">
        <v>90000000</v>
      </c>
      <c r="F92" s="365" t="s">
        <v>1396</v>
      </c>
    </row>
    <row r="93" spans="1:6" hidden="1">
      <c r="A93" s="374"/>
      <c r="B93" s="373" t="s">
        <v>1395</v>
      </c>
      <c r="C93" s="373"/>
      <c r="D93" s="373">
        <v>90000000</v>
      </c>
      <c r="E93" s="373">
        <v>90000000</v>
      </c>
      <c r="F93" s="368"/>
    </row>
    <row r="94" spans="1:6">
      <c r="A94" s="374"/>
      <c r="B94" s="373" t="s">
        <v>74</v>
      </c>
      <c r="C94" s="373" t="s">
        <v>191</v>
      </c>
      <c r="D94" s="373">
        <v>86000000</v>
      </c>
      <c r="E94" s="373"/>
      <c r="F94" s="365" t="s">
        <v>1394</v>
      </c>
    </row>
    <row r="95" spans="1:6">
      <c r="A95" s="374"/>
      <c r="B95" s="373"/>
      <c r="C95" s="373" t="s">
        <v>165</v>
      </c>
      <c r="D95" s="373">
        <v>75900000</v>
      </c>
      <c r="E95" s="373">
        <v>0</v>
      </c>
      <c r="F95" s="365" t="s">
        <v>1393</v>
      </c>
    </row>
    <row r="96" spans="1:6" hidden="1">
      <c r="A96" s="374"/>
      <c r="B96" s="373" t="s">
        <v>1378</v>
      </c>
      <c r="C96" s="373"/>
      <c r="D96" s="373">
        <v>161900000</v>
      </c>
      <c r="E96" s="373">
        <v>0</v>
      </c>
      <c r="F96" s="368"/>
    </row>
    <row r="97" spans="1:6">
      <c r="A97" s="374"/>
      <c r="B97" s="373" t="s">
        <v>1243</v>
      </c>
      <c r="C97" s="373" t="s">
        <v>191</v>
      </c>
      <c r="D97" s="373">
        <v>150000000</v>
      </c>
      <c r="E97" s="373">
        <v>0</v>
      </c>
      <c r="F97" s="365" t="s">
        <v>1392</v>
      </c>
    </row>
    <row r="98" spans="1:6" hidden="1">
      <c r="A98" s="374"/>
      <c r="B98" s="373" t="s">
        <v>1391</v>
      </c>
      <c r="C98" s="373"/>
      <c r="D98" s="373">
        <v>150000000</v>
      </c>
      <c r="E98" s="373">
        <v>0</v>
      </c>
      <c r="F98" s="368"/>
    </row>
    <row r="99" spans="1:6">
      <c r="A99" s="374"/>
      <c r="B99" s="373" t="s">
        <v>1274</v>
      </c>
      <c r="C99" s="373" t="s">
        <v>208</v>
      </c>
      <c r="D99" s="373">
        <v>400000000</v>
      </c>
      <c r="E99" s="373">
        <v>0</v>
      </c>
      <c r="F99" s="365" t="s">
        <v>1390</v>
      </c>
    </row>
    <row r="100" spans="1:6" hidden="1">
      <c r="A100" s="374"/>
      <c r="B100" s="373" t="s">
        <v>1389</v>
      </c>
      <c r="C100" s="373"/>
      <c r="D100" s="373">
        <v>400000000</v>
      </c>
      <c r="E100" s="373">
        <v>0</v>
      </c>
      <c r="F100" s="368"/>
    </row>
    <row r="101" spans="1:6">
      <c r="A101" s="374"/>
      <c r="B101" s="373" t="s">
        <v>1271</v>
      </c>
      <c r="C101" s="373" t="s">
        <v>208</v>
      </c>
      <c r="D101" s="373">
        <v>60000000</v>
      </c>
      <c r="E101" s="373">
        <v>60000000</v>
      </c>
      <c r="F101" s="365" t="s">
        <v>1388</v>
      </c>
    </row>
    <row r="102" spans="1:6" hidden="1">
      <c r="A102" s="374"/>
      <c r="B102" s="373" t="s">
        <v>1387</v>
      </c>
      <c r="C102" s="373"/>
      <c r="D102" s="373">
        <v>60000000</v>
      </c>
      <c r="E102" s="373">
        <v>60000000</v>
      </c>
      <c r="F102" s="368"/>
    </row>
    <row r="103" spans="1:6">
      <c r="A103" s="374"/>
      <c r="B103" s="373" t="s">
        <v>1240</v>
      </c>
      <c r="C103" s="373" t="s">
        <v>191</v>
      </c>
      <c r="D103" s="373">
        <v>15000000</v>
      </c>
      <c r="E103" s="373">
        <v>15000000</v>
      </c>
      <c r="F103" s="365"/>
    </row>
    <row r="104" spans="1:6" hidden="1">
      <c r="A104" s="374"/>
      <c r="B104" s="373" t="s">
        <v>1386</v>
      </c>
      <c r="C104" s="373"/>
      <c r="D104" s="373">
        <v>15000000</v>
      </c>
      <c r="E104" s="373">
        <v>15000000</v>
      </c>
      <c r="F104" s="368"/>
    </row>
    <row r="105" spans="1:6">
      <c r="A105" s="374"/>
      <c r="B105" s="373" t="s">
        <v>1278</v>
      </c>
      <c r="C105" s="373" t="s">
        <v>208</v>
      </c>
      <c r="D105" s="373">
        <v>9580000</v>
      </c>
      <c r="E105" s="373">
        <v>9580000</v>
      </c>
      <c r="F105" s="365"/>
    </row>
    <row r="106" spans="1:6" hidden="1">
      <c r="A106" s="374"/>
      <c r="B106" s="373" t="s">
        <v>1385</v>
      </c>
      <c r="C106" s="373"/>
      <c r="D106" s="373">
        <v>9580000</v>
      </c>
      <c r="E106" s="373">
        <v>9580000</v>
      </c>
      <c r="F106" s="368"/>
    </row>
    <row r="107" spans="1:6">
      <c r="A107" s="374"/>
      <c r="B107" s="373" t="s">
        <v>167</v>
      </c>
      <c r="C107" s="373" t="s">
        <v>165</v>
      </c>
      <c r="D107" s="373">
        <v>33000000</v>
      </c>
      <c r="E107" s="373">
        <v>13000000</v>
      </c>
      <c r="F107" s="365"/>
    </row>
    <row r="108" spans="1:6" hidden="1">
      <c r="A108" s="374"/>
      <c r="B108" s="373" t="s">
        <v>1384</v>
      </c>
      <c r="C108" s="373"/>
      <c r="D108" s="373">
        <v>33000000</v>
      </c>
      <c r="E108" s="373">
        <v>13000000</v>
      </c>
      <c r="F108" s="368"/>
    </row>
    <row r="109" spans="1:6">
      <c r="A109" s="374"/>
      <c r="B109" s="373" t="s">
        <v>1309</v>
      </c>
      <c r="C109" s="373" t="s">
        <v>165</v>
      </c>
      <c r="D109" s="373">
        <v>110000000</v>
      </c>
      <c r="E109" s="373">
        <v>110000000</v>
      </c>
      <c r="F109" s="365" t="s">
        <v>1383</v>
      </c>
    </row>
    <row r="110" spans="1:6" hidden="1">
      <c r="A110" s="374"/>
      <c r="B110" s="373" t="s">
        <v>1380</v>
      </c>
      <c r="C110" s="373"/>
      <c r="D110" s="373">
        <v>110000000</v>
      </c>
      <c r="E110" s="373">
        <v>110000000</v>
      </c>
      <c r="F110" s="368"/>
    </row>
    <row r="111" spans="1:6" s="366" customFormat="1">
      <c r="A111" s="372" t="s">
        <v>1370</v>
      </c>
      <c r="B111" s="372"/>
      <c r="C111" s="372"/>
      <c r="D111" s="375">
        <v>1029480000</v>
      </c>
      <c r="E111" s="375">
        <v>297580000</v>
      </c>
      <c r="F111" s="367"/>
    </row>
    <row r="112" spans="1:6">
      <c r="A112" s="374" t="s">
        <v>132</v>
      </c>
      <c r="B112" s="373" t="s">
        <v>1252</v>
      </c>
      <c r="C112" s="373" t="s">
        <v>139</v>
      </c>
      <c r="D112" s="373">
        <v>20000000</v>
      </c>
      <c r="E112" s="373">
        <v>20000000</v>
      </c>
      <c r="F112" s="365"/>
    </row>
    <row r="113" spans="1:6" hidden="1">
      <c r="A113" s="374"/>
      <c r="B113" s="373" t="s">
        <v>1382</v>
      </c>
      <c r="C113" s="373"/>
      <c r="D113" s="373">
        <v>20000000</v>
      </c>
      <c r="E113" s="373">
        <v>20000000</v>
      </c>
      <c r="F113" s="368"/>
    </row>
    <row r="114" spans="1:6">
      <c r="A114" s="374"/>
      <c r="B114" s="373" t="s">
        <v>605</v>
      </c>
      <c r="C114" s="373" t="s">
        <v>1211</v>
      </c>
      <c r="D114" s="373">
        <v>17300000</v>
      </c>
      <c r="E114" s="373">
        <v>4700000</v>
      </c>
      <c r="F114" s="365"/>
    </row>
    <row r="115" spans="1:6" hidden="1">
      <c r="A115" s="374"/>
      <c r="B115" s="373" t="s">
        <v>1381</v>
      </c>
      <c r="C115" s="373"/>
      <c r="D115" s="373">
        <v>17300000</v>
      </c>
      <c r="E115" s="373">
        <v>4700000</v>
      </c>
      <c r="F115" s="368"/>
    </row>
    <row r="116" spans="1:6">
      <c r="A116" s="374"/>
      <c r="B116" s="373" t="s">
        <v>1309</v>
      </c>
      <c r="C116" s="373" t="s">
        <v>131</v>
      </c>
      <c r="D116" s="373">
        <v>7500000</v>
      </c>
      <c r="E116" s="373">
        <v>7500000</v>
      </c>
      <c r="F116" s="365"/>
    </row>
    <row r="117" spans="1:6" hidden="1">
      <c r="A117" s="374"/>
      <c r="B117" s="373" t="s">
        <v>1380</v>
      </c>
      <c r="C117" s="373"/>
      <c r="D117" s="373">
        <v>7500000</v>
      </c>
      <c r="E117" s="373">
        <v>7500000</v>
      </c>
      <c r="F117" s="368"/>
    </row>
    <row r="118" spans="1:6" s="366" customFormat="1">
      <c r="A118" s="372" t="s">
        <v>1370</v>
      </c>
      <c r="B118" s="372"/>
      <c r="C118" s="372"/>
      <c r="D118" s="375">
        <v>44800000</v>
      </c>
      <c r="E118" s="375">
        <v>32200000</v>
      </c>
      <c r="F118" s="367"/>
    </row>
    <row r="119" spans="1:6">
      <c r="A119" s="374" t="s">
        <v>73</v>
      </c>
      <c r="B119" s="373" t="s">
        <v>74</v>
      </c>
      <c r="C119" s="373" t="s">
        <v>73</v>
      </c>
      <c r="D119" s="373">
        <v>1084700000</v>
      </c>
      <c r="E119" s="373">
        <v>57757000</v>
      </c>
      <c r="F119" s="365" t="s">
        <v>1379</v>
      </c>
    </row>
    <row r="120" spans="1:6" hidden="1">
      <c r="A120" s="374"/>
      <c r="B120" s="373" t="s">
        <v>1378</v>
      </c>
      <c r="C120" s="373"/>
      <c r="D120" s="373">
        <v>1084700000</v>
      </c>
      <c r="E120" s="373">
        <v>57757000</v>
      </c>
      <c r="F120" s="368"/>
    </row>
    <row r="121" spans="1:6">
      <c r="A121" s="374"/>
      <c r="B121" s="373" t="s">
        <v>1377</v>
      </c>
      <c r="C121" s="373" t="s">
        <v>73</v>
      </c>
      <c r="D121" s="373">
        <v>800000000</v>
      </c>
      <c r="E121" s="373"/>
      <c r="F121" s="365" t="s">
        <v>1376</v>
      </c>
    </row>
    <row r="122" spans="1:6" hidden="1">
      <c r="A122" s="374"/>
      <c r="B122" s="373" t="s">
        <v>1375</v>
      </c>
      <c r="C122" s="373"/>
      <c r="D122" s="373">
        <v>800000000</v>
      </c>
      <c r="E122" s="373"/>
      <c r="F122" s="368"/>
    </row>
    <row r="123" spans="1:6">
      <c r="A123" s="374"/>
      <c r="B123" s="373" t="s">
        <v>1374</v>
      </c>
      <c r="C123" s="373" t="s">
        <v>73</v>
      </c>
      <c r="D123" s="373">
        <v>530000000</v>
      </c>
      <c r="E123" s="373">
        <v>170000000</v>
      </c>
      <c r="F123" s="365" t="s">
        <v>69</v>
      </c>
    </row>
    <row r="124" spans="1:6" hidden="1">
      <c r="A124" s="374"/>
      <c r="B124" s="373" t="s">
        <v>1373</v>
      </c>
      <c r="C124" s="373"/>
      <c r="D124" s="373">
        <v>530000000</v>
      </c>
      <c r="E124" s="373">
        <v>170000000</v>
      </c>
      <c r="F124" s="368"/>
    </row>
    <row r="125" spans="1:6">
      <c r="A125" s="374"/>
      <c r="B125" s="376" t="s">
        <v>1372</v>
      </c>
      <c r="C125" s="376" t="s">
        <v>73</v>
      </c>
      <c r="D125" s="376">
        <v>247017652</v>
      </c>
      <c r="E125" s="376"/>
      <c r="F125" s="365" t="s">
        <v>78</v>
      </c>
    </row>
    <row r="126" spans="1:6" hidden="1">
      <c r="A126" s="374"/>
      <c r="B126" s="373" t="s">
        <v>1371</v>
      </c>
      <c r="C126" s="373"/>
      <c r="D126" s="373">
        <v>247017652</v>
      </c>
      <c r="E126" s="373"/>
      <c r="F126" s="368"/>
    </row>
    <row r="127" spans="1:6">
      <c r="A127" s="372" t="s">
        <v>1370</v>
      </c>
      <c r="B127" s="372"/>
      <c r="C127" s="372"/>
      <c r="D127" s="375">
        <v>2661717652</v>
      </c>
      <c r="E127" s="375">
        <v>227757000</v>
      </c>
      <c r="F127" s="365" t="s">
        <v>1369</v>
      </c>
    </row>
    <row r="128" spans="1:6" hidden="1">
      <c r="A128" s="374" t="s">
        <v>1</v>
      </c>
      <c r="B128" s="373"/>
      <c r="C128" s="373"/>
      <c r="D128" s="373">
        <v>0</v>
      </c>
      <c r="E128" s="373">
        <v>0</v>
      </c>
      <c r="F128" s="368"/>
    </row>
    <row r="129" spans="1:6">
      <c r="A129" s="372" t="s">
        <v>1368</v>
      </c>
      <c r="B129" s="372"/>
      <c r="C129" s="371"/>
      <c r="D129" s="370">
        <v>7247118572</v>
      </c>
      <c r="E129" s="370">
        <v>3421140160</v>
      </c>
      <c r="F129" s="369"/>
    </row>
    <row r="130" spans="1:6" hidden="1">
      <c r="A130"/>
      <c r="B130"/>
      <c r="C130"/>
      <c r="D130"/>
      <c r="E130"/>
      <c r="F130" s="368"/>
    </row>
    <row r="131" spans="1:6" s="366" customFormat="1">
      <c r="A131"/>
      <c r="B131"/>
      <c r="C131"/>
      <c r="D131"/>
      <c r="E131"/>
      <c r="F131" s="367"/>
    </row>
    <row r="132" spans="1:6" hidden="1">
      <c r="A132"/>
      <c r="B132"/>
      <c r="C132"/>
      <c r="D132"/>
      <c r="E132"/>
      <c r="F132" s="365"/>
    </row>
    <row r="133" spans="1:6">
      <c r="A133"/>
      <c r="B133"/>
      <c r="C133"/>
      <c r="D133"/>
      <c r="E133"/>
      <c r="F133" s="364"/>
    </row>
    <row r="134" spans="1:6" ht="12" customHeight="1">
      <c r="A134" s="363"/>
      <c r="B134" s="362"/>
      <c r="C134" s="361"/>
      <c r="D134" s="360"/>
      <c r="E134" s="360"/>
      <c r="F134" s="359"/>
    </row>
    <row r="135" spans="1:6" ht="15.75" customHeight="1">
      <c r="A135"/>
      <c r="B135" s="349"/>
      <c r="C135" s="401" t="s">
        <v>1086</v>
      </c>
      <c r="D135" s="404" t="s">
        <v>1367</v>
      </c>
      <c r="E135" s="405"/>
      <c r="F135" s="406" t="s">
        <v>1366</v>
      </c>
    </row>
    <row r="136" spans="1:6" ht="15.75" customHeight="1">
      <c r="B136" s="349"/>
      <c r="C136" s="402"/>
      <c r="D136" s="358" t="s">
        <v>1365</v>
      </c>
      <c r="E136" s="358" t="s">
        <v>1364</v>
      </c>
      <c r="F136" s="407"/>
    </row>
    <row r="137" spans="1:6" ht="15.75" customHeight="1">
      <c r="B137" s="354"/>
      <c r="C137" s="357" t="s">
        <v>1363</v>
      </c>
      <c r="D137" s="356">
        <v>3095000000</v>
      </c>
      <c r="E137" s="356">
        <v>3010000000</v>
      </c>
      <c r="F137" s="355" t="s">
        <v>1362</v>
      </c>
    </row>
    <row r="138" spans="1:6" ht="15.75" customHeight="1">
      <c r="B138" s="354"/>
      <c r="C138" s="352" t="s">
        <v>1361</v>
      </c>
      <c r="D138" s="347">
        <v>323000000</v>
      </c>
      <c r="E138" s="347">
        <v>324000000</v>
      </c>
      <c r="F138" s="345" t="s">
        <v>1360</v>
      </c>
    </row>
    <row r="139" spans="1:6" ht="15.75" customHeight="1">
      <c r="B139" s="353"/>
      <c r="C139" s="352" t="s">
        <v>1359</v>
      </c>
      <c r="D139" s="347">
        <v>86000000</v>
      </c>
      <c r="E139" s="347">
        <v>86000000</v>
      </c>
      <c r="F139" s="345" t="s">
        <v>1358</v>
      </c>
    </row>
    <row r="140" spans="1:6" ht="15.75" customHeight="1">
      <c r="B140" s="344"/>
      <c r="C140" s="351" t="s">
        <v>1357</v>
      </c>
      <c r="D140" s="347">
        <v>3810000000</v>
      </c>
      <c r="E140" s="347">
        <v>3442000000</v>
      </c>
      <c r="F140" s="345" t="s">
        <v>1356</v>
      </c>
    </row>
    <row r="141" spans="1:6" ht="15.75" customHeight="1">
      <c r="B141" s="344"/>
      <c r="C141" s="351" t="s">
        <v>1355</v>
      </c>
      <c r="D141" s="347">
        <v>349000000</v>
      </c>
      <c r="E141" s="350" t="s">
        <v>1354</v>
      </c>
      <c r="F141" s="345" t="s">
        <v>1353</v>
      </c>
    </row>
    <row r="142" spans="1:6" ht="15.75" customHeight="1">
      <c r="B142" s="349"/>
      <c r="C142" s="348" t="s">
        <v>1352</v>
      </c>
      <c r="D142" s="347">
        <v>7663000000</v>
      </c>
      <c r="E142" s="346">
        <v>6862000000</v>
      </c>
      <c r="F142" s="345" t="s">
        <v>1351</v>
      </c>
    </row>
    <row r="143" spans="1:6" ht="15.75" customHeight="1">
      <c r="B143" s="344"/>
      <c r="C143" s="343" t="s">
        <v>1350</v>
      </c>
      <c r="D143" s="342">
        <v>0</v>
      </c>
      <c r="E143" s="341">
        <v>385118572</v>
      </c>
      <c r="F143" s="340"/>
    </row>
    <row r="144" spans="1:6" ht="9" customHeight="1">
      <c r="B144" s="339"/>
      <c r="C144" s="338"/>
      <c r="D144" s="337"/>
      <c r="E144" s="336"/>
      <c r="F144" s="335"/>
    </row>
    <row r="145" spans="2:6">
      <c r="B145" s="328"/>
      <c r="C145" s="334" t="s">
        <v>1086</v>
      </c>
      <c r="D145" s="334" t="s">
        <v>48</v>
      </c>
      <c r="E145" s="334" t="s">
        <v>63</v>
      </c>
      <c r="F145" s="334" t="s">
        <v>1349</v>
      </c>
    </row>
    <row r="146" spans="2:6">
      <c r="B146" s="328"/>
      <c r="C146" s="333" t="s">
        <v>1348</v>
      </c>
      <c r="D146" s="332">
        <v>385118572</v>
      </c>
      <c r="E146" s="332">
        <v>6862000000</v>
      </c>
      <c r="F146" s="332">
        <f>SUM(D146:E146)</f>
        <v>7247118572</v>
      </c>
    </row>
    <row r="147" spans="2:6">
      <c r="B147" s="328"/>
      <c r="C147" s="328"/>
    </row>
    <row r="148" spans="2:6">
      <c r="B148" s="328"/>
      <c r="C148" s="328"/>
    </row>
    <row r="149" spans="2:6">
      <c r="B149" s="328"/>
      <c r="C149" s="328"/>
    </row>
    <row r="150" spans="2:6">
      <c r="B150" s="328"/>
      <c r="C150" s="328"/>
    </row>
    <row r="151" spans="2:6">
      <c r="B151" s="328"/>
      <c r="C151" s="328"/>
    </row>
    <row r="152" spans="2:6">
      <c r="B152" s="328"/>
      <c r="C152" s="328"/>
    </row>
    <row r="153" spans="2:6">
      <c r="B153" s="328"/>
      <c r="C153" s="328"/>
    </row>
    <row r="154" spans="2:6">
      <c r="B154" s="328"/>
      <c r="C154" s="328"/>
    </row>
    <row r="155" spans="2:6">
      <c r="B155" s="328"/>
      <c r="C155" s="328"/>
    </row>
    <row r="156" spans="2:6">
      <c r="B156" s="328"/>
      <c r="C156" s="328"/>
    </row>
    <row r="157" spans="2:6">
      <c r="B157" s="328"/>
      <c r="C157" s="328"/>
    </row>
    <row r="158" spans="2:6">
      <c r="B158" s="328"/>
      <c r="C158" s="328"/>
    </row>
    <row r="159" spans="2:6">
      <c r="B159" s="328"/>
      <c r="C159" s="328"/>
    </row>
    <row r="160" spans="2:6">
      <c r="B160" s="328"/>
      <c r="C160" s="328"/>
    </row>
    <row r="161" spans="2:3">
      <c r="B161" s="328"/>
      <c r="C161" s="328"/>
    </row>
    <row r="162" spans="2:3">
      <c r="B162" s="328"/>
      <c r="C162" s="328"/>
    </row>
    <row r="163" spans="2:3">
      <c r="B163" s="328"/>
      <c r="C163" s="328"/>
    </row>
    <row r="164" spans="2:3">
      <c r="B164" s="328"/>
      <c r="C164" s="328"/>
    </row>
    <row r="165" spans="2:3">
      <c r="B165" s="328"/>
      <c r="C165" s="328"/>
    </row>
    <row r="166" spans="2:3">
      <c r="B166" s="328"/>
      <c r="C166" s="328"/>
    </row>
    <row r="167" spans="2:3">
      <c r="B167" s="328"/>
      <c r="C167" s="328"/>
    </row>
    <row r="168" spans="2:3">
      <c r="B168" s="328"/>
      <c r="C168" s="328"/>
    </row>
    <row r="169" spans="2:3">
      <c r="B169" s="328"/>
      <c r="C169" s="328"/>
    </row>
    <row r="170" spans="2:3">
      <c r="B170" s="328"/>
      <c r="C170" s="328"/>
    </row>
    <row r="171" spans="2:3">
      <c r="B171" s="328"/>
      <c r="C171" s="328"/>
    </row>
    <row r="172" spans="2:3">
      <c r="B172" s="328"/>
      <c r="C172" s="328"/>
    </row>
    <row r="173" spans="2:3">
      <c r="B173" s="328"/>
      <c r="C173" s="328"/>
    </row>
    <row r="174" spans="2:3">
      <c r="B174" s="328"/>
      <c r="C174" s="328"/>
    </row>
    <row r="175" spans="2:3">
      <c r="B175" s="328"/>
      <c r="C175" s="328"/>
    </row>
    <row r="176" spans="2:3">
      <c r="B176" s="328"/>
      <c r="C176" s="328"/>
    </row>
    <row r="177" spans="2:3">
      <c r="B177" s="328"/>
      <c r="C177" s="328"/>
    </row>
    <row r="178" spans="2:3">
      <c r="B178" s="328"/>
      <c r="C178" s="328"/>
    </row>
    <row r="179" spans="2:3">
      <c r="B179" s="328"/>
      <c r="C179" s="328"/>
    </row>
    <row r="180" spans="2:3">
      <c r="B180" s="328"/>
      <c r="C180" s="328"/>
    </row>
    <row r="181" spans="2:3">
      <c r="B181" s="328"/>
      <c r="C181" s="328"/>
    </row>
    <row r="182" spans="2:3">
      <c r="B182" s="328"/>
      <c r="C182" s="328"/>
    </row>
    <row r="183" spans="2:3">
      <c r="B183" s="328"/>
      <c r="C183" s="328"/>
    </row>
    <row r="184" spans="2:3">
      <c r="B184" s="328"/>
      <c r="C184" s="328"/>
    </row>
  </sheetData>
  <mergeCells count="4">
    <mergeCell ref="C135:C136"/>
    <mergeCell ref="A1:F1"/>
    <mergeCell ref="D135:E135"/>
    <mergeCell ref="F135:F136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8" fitToHeight="0" orientation="landscape" useFirstPageNumber="1" r:id="rId2"/>
  <headerFooter>
    <oddFooter>&amp;C&amp;P&amp;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예산내역(사업계획서)</vt:lpstr>
      <vt:lpstr>Sheet1 (2)</vt:lpstr>
      <vt:lpstr>유니올시스템업로드</vt:lpstr>
      <vt:lpstr>Sheet3</vt:lpstr>
      <vt:lpstr>예산내역(11차배정후)</vt:lpstr>
      <vt:lpstr>인건비계획</vt:lpstr>
      <vt:lpstr>코드</vt:lpstr>
      <vt:lpstr>추경자료</vt:lpstr>
      <vt:lpstr>성과관리위자료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2026-10-20T03:52:34Z</dcterms:created>
  <dcterms:modified xsi:type="dcterms:W3CDTF">2026-10-27T05:13:39Z</dcterms:modified>
</cp:coreProperties>
</file>